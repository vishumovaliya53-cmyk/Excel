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shivani\OneDrive\Desktop\"/>
    </mc:Choice>
  </mc:AlternateContent>
  <xr:revisionPtr revIDLastSave="0" documentId="13_ncr:1_{3C681D9F-B119-425B-AE1D-16EA11A7B90F}" xr6:coauthVersionLast="47" xr6:coauthVersionMax="47" xr10:uidLastSave="{00000000-0000-0000-0000-000000000000}"/>
  <bookViews>
    <workbookView xWindow="-108" yWindow="-108" windowWidth="23256" windowHeight="12456" xr2:uid="{E580FA51-C7B0-446B-8EBF-25F1DCF63F51}"/>
  </bookViews>
  <sheets>
    <sheet name="Dataset" sheetId="1" r:id="rId1"/>
    <sheet name="Linear Regression" sheetId="2" r:id="rId2"/>
    <sheet name="Descriptive Statistics" sheetId="3" r:id="rId3"/>
    <sheet name="Pivot Table" sheetId="8" r:id="rId4"/>
    <sheet name="Dashboard" sheetId="9" r:id="rId5"/>
  </sheets>
  <externalReferences>
    <externalReference r:id="rId6"/>
  </externalReferences>
  <definedNames>
    <definedName name="_xlchart.v1.0" hidden="1">Dataset!$C$2:$C$201</definedName>
    <definedName name="_xlchart.v1.1" hidden="1">Dataset!$E$2:$E$201</definedName>
    <definedName name="_xlchart.v1.2" hidden="1">Dataset!$C$2:$C$201</definedName>
    <definedName name="_xlchart.v1.3" hidden="1">Dataset!$E$2:$E$201</definedName>
    <definedName name="Slicer_Product_Category">#N/A</definedName>
    <definedName name="Slicer_Region">#N/A</definedName>
  </definedNames>
  <calcPr calcId="191029"/>
  <pivotCaches>
    <pivotCache cacheId="0" r:id="rId7"/>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9" l="1"/>
  <c r="K3" i="9"/>
  <c r="I3" i="9"/>
  <c r="J3" i="9"/>
  <c r="U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 i="1"/>
  <c r="K3" i="1"/>
  <c r="P3" i="1"/>
  <c r="Q3" i="1"/>
  <c r="K4" i="1"/>
  <c r="P4" i="1"/>
  <c r="Q4" i="1"/>
  <c r="K5" i="1"/>
  <c r="P5" i="1"/>
  <c r="Q5" i="1"/>
  <c r="K6" i="1"/>
  <c r="P6" i="1"/>
  <c r="Q6" i="1"/>
  <c r="K7" i="1"/>
  <c r="P7" i="1"/>
  <c r="Q7" i="1"/>
  <c r="K8" i="1"/>
  <c r="P8" i="1"/>
  <c r="Q8" i="1"/>
  <c r="K9" i="1"/>
  <c r="P9" i="1"/>
  <c r="Q9" i="1"/>
  <c r="K10" i="1"/>
  <c r="P10" i="1"/>
  <c r="Q10" i="1"/>
  <c r="K11" i="1"/>
  <c r="P11" i="1"/>
  <c r="Q11" i="1"/>
  <c r="K12" i="1"/>
  <c r="P12" i="1"/>
  <c r="Q12" i="1"/>
  <c r="K13" i="1"/>
  <c r="P13" i="1"/>
  <c r="Q13" i="1"/>
  <c r="K14" i="1"/>
  <c r="P14" i="1"/>
  <c r="Q14" i="1"/>
  <c r="K15" i="1"/>
  <c r="P15" i="1"/>
  <c r="Q15" i="1"/>
  <c r="K16" i="1"/>
  <c r="P16" i="1"/>
  <c r="Q16" i="1"/>
  <c r="K17" i="1"/>
  <c r="P17" i="1"/>
  <c r="Q17" i="1"/>
  <c r="K18" i="1"/>
  <c r="P18" i="1"/>
  <c r="Q18" i="1"/>
  <c r="K19" i="1"/>
  <c r="P19" i="1"/>
  <c r="Q19" i="1"/>
  <c r="K20" i="1"/>
  <c r="P20" i="1"/>
  <c r="Q20" i="1"/>
  <c r="K21" i="1"/>
  <c r="P21" i="1"/>
  <c r="Q21" i="1"/>
  <c r="K22" i="1"/>
  <c r="P22" i="1"/>
  <c r="Q22" i="1"/>
  <c r="K23" i="1"/>
  <c r="P23" i="1"/>
  <c r="Q23" i="1"/>
  <c r="K24" i="1"/>
  <c r="P24" i="1"/>
  <c r="Q24" i="1"/>
  <c r="K25" i="1"/>
  <c r="P25" i="1"/>
  <c r="Q25" i="1"/>
  <c r="K26" i="1"/>
  <c r="P26" i="1"/>
  <c r="Q26" i="1"/>
  <c r="K27" i="1"/>
  <c r="P27" i="1"/>
  <c r="Q27" i="1"/>
  <c r="K28" i="1"/>
  <c r="P28" i="1"/>
  <c r="Q28" i="1"/>
  <c r="K29" i="1"/>
  <c r="P29" i="1"/>
  <c r="Q29" i="1"/>
  <c r="K30" i="1"/>
  <c r="P30" i="1"/>
  <c r="Q30" i="1"/>
  <c r="K31" i="1"/>
  <c r="P31" i="1"/>
  <c r="Q31" i="1"/>
  <c r="K32" i="1"/>
  <c r="P32" i="1"/>
  <c r="Q32" i="1"/>
  <c r="K33" i="1"/>
  <c r="P33" i="1"/>
  <c r="Q33" i="1"/>
  <c r="K34" i="1"/>
  <c r="P34" i="1"/>
  <c r="Q34" i="1"/>
  <c r="K35" i="1"/>
  <c r="P35" i="1"/>
  <c r="Q35" i="1"/>
  <c r="K36" i="1"/>
  <c r="P36" i="1"/>
  <c r="Q36" i="1"/>
  <c r="K37" i="1"/>
  <c r="P37" i="1"/>
  <c r="Q37" i="1"/>
  <c r="K38" i="1"/>
  <c r="P38" i="1"/>
  <c r="Q38" i="1"/>
  <c r="K39" i="1"/>
  <c r="P39" i="1"/>
  <c r="Q39" i="1"/>
  <c r="K40" i="1"/>
  <c r="P40" i="1"/>
  <c r="Q40" i="1"/>
  <c r="K41" i="1"/>
  <c r="P41" i="1"/>
  <c r="Q41" i="1"/>
  <c r="K42" i="1"/>
  <c r="P42" i="1"/>
  <c r="Q42" i="1"/>
  <c r="K43" i="1"/>
  <c r="P43" i="1"/>
  <c r="Q43" i="1"/>
  <c r="K44" i="1"/>
  <c r="P44" i="1"/>
  <c r="Q44" i="1"/>
  <c r="K45" i="1"/>
  <c r="P45" i="1"/>
  <c r="Q45" i="1"/>
  <c r="K46" i="1"/>
  <c r="P46" i="1"/>
  <c r="Q46" i="1"/>
  <c r="K47" i="1"/>
  <c r="P47" i="1"/>
  <c r="Q47" i="1"/>
  <c r="K48" i="1"/>
  <c r="P48" i="1"/>
  <c r="Q48" i="1"/>
  <c r="K49" i="1"/>
  <c r="P49" i="1"/>
  <c r="Q49" i="1"/>
  <c r="K50" i="1"/>
  <c r="P50" i="1"/>
  <c r="Q50" i="1"/>
  <c r="K51" i="1"/>
  <c r="P51" i="1"/>
  <c r="Q51" i="1"/>
  <c r="K52" i="1"/>
  <c r="P52" i="1"/>
  <c r="Q52" i="1"/>
  <c r="K53" i="1"/>
  <c r="P53" i="1"/>
  <c r="Q53" i="1"/>
  <c r="K54" i="1"/>
  <c r="P54" i="1"/>
  <c r="Q54" i="1"/>
  <c r="K55" i="1"/>
  <c r="P55" i="1"/>
  <c r="Q55" i="1"/>
  <c r="K56" i="1"/>
  <c r="P56" i="1"/>
  <c r="Q56" i="1"/>
  <c r="K57" i="1"/>
  <c r="P57" i="1"/>
  <c r="Q57" i="1"/>
  <c r="K58" i="1"/>
  <c r="P58" i="1"/>
  <c r="Q58" i="1"/>
  <c r="K59" i="1"/>
  <c r="P59" i="1"/>
  <c r="Q59" i="1"/>
  <c r="K60" i="1"/>
  <c r="P60" i="1"/>
  <c r="Q60" i="1"/>
  <c r="K61" i="1"/>
  <c r="P61" i="1"/>
  <c r="Q61" i="1"/>
  <c r="K62" i="1"/>
  <c r="P62" i="1"/>
  <c r="Q62" i="1"/>
  <c r="K63" i="1"/>
  <c r="P63" i="1"/>
  <c r="Q63" i="1"/>
  <c r="K64" i="1"/>
  <c r="P64" i="1"/>
  <c r="Q64" i="1"/>
  <c r="K65" i="1"/>
  <c r="P65" i="1"/>
  <c r="Q65" i="1"/>
  <c r="K66" i="1"/>
  <c r="P66" i="1"/>
  <c r="Q66" i="1"/>
  <c r="K67" i="1"/>
  <c r="P67" i="1"/>
  <c r="Q67" i="1"/>
  <c r="K68" i="1"/>
  <c r="P68" i="1"/>
  <c r="Q68" i="1"/>
  <c r="K69" i="1"/>
  <c r="P69" i="1"/>
  <c r="Q69" i="1"/>
  <c r="K70" i="1"/>
  <c r="P70" i="1"/>
  <c r="Q70" i="1"/>
  <c r="K71" i="1"/>
  <c r="P71" i="1"/>
  <c r="Q71" i="1"/>
  <c r="K72" i="1"/>
  <c r="P72" i="1"/>
  <c r="Q72" i="1"/>
  <c r="K73" i="1"/>
  <c r="P73" i="1"/>
  <c r="Q73" i="1"/>
  <c r="K74" i="1"/>
  <c r="P74" i="1"/>
  <c r="Q74" i="1"/>
  <c r="K75" i="1"/>
  <c r="P75" i="1"/>
  <c r="Q75" i="1"/>
  <c r="K76" i="1"/>
  <c r="P76" i="1"/>
  <c r="Q76" i="1"/>
  <c r="K77" i="1"/>
  <c r="P77" i="1"/>
  <c r="Q77" i="1"/>
  <c r="K78" i="1"/>
  <c r="P78" i="1"/>
  <c r="Q78" i="1"/>
  <c r="K79" i="1"/>
  <c r="P79" i="1"/>
  <c r="Q79" i="1"/>
  <c r="K80" i="1"/>
  <c r="P80" i="1"/>
  <c r="Q80" i="1"/>
  <c r="K81" i="1"/>
  <c r="P81" i="1"/>
  <c r="Q81" i="1"/>
  <c r="K82" i="1"/>
  <c r="P82" i="1"/>
  <c r="Q82" i="1"/>
  <c r="K83" i="1"/>
  <c r="P83" i="1"/>
  <c r="Q83" i="1"/>
  <c r="K84" i="1"/>
  <c r="P84" i="1"/>
  <c r="Q84" i="1"/>
  <c r="K85" i="1"/>
  <c r="P85" i="1"/>
  <c r="Q85" i="1"/>
  <c r="K86" i="1"/>
  <c r="P86" i="1"/>
  <c r="Q86" i="1"/>
  <c r="K87" i="1"/>
  <c r="P87" i="1"/>
  <c r="Q87" i="1"/>
  <c r="K88" i="1"/>
  <c r="P88" i="1"/>
  <c r="Q88" i="1"/>
  <c r="K89" i="1"/>
  <c r="P89" i="1"/>
  <c r="Q89" i="1"/>
  <c r="K90" i="1"/>
  <c r="P90" i="1"/>
  <c r="Q90" i="1"/>
  <c r="K91" i="1"/>
  <c r="P91" i="1"/>
  <c r="Q91" i="1"/>
  <c r="K92" i="1"/>
  <c r="P92" i="1"/>
  <c r="Q92" i="1"/>
  <c r="K93" i="1"/>
  <c r="P93" i="1"/>
  <c r="Q93" i="1"/>
  <c r="K94" i="1"/>
  <c r="P94" i="1"/>
  <c r="Q94" i="1"/>
  <c r="K95" i="1"/>
  <c r="P95" i="1"/>
  <c r="Q95" i="1"/>
  <c r="K96" i="1"/>
  <c r="P96" i="1"/>
  <c r="Q96" i="1"/>
  <c r="K97" i="1"/>
  <c r="P97" i="1"/>
  <c r="Q97" i="1"/>
  <c r="K98" i="1"/>
  <c r="P98" i="1"/>
  <c r="Q98" i="1"/>
  <c r="K99" i="1"/>
  <c r="P99" i="1"/>
  <c r="Q99" i="1"/>
  <c r="K100" i="1"/>
  <c r="P100" i="1"/>
  <c r="Q100" i="1"/>
  <c r="K101" i="1"/>
  <c r="P101" i="1"/>
  <c r="Q101" i="1"/>
  <c r="K102" i="1"/>
  <c r="P102" i="1"/>
  <c r="Q102" i="1"/>
  <c r="K103" i="1"/>
  <c r="P103" i="1"/>
  <c r="Q103" i="1"/>
  <c r="K104" i="1"/>
  <c r="P104" i="1"/>
  <c r="Q104" i="1"/>
  <c r="K105" i="1"/>
  <c r="P105" i="1"/>
  <c r="Q105" i="1"/>
  <c r="K106" i="1"/>
  <c r="P106" i="1"/>
  <c r="Q106" i="1"/>
  <c r="K107" i="1"/>
  <c r="P107" i="1"/>
  <c r="Q107" i="1"/>
  <c r="K108" i="1"/>
  <c r="P108" i="1"/>
  <c r="Q108" i="1"/>
  <c r="K109" i="1"/>
  <c r="P109" i="1"/>
  <c r="Q109" i="1"/>
  <c r="K110" i="1"/>
  <c r="P110" i="1"/>
  <c r="Q110" i="1"/>
  <c r="K111" i="1"/>
  <c r="P111" i="1"/>
  <c r="Q111" i="1"/>
  <c r="K112" i="1"/>
  <c r="P112" i="1"/>
  <c r="Q112" i="1"/>
  <c r="K113" i="1"/>
  <c r="P113" i="1"/>
  <c r="Q113" i="1"/>
  <c r="K114" i="1"/>
  <c r="P114" i="1"/>
  <c r="Q114" i="1"/>
  <c r="K115" i="1"/>
  <c r="P115" i="1"/>
  <c r="Q115" i="1"/>
  <c r="K116" i="1"/>
  <c r="P116" i="1"/>
  <c r="Q116" i="1"/>
  <c r="K117" i="1"/>
  <c r="P117" i="1"/>
  <c r="Q117" i="1"/>
  <c r="K118" i="1"/>
  <c r="P118" i="1"/>
  <c r="Q118" i="1"/>
  <c r="K119" i="1"/>
  <c r="P119" i="1"/>
  <c r="Q119" i="1"/>
  <c r="K120" i="1"/>
  <c r="P120" i="1"/>
  <c r="Q120" i="1"/>
  <c r="K121" i="1"/>
  <c r="P121" i="1"/>
  <c r="Q121" i="1"/>
  <c r="K122" i="1"/>
  <c r="P122" i="1"/>
  <c r="Q122" i="1"/>
  <c r="K123" i="1"/>
  <c r="P123" i="1"/>
  <c r="Q123" i="1"/>
  <c r="K124" i="1"/>
  <c r="P124" i="1"/>
  <c r="Q124" i="1"/>
  <c r="K125" i="1"/>
  <c r="P125" i="1"/>
  <c r="Q125" i="1"/>
  <c r="K126" i="1"/>
  <c r="P126" i="1"/>
  <c r="Q126" i="1"/>
  <c r="K127" i="1"/>
  <c r="P127" i="1"/>
  <c r="Q127" i="1"/>
  <c r="K128" i="1"/>
  <c r="P128" i="1"/>
  <c r="Q128" i="1"/>
  <c r="K129" i="1"/>
  <c r="P129" i="1"/>
  <c r="Q129" i="1"/>
  <c r="K130" i="1"/>
  <c r="P130" i="1"/>
  <c r="Q130" i="1"/>
  <c r="K131" i="1"/>
  <c r="P131" i="1"/>
  <c r="Q131" i="1"/>
  <c r="K132" i="1"/>
  <c r="P132" i="1"/>
  <c r="Q132" i="1"/>
  <c r="K133" i="1"/>
  <c r="P133" i="1"/>
  <c r="Q133" i="1"/>
  <c r="K134" i="1"/>
  <c r="P134" i="1"/>
  <c r="Q134" i="1"/>
  <c r="K135" i="1"/>
  <c r="P135" i="1"/>
  <c r="Q135" i="1"/>
  <c r="K136" i="1"/>
  <c r="P136" i="1"/>
  <c r="Q136" i="1"/>
  <c r="K137" i="1"/>
  <c r="P137" i="1"/>
  <c r="Q137" i="1"/>
  <c r="K138" i="1"/>
  <c r="P138" i="1"/>
  <c r="Q138" i="1"/>
  <c r="K139" i="1"/>
  <c r="P139" i="1"/>
  <c r="Q139" i="1"/>
  <c r="K140" i="1"/>
  <c r="P140" i="1"/>
  <c r="Q140" i="1"/>
  <c r="K141" i="1"/>
  <c r="P141" i="1"/>
  <c r="Q141" i="1"/>
  <c r="K142" i="1"/>
  <c r="P142" i="1"/>
  <c r="Q142" i="1"/>
  <c r="K143" i="1"/>
  <c r="P143" i="1"/>
  <c r="Q143" i="1"/>
  <c r="K144" i="1"/>
  <c r="P144" i="1"/>
  <c r="Q144" i="1"/>
  <c r="K145" i="1"/>
  <c r="P145" i="1"/>
  <c r="Q145" i="1"/>
  <c r="K146" i="1"/>
  <c r="P146" i="1"/>
  <c r="Q146" i="1"/>
  <c r="K147" i="1"/>
  <c r="P147" i="1"/>
  <c r="Q147" i="1"/>
  <c r="K148" i="1"/>
  <c r="P148" i="1"/>
  <c r="Q148" i="1"/>
  <c r="K149" i="1"/>
  <c r="P149" i="1"/>
  <c r="Q149" i="1"/>
  <c r="K150" i="1"/>
  <c r="P150" i="1"/>
  <c r="Q150" i="1"/>
  <c r="K151" i="1"/>
  <c r="P151" i="1"/>
  <c r="Q151" i="1"/>
  <c r="K152" i="1"/>
  <c r="P152" i="1"/>
  <c r="Q152" i="1"/>
  <c r="K153" i="1"/>
  <c r="P153" i="1"/>
  <c r="Q153" i="1"/>
  <c r="K154" i="1"/>
  <c r="P154" i="1"/>
  <c r="Q154" i="1"/>
  <c r="K155" i="1"/>
  <c r="P155" i="1"/>
  <c r="Q155" i="1"/>
  <c r="K156" i="1"/>
  <c r="P156" i="1"/>
  <c r="Q156" i="1"/>
  <c r="K157" i="1"/>
  <c r="P157" i="1"/>
  <c r="Q157" i="1"/>
  <c r="K158" i="1"/>
  <c r="P158" i="1"/>
  <c r="Q158" i="1"/>
  <c r="K159" i="1"/>
  <c r="P159" i="1"/>
  <c r="Q159" i="1"/>
  <c r="K160" i="1"/>
  <c r="P160" i="1"/>
  <c r="Q160" i="1"/>
  <c r="K161" i="1"/>
  <c r="P161" i="1"/>
  <c r="Q161" i="1"/>
  <c r="K162" i="1"/>
  <c r="P162" i="1"/>
  <c r="Q162" i="1"/>
  <c r="K163" i="1"/>
  <c r="P163" i="1"/>
  <c r="Q163" i="1"/>
  <c r="K164" i="1"/>
  <c r="P164" i="1"/>
  <c r="Q164" i="1"/>
  <c r="K165" i="1"/>
  <c r="P165" i="1"/>
  <c r="Q165" i="1"/>
  <c r="K166" i="1"/>
  <c r="P166" i="1"/>
  <c r="Q166" i="1"/>
  <c r="K167" i="1"/>
  <c r="P167" i="1"/>
  <c r="Q167" i="1"/>
  <c r="K168" i="1"/>
  <c r="P168" i="1"/>
  <c r="Q168" i="1"/>
  <c r="K169" i="1"/>
  <c r="P169" i="1"/>
  <c r="Q169" i="1"/>
  <c r="K170" i="1"/>
  <c r="P170" i="1"/>
  <c r="Q170" i="1"/>
  <c r="K171" i="1"/>
  <c r="P171" i="1"/>
  <c r="Q171" i="1"/>
  <c r="K172" i="1"/>
  <c r="P172" i="1"/>
  <c r="Q172" i="1"/>
  <c r="K173" i="1"/>
  <c r="P173" i="1"/>
  <c r="Q173" i="1"/>
  <c r="K174" i="1"/>
  <c r="P174" i="1"/>
  <c r="Q174" i="1"/>
  <c r="K175" i="1"/>
  <c r="P175" i="1"/>
  <c r="Q175" i="1"/>
  <c r="K176" i="1"/>
  <c r="P176" i="1"/>
  <c r="Q176" i="1"/>
  <c r="K177" i="1"/>
  <c r="P177" i="1"/>
  <c r="Q177" i="1"/>
  <c r="K178" i="1"/>
  <c r="P178" i="1"/>
  <c r="Q178" i="1"/>
  <c r="K179" i="1"/>
  <c r="P179" i="1"/>
  <c r="Q179" i="1"/>
  <c r="K180" i="1"/>
  <c r="P180" i="1"/>
  <c r="Q180" i="1"/>
  <c r="K181" i="1"/>
  <c r="P181" i="1"/>
  <c r="Q181" i="1"/>
  <c r="K182" i="1"/>
  <c r="P182" i="1"/>
  <c r="Q182" i="1"/>
  <c r="K183" i="1"/>
  <c r="P183" i="1"/>
  <c r="Q183" i="1"/>
  <c r="K184" i="1"/>
  <c r="P184" i="1"/>
  <c r="Q184" i="1"/>
  <c r="K185" i="1"/>
  <c r="P185" i="1"/>
  <c r="Q185" i="1"/>
  <c r="K186" i="1"/>
  <c r="P186" i="1"/>
  <c r="Q186" i="1"/>
  <c r="K187" i="1"/>
  <c r="P187" i="1"/>
  <c r="Q187" i="1"/>
  <c r="K188" i="1"/>
  <c r="P188" i="1"/>
  <c r="Q188" i="1"/>
  <c r="K189" i="1"/>
  <c r="P189" i="1"/>
  <c r="Q189" i="1"/>
  <c r="K190" i="1"/>
  <c r="P190" i="1"/>
  <c r="Q190" i="1"/>
  <c r="K191" i="1"/>
  <c r="P191" i="1"/>
  <c r="Q191" i="1"/>
  <c r="K192" i="1"/>
  <c r="P192" i="1"/>
  <c r="Q192" i="1"/>
  <c r="K193" i="1"/>
  <c r="P193" i="1"/>
  <c r="Q193" i="1"/>
  <c r="K194" i="1"/>
  <c r="P194" i="1"/>
  <c r="Q194" i="1"/>
  <c r="K195" i="1"/>
  <c r="P195" i="1"/>
  <c r="Q195" i="1"/>
  <c r="K196" i="1"/>
  <c r="P196" i="1"/>
  <c r="Q196" i="1"/>
  <c r="K197" i="1"/>
  <c r="P197" i="1"/>
  <c r="Q197" i="1"/>
  <c r="K198" i="1"/>
  <c r="P198" i="1"/>
  <c r="Q198" i="1"/>
  <c r="K199" i="1"/>
  <c r="P199" i="1"/>
  <c r="Q199" i="1"/>
  <c r="K200" i="1"/>
  <c r="P200" i="1"/>
  <c r="Q200" i="1"/>
  <c r="K201" i="1"/>
  <c r="P201" i="1"/>
  <c r="Q201" i="1"/>
  <c r="Q2" i="1"/>
  <c r="N2" i="1" a="1"/>
  <c r="N2" i="1" s="1"/>
  <c r="O2" i="1"/>
  <c r="P2" i="1"/>
  <c r="K2" i="1"/>
  <c r="J2" i="1" a="1"/>
  <c r="J2" i="1" s="1"/>
  <c r="S2" i="1" l="1"/>
  <c r="M2" i="1" a="1"/>
  <c r="M2" i="1" s="1"/>
  <c r="L2" i="1" a="1"/>
  <c r="L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<sst xmlns="http://schemas.openxmlformats.org/spreadsheetml/2006/main" count="928" uniqueCount="155">
  <si>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</si>
  <si>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</si>
  <si>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</si>
  <si>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</si>
  <si>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</si>
  <si>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</si>
  <si>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</si>
  <si>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</si>
  <si>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</si>
  <si>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</si>
  <si>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</si>
  <si>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</si>
  <si>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</si>
  <si>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</si>
  <si>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</si>
  <si>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</si>
  <si>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</si>
  <si>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</si>
  <si>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</si>
  <si>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</si>
  <si>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</si>
  <si>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</si>
  <si>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</si>
  <si>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</si>
  <si>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</si>
  <si>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</si>
  <si>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</si>
  <si>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</si>
  <si>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</si>
  <si>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</si>
  <si>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</si>
  <si>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</si>
  <si>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</si>
  <si>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</si>
  <si>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</si>
  <si>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</si>
  <si>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</si>
  <si>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</si>
  <si>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</si>
  <si>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</si>
  <si>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</si>
  <si>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</si>
  <si>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</si>
  <si>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</si>
  <si>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</si>
  <si>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</si>
  <si>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</si>
  <si>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</si>
  <si>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</si>
  <si>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</si>
  <si>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</si>
  <si>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</si>
  <si>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</si>
  <si>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</si>
  <si>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</si>
  <si>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</si>
  <si>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</si>
  <si>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</si>
  <si>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</si>
  <si>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</si>
  <si>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</si>
  <si>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</si>
  <si>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</si>
  <si>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</si>
  <si>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</si>
  <si>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</si>
  <si>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</si>
  <si>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</si>
  <si>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</si>
  <si>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</si>
  <si>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</si>
  <si>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</si>
  <si>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</si>
  <si>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</si>
  <si>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</si>
  <si>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</si>
  <si>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</si>
  <si>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</si>
  <si>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</si>
  <si>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</si>
  <si>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</si>
  <si>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</si>
  <si>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</si>
  <si>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</si>
  <si>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</si>
  <si>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</si>
  <si>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</si>
  <si>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</si>
  <si>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</si>
  <si>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</si>
  <si>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</si>
  <si>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</si>
  <si>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</si>
  <si>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</si>
  <si>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</si>
  <si>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</si>
  <si>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</si>
  <si>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</si>
  <si>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</si>
  <si>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</si>
  <si>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</si>
  <si>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</si>
  <si>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</si>
  <si>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</si>
  <si>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</si>
  <si>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</si>
  <si>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</si>
  <si>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</si>
  <si>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</si>
  <si>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</si>
  <si>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</si>
  <si>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</si>
  <si>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Row Labels</t>
  </si>
  <si>
    <t>Grand Total</t>
  </si>
  <si>
    <t>Timestamp</t>
  </si>
  <si>
    <t>Column Labels</t>
  </si>
  <si>
    <t>Sum of Sales</t>
  </si>
  <si>
    <t>CALCULATE GROWTH</t>
  </si>
  <si>
    <t>Monthly Sales Growth</t>
  </si>
  <si>
    <t>Month</t>
  </si>
  <si>
    <t>FILTER / HIGH VALUE CUSTOMER</t>
  </si>
  <si>
    <t>INDEX + MATCH</t>
  </si>
  <si>
    <t>TOTAL SALES PER CUSTOMERS</t>
  </si>
  <si>
    <t>SALES CONTRIBUTION BY CATEGORY</t>
  </si>
  <si>
    <t>TOTAL SALES BY REGION</t>
  </si>
  <si>
    <t>TEST DISCOUNT</t>
  </si>
  <si>
    <t>ADJUST PROFIT</t>
  </si>
  <si>
    <t>TOTAL ADJUST  PROFIT</t>
  </si>
  <si>
    <t>DISCOUNT %</t>
  </si>
  <si>
    <t xml:space="preserve">TOTAL PROFIT </t>
  </si>
  <si>
    <t>Apr-2024</t>
  </si>
  <si>
    <t>Apr-2025</t>
  </si>
  <si>
    <t>Aug-2024</t>
  </si>
  <si>
    <t>Dec-2024</t>
  </si>
  <si>
    <t>Feb-2025</t>
  </si>
  <si>
    <t>Jan-2025</t>
  </si>
  <si>
    <t>Jul-2024</t>
  </si>
  <si>
    <t>Jun-2024</t>
  </si>
  <si>
    <t>Mar-2025</t>
  </si>
  <si>
    <t>May-2024</t>
  </si>
  <si>
    <t>Nov-2024</t>
  </si>
  <si>
    <t>Oct-2024</t>
  </si>
  <si>
    <t>Sep-2024</t>
  </si>
  <si>
    <t>(blank)</t>
  </si>
  <si>
    <t xml:space="preserve"> Line Chart – Monthly Sales Trend</t>
  </si>
  <si>
    <t>KPI ' S</t>
  </si>
  <si>
    <t>Total Sales</t>
  </si>
  <si>
    <t>Total Profit</t>
  </si>
  <si>
    <t>Total Orders</t>
  </si>
  <si>
    <t>Average Discount</t>
  </si>
  <si>
    <t>Charts</t>
  </si>
  <si>
    <t>PIE CHART - SALES CONTRIBUTION BY CATEGORY</t>
  </si>
  <si>
    <t>BAR CHART - TOTAL SALES BY REGION</t>
  </si>
  <si>
    <t>Slicer</t>
  </si>
  <si>
    <t>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</si>
</sst>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7" x14ac:knownFonts="1">
    <font>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sz val="8"/>
      <name val="Aptos Narrow"/>
      <family val="2"/>
      <scheme val="minor"/>
    </font>
    <font>
      <b/>
      <sz val="20"/>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b/>
      <sz val="16"/>
      <color theme="1"/>
      <name val="Aptos Narrow"/>
      <family val="2"/>
      <scheme val="minor"/>
    </font>
    <font>
      <sz val="18"/>
      <color theme="0"/>
      <name val="Aptos Narrow"/>
      <family val="2"/>
      <scheme val="minor"/>
    </font>
    <font>
      <b/>
      <sz val="18"/>
      <color theme="1"/>
      <name val="Aptos Narrow"/>
      <family val="2"/>
      <scheme val="minor"/>
    </font>
    <font>
      <sz val="18"/>
      <color theme="1"/>
      <name val="Aptos Narrow"/>
      <family val="2"/>
      <scheme val="minor"/>
    </font>
    <font>
      <b/>
      <sz val="18"/>
      <color theme="2"/>
      <name val="Aptos Narrow"/>
      <family val="2"/>
      <scheme val="minor"/>
    </font>
    <font>
      <b/>
      <sz val="20"/>
      <color theme="2"/>
      <name val="Aptos Narrow"/>
      <family val="2"/>
      <scheme val="minor"/>
    </font>
    <font>
      <sz val="11"/>
      <color theme="6" tint="-0.249977111117893"/>
      <name val="Calibri"/>
      <family val="2"/>
    </font>
    <font>
      <sz val="11"/>
      <color theme="6" tint="-0.249977111117893"/>
      <name val="Aptos Narrow"/>
      <family val="2"/>
      <scheme val="minor"/>
    </font>
  </fonts>
  <fills count="10">
    <fill>
      <patternFill patternType="none"/>
    </fill>
    <fill>
      <patternFill patternType="gray125"/>
    </fill>
    <fill>
      <patternFill patternType="solid">
        <fgColor theme="3" tint="0.89999084444715716"/>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4"/>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6"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s>
  <cellStyleXfs count="2">
    <xf numFmtId="0" fontId="0" fillId="0" borderId="0"/>
    <xf numFmtId="9" fontId="6" fillId="0" borderId="0" applyFont="0" applyFill="0" applyBorder="0" applyAlignment="0" applyProtection="0"/>
  </cellStyleXfs>
  <cellXfs count="67">
    <xf numFmtId="0" fontId="0" fillId="0" borderId="0" xfId="0"/>
    <xf numFmtId="0" fontId="0" fillId="0" borderId="0" xfId="0" applyAlignment="1">
      <alignment horizontal="center" vertical="center"/>
    </xf>
    <xf numFmtId="0" fontId="5" fillId="0" borderId="0" xfId="0" applyFont="1"/>
    <xf numFmtId="9" fontId="0" fillId="0" borderId="0" xfId="1" applyFont="1"/>
    <xf numFmtId="164" fontId="0" fillId="0" borderId="0" xfId="0" applyNumberFormat="1"/>
    <xf numFmtId="0" fontId="5" fillId="0" borderId="0" xfId="0" applyFont="1" applyAlignment="1">
      <alignment horizontal="center"/>
    </xf>
    <xf numFmtId="0" fontId="0" fillId="0" borderId="0" xfId="0" applyAlignment="1">
      <alignment horizontal="center"/>
    </xf>
    <xf numFmtId="0" fontId="8" fillId="4" borderId="1" xfId="0" applyFont="1" applyFill="1" applyBorder="1"/>
    <xf numFmtId="0" fontId="0" fillId="5" borderId="1" xfId="0" applyFill="1" applyBorder="1" applyAlignment="1">
      <alignment horizontal="left"/>
    </xf>
    <xf numFmtId="0" fontId="0" fillId="5" borderId="1" xfId="0" applyFill="1" applyBorder="1"/>
    <xf numFmtId="0" fontId="0" fillId="4" borderId="1" xfId="0" applyFont="1" applyFill="1" applyBorder="1" applyAlignment="1">
      <alignment horizontal="left"/>
    </xf>
    <xf numFmtId="0" fontId="0" fillId="4" borderId="1" xfId="0" applyFont="1" applyFill="1" applyBorder="1"/>
    <xf numFmtId="0" fontId="0" fillId="0" borderId="1" xfId="0" pivotButton="1" applyBorder="1"/>
    <xf numFmtId="0" fontId="0" fillId="0" borderId="1" xfId="0" applyBorder="1"/>
    <xf numFmtId="0" fontId="0" fillId="0" borderId="1" xfId="0" applyBorder="1" applyAlignment="1">
      <alignment horizontal="left"/>
    </xf>
    <xf numFmtId="0" fontId="9" fillId="0" borderId="1" xfId="0" applyFont="1" applyBorder="1"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vertical="center"/>
    </xf>
    <xf numFmtId="0" fontId="0" fillId="2" borderId="0" xfId="0" applyFill="1"/>
    <xf numFmtId="0" fontId="10" fillId="6" borderId="2" xfId="0" applyFont="1" applyFill="1" applyBorder="1" applyAlignment="1">
      <alignment horizontal="center" vertical="center"/>
    </xf>
    <xf numFmtId="0" fontId="7" fillId="7" borderId="2" xfId="0" applyFont="1" applyFill="1" applyBorder="1" applyAlignment="1">
      <alignment horizontal="center" vertical="center"/>
    </xf>
    <xf numFmtId="0" fontId="0" fillId="3" borderId="2" xfId="0" applyFill="1" applyBorder="1" applyAlignment="1">
      <alignment horizontal="center" vertical="center"/>
    </xf>
    <xf numFmtId="0" fontId="12" fillId="8" borderId="1" xfId="0" applyFont="1" applyFill="1" applyBorder="1" applyAlignment="1">
      <alignment horizontal="center" vertical="center"/>
    </xf>
    <xf numFmtId="0" fontId="13" fillId="8" borderId="1" xfId="0" applyFont="1" applyFill="1" applyBorder="1" applyAlignment="1">
      <alignment horizontal="center" vertical="center"/>
    </xf>
    <xf numFmtId="0" fontId="5"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0" fillId="0" borderId="1" xfId="0" applyNumberFormat="1" applyBorder="1"/>
    <xf numFmtId="0" fontId="14" fillId="8" borderId="1" xfId="0" applyFont="1" applyFill="1" applyBorder="1" applyAlignment="1">
      <alignment horizontal="center" vertical="center"/>
    </xf>
    <xf numFmtId="0" fontId="0" fillId="4" borderId="1" xfId="0" applyFont="1" applyFill="1" applyBorder="1" applyAlignment="1">
      <alignment horizontal="center" vertical="center"/>
    </xf>
    <xf numFmtId="0" fontId="7" fillId="3" borderId="0" xfId="0" applyFont="1" applyFill="1" applyAlignment="1">
      <alignment vertical="center"/>
    </xf>
    <xf numFmtId="0" fontId="7" fillId="4" borderId="1" xfId="0" applyFont="1" applyFill="1" applyBorder="1" applyAlignment="1">
      <alignment horizontal="centerContinuous"/>
    </xf>
    <xf numFmtId="0" fontId="3" fillId="4" borderId="1" xfId="0" applyFont="1" applyFill="1" applyBorder="1" applyAlignment="1">
      <alignment horizontal="center"/>
    </xf>
    <xf numFmtId="0" fontId="7" fillId="3" borderId="1" xfId="0" applyFont="1" applyFill="1" applyBorder="1"/>
    <xf numFmtId="0" fontId="0" fillId="0" borderId="1" xfId="0" applyFont="1" applyBorder="1"/>
    <xf numFmtId="0" fontId="0" fillId="0" borderId="1" xfId="0" applyFont="1" applyBorder="1" applyAlignment="1">
      <alignment horizontal="center"/>
    </xf>
    <xf numFmtId="0" fontId="7" fillId="4" borderId="1" xfId="0" applyFont="1" applyFill="1" applyBorder="1" applyAlignment="1">
      <alignment horizontal="center"/>
    </xf>
    <xf numFmtId="0" fontId="2" fillId="0" borderId="1" xfId="0" applyFont="1" applyBorder="1" applyAlignment="1">
      <alignment wrapText="1"/>
    </xf>
    <xf numFmtId="0" fontId="2" fillId="0" borderId="1" xfId="0" applyFont="1" applyBorder="1" applyAlignment="1">
      <alignment horizontal="right" wrapText="1"/>
    </xf>
    <xf numFmtId="14" fontId="2" fillId="0" borderId="1" xfId="0" applyNumberFormat="1" applyFont="1" applyBorder="1" applyAlignment="1">
      <alignment horizontal="right" wrapText="1"/>
    </xf>
    <xf numFmtId="22" fontId="0" fillId="0" borderId="1" xfId="0" applyNumberFormat="1" applyBorder="1"/>
    <xf numFmtId="9" fontId="0" fillId="0" borderId="1" xfId="1" applyFont="1" applyBorder="1"/>
    <xf numFmtId="164" fontId="0" fillId="0" borderId="1" xfId="0" applyNumberFormat="1" applyBorder="1"/>
    <xf numFmtId="0" fontId="1" fillId="4" borderId="1" xfId="0" applyFont="1" applyFill="1" applyBorder="1" applyAlignment="1">
      <alignment horizontal="center" vertical="center" wrapText="1"/>
    </xf>
    <xf numFmtId="0" fontId="2" fillId="9" borderId="1" xfId="0" applyFont="1" applyFill="1" applyBorder="1" applyAlignment="1">
      <alignment wrapText="1"/>
    </xf>
    <xf numFmtId="0" fontId="2" fillId="9" borderId="1" xfId="0" applyFont="1" applyFill="1" applyBorder="1" applyAlignment="1">
      <alignment horizontal="right" wrapText="1"/>
    </xf>
    <xf numFmtId="14" fontId="2" fillId="9" borderId="1" xfId="0" applyNumberFormat="1" applyFont="1" applyFill="1" applyBorder="1" applyAlignment="1">
      <alignment horizontal="right" wrapText="1"/>
    </xf>
    <xf numFmtId="0" fontId="0" fillId="9" borderId="1" xfId="0" applyFill="1" applyBorder="1"/>
    <xf numFmtId="22" fontId="0" fillId="9" borderId="1" xfId="0" applyNumberFormat="1" applyFill="1" applyBorder="1"/>
    <xf numFmtId="0" fontId="0" fillId="9" borderId="1" xfId="0" applyFill="1" applyBorder="1" applyAlignment="1">
      <alignment horizontal="center" vertical="center"/>
    </xf>
    <xf numFmtId="9" fontId="0" fillId="9" borderId="1" xfId="1" applyFont="1" applyFill="1" applyBorder="1"/>
    <xf numFmtId="164" fontId="0" fillId="9" borderId="1" xfId="0" applyNumberFormat="1" applyFill="1" applyBorder="1"/>
    <xf numFmtId="164" fontId="0" fillId="9" borderId="0" xfId="0" applyNumberFormat="1" applyFill="1"/>
    <xf numFmtId="9" fontId="0" fillId="9" borderId="0" xfId="1" applyFont="1" applyFill="1"/>
    <xf numFmtId="0" fontId="0" fillId="9" borderId="0" xfId="0" applyFill="1"/>
    <xf numFmtId="0" fontId="15" fillId="9" borderId="1" xfId="0" applyFont="1" applyFill="1" applyBorder="1" applyAlignment="1">
      <alignment wrapText="1"/>
    </xf>
    <xf numFmtId="0" fontId="15" fillId="9" borderId="1" xfId="0" applyFont="1" applyFill="1" applyBorder="1" applyAlignment="1">
      <alignment horizontal="right" wrapText="1"/>
    </xf>
    <xf numFmtId="14" fontId="15" fillId="9" borderId="1" xfId="0" applyNumberFormat="1" applyFont="1" applyFill="1" applyBorder="1" applyAlignment="1">
      <alignment horizontal="right" wrapText="1"/>
    </xf>
    <xf numFmtId="0" fontId="16" fillId="9" borderId="1" xfId="0" applyFont="1" applyFill="1" applyBorder="1"/>
    <xf numFmtId="22" fontId="16" fillId="9" borderId="1" xfId="0" applyNumberFormat="1" applyFont="1" applyFill="1" applyBorder="1"/>
    <xf numFmtId="0" fontId="16" fillId="9" borderId="1" xfId="0" applyFont="1" applyFill="1" applyBorder="1" applyAlignment="1">
      <alignment horizontal="center" vertical="center"/>
    </xf>
    <xf numFmtId="9" fontId="16" fillId="9" borderId="1" xfId="1" applyFont="1" applyFill="1" applyBorder="1"/>
    <xf numFmtId="164" fontId="16" fillId="9" borderId="1" xfId="0" applyNumberFormat="1" applyFont="1" applyFill="1" applyBorder="1"/>
    <xf numFmtId="164" fontId="16" fillId="9" borderId="0" xfId="0" applyNumberFormat="1" applyFont="1" applyFill="1"/>
    <xf numFmtId="9" fontId="16" fillId="9" borderId="0" xfId="1" applyFont="1" applyFill="1"/>
    <xf numFmtId="0" fontId="16" fillId="9" borderId="0" xfId="0" applyFont="1" applyFill="1"/>
  </cellXfs>
  <cellStyles count="2">
    <cellStyle name="Normal" xfId="0" builtinId="0"/>
    <cellStyle name="Percent" xfId="1" builtinId="5"/>
  </cellStyles>
  <dxfs count="6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bgColor theme="4" tint="0.79998168889431442"/>
        </patternFill>
      </fill>
    </dxf>
    <dxf>
      <fill>
        <patternFill>
          <bgColor theme="4"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2"/>
        </patternFill>
      </fill>
    </dxf>
    <dxf>
      <fill>
        <patternFill>
          <bgColor theme="4" tint="0.79998168889431442"/>
        </patternFill>
      </fill>
    </dxf>
    <dxf>
      <font>
        <color theme="1"/>
      </font>
    </dxf>
    <dxf>
      <font>
        <color theme="1"/>
      </font>
    </dxf>
    <dxf>
      <fill>
        <patternFill>
          <bgColor theme="4" tint="0.59999389629810485"/>
        </patternFill>
      </fill>
    </dxf>
    <dxf>
      <fill>
        <patternFill>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ont>
        <color theme="0"/>
      </font>
    </dxf>
    <dxf>
      <font>
        <color theme="0"/>
      </font>
    </dxf>
    <dxf>
      <font>
        <sz val="12"/>
      </font>
    </dxf>
    <dxf>
      <font>
        <sz val="12"/>
      </font>
    </dxf>
    <dxf>
      <fill>
        <patternFill patternType="solid">
          <bgColor theme="4" tint="-0.249977111117893"/>
        </patternFill>
      </fill>
    </dxf>
    <dxf>
      <font>
        <color theme="0"/>
      </font>
    </dxf>
    <dxf>
      <fill>
        <patternFill patternType="solid">
          <bgColor theme="3" tint="0.89999084444715716"/>
        </patternFill>
      </fill>
    </dxf>
    <dxf>
      <fill>
        <patternFill patternType="solid">
          <bgColor theme="3" tint="0.89999084444715716"/>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2.xlsx]Pivot Table!PivotTable4</c:name>
    <c:fmtId val="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Table'!$B$3:$B$4</c:f>
              <c:strCache>
                <c:ptCount val="1"/>
                <c:pt idx="0">
                  <c:v>Books</c:v>
                </c:pt>
              </c:strCache>
            </c:strRef>
          </c:tx>
          <c:dPt>
            <c:idx val="0"/>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7E5-4844-B639-BC96BB4AD95A}"/>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7E5-4844-B639-BC96BB4AD95A}"/>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7E5-4844-B639-BC96BB4AD95A}"/>
              </c:ext>
            </c:extLst>
          </c:dPt>
          <c:dPt>
            <c:idx val="3"/>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7E5-4844-B639-BC96BB4AD95A}"/>
              </c:ext>
            </c:extLst>
          </c:dPt>
          <c:dPt>
            <c:idx val="4"/>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7E5-4844-B639-BC96BB4AD9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Central</c:v>
                </c:pt>
                <c:pt idx="1">
                  <c:v>East</c:v>
                </c:pt>
                <c:pt idx="2">
                  <c:v>North</c:v>
                </c:pt>
                <c:pt idx="3">
                  <c:v>South</c:v>
                </c:pt>
                <c:pt idx="4">
                  <c:v>West</c:v>
                </c:pt>
              </c:strCache>
            </c:strRef>
          </c:cat>
          <c:val>
            <c:numRef>
              <c:f>'Pivot Table'!$B$5:$B$10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0FCF-4C22-93C5-918CDA8E2DFF}"/>
            </c:ext>
          </c:extLst>
        </c:ser>
        <c:ser>
          <c:idx val="1"/>
          <c:order val="1"/>
          <c:tx>
            <c:strRef>
              <c:f>'Pivot Table'!$C$3:$C$4</c:f>
              <c:strCache>
                <c:ptCount val="1"/>
                <c:pt idx="0">
                  <c:v>Clothing</c:v>
                </c:pt>
              </c:strCache>
            </c:strRef>
          </c:tx>
          <c:dPt>
            <c:idx val="0"/>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37E5-4844-B639-BC96BB4AD95A}"/>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37E5-4844-B639-BC96BB4AD95A}"/>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37E5-4844-B639-BC96BB4AD95A}"/>
              </c:ext>
            </c:extLst>
          </c:dPt>
          <c:dPt>
            <c:idx val="3"/>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37E5-4844-B639-BC96BB4AD95A}"/>
              </c:ext>
            </c:extLst>
          </c:dPt>
          <c:dPt>
            <c:idx val="4"/>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37E5-4844-B639-BC96BB4AD9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Central</c:v>
                </c:pt>
                <c:pt idx="1">
                  <c:v>East</c:v>
                </c:pt>
                <c:pt idx="2">
                  <c:v>North</c:v>
                </c:pt>
                <c:pt idx="3">
                  <c:v>South</c:v>
                </c:pt>
                <c:pt idx="4">
                  <c:v>West</c:v>
                </c:pt>
              </c:strCache>
            </c:strRef>
          </c:cat>
          <c:val>
            <c:numRef>
              <c:f>'Pivot Table'!$C$5:$C$10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0FCF-4C22-93C5-918CDA8E2DFF}"/>
            </c:ext>
          </c:extLst>
        </c:ser>
        <c:ser>
          <c:idx val="2"/>
          <c:order val="2"/>
          <c:tx>
            <c:strRef>
              <c:f>'Pivot Table'!$D$3:$D$4</c:f>
              <c:strCache>
                <c:ptCount val="1"/>
                <c:pt idx="0">
                  <c:v>Electronics</c:v>
                </c:pt>
              </c:strCache>
            </c:strRef>
          </c:tx>
          <c:dPt>
            <c:idx val="0"/>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37E5-4844-B639-BC96BB4AD95A}"/>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37E5-4844-B639-BC96BB4AD95A}"/>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37E5-4844-B639-BC96BB4AD95A}"/>
              </c:ext>
            </c:extLst>
          </c:dPt>
          <c:dPt>
            <c:idx val="3"/>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37E5-4844-B639-BC96BB4AD95A}"/>
              </c:ext>
            </c:extLst>
          </c:dPt>
          <c:dPt>
            <c:idx val="4"/>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37E5-4844-B639-BC96BB4AD9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Central</c:v>
                </c:pt>
                <c:pt idx="1">
                  <c:v>East</c:v>
                </c:pt>
                <c:pt idx="2">
                  <c:v>North</c:v>
                </c:pt>
                <c:pt idx="3">
                  <c:v>South</c:v>
                </c:pt>
                <c:pt idx="4">
                  <c:v>West</c:v>
                </c:pt>
              </c:strCache>
            </c:strRef>
          </c:cat>
          <c:val>
            <c:numRef>
              <c:f>'Pivot Table'!$D$5:$D$10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0FCF-4C22-93C5-918CDA8E2DFF}"/>
            </c:ext>
          </c:extLst>
        </c:ser>
        <c:ser>
          <c:idx val="3"/>
          <c:order val="3"/>
          <c:tx>
            <c:strRef>
              <c:f>'Pivot Table'!$E$3:$E$4</c:f>
              <c:strCache>
                <c:ptCount val="1"/>
                <c:pt idx="0">
                  <c:v>Furniture</c:v>
                </c:pt>
              </c:strCache>
            </c:strRef>
          </c:tx>
          <c:dPt>
            <c:idx val="0"/>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37E5-4844-B639-BC96BB4AD95A}"/>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37E5-4844-B639-BC96BB4AD95A}"/>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37E5-4844-B639-BC96BB4AD95A}"/>
              </c:ext>
            </c:extLst>
          </c:dPt>
          <c:dPt>
            <c:idx val="3"/>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37E5-4844-B639-BC96BB4AD95A}"/>
              </c:ext>
            </c:extLst>
          </c:dPt>
          <c:dPt>
            <c:idx val="4"/>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37E5-4844-B639-BC96BB4AD9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Central</c:v>
                </c:pt>
                <c:pt idx="1">
                  <c:v>East</c:v>
                </c:pt>
                <c:pt idx="2">
                  <c:v>North</c:v>
                </c:pt>
                <c:pt idx="3">
                  <c:v>South</c:v>
                </c:pt>
                <c:pt idx="4">
                  <c:v>West</c:v>
                </c:pt>
              </c:strCache>
            </c:strRef>
          </c:cat>
          <c:val>
            <c:numRef>
              <c:f>'Pivot Table'!$E$5:$E$10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0FCF-4C22-93C5-918CDA8E2DFF}"/>
            </c:ext>
          </c:extLst>
        </c:ser>
        <c:ser>
          <c:idx val="4"/>
          <c:order val="4"/>
          <c:tx>
            <c:strRef>
              <c:f>'Pivot Table'!$F$3:$F$4</c:f>
              <c:strCache>
                <c:ptCount val="1"/>
                <c:pt idx="0">
                  <c:v>Office Supplies</c:v>
                </c:pt>
              </c:strCache>
            </c:strRef>
          </c:tx>
          <c:dPt>
            <c:idx val="0"/>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37E5-4844-B639-BC96BB4AD95A}"/>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37E5-4844-B639-BC96BB4AD95A}"/>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37E5-4844-B639-BC96BB4AD95A}"/>
              </c:ext>
            </c:extLst>
          </c:dPt>
          <c:dPt>
            <c:idx val="3"/>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37E5-4844-B639-BC96BB4AD95A}"/>
              </c:ext>
            </c:extLst>
          </c:dPt>
          <c:dPt>
            <c:idx val="4"/>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37E5-4844-B639-BC96BB4AD9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Central</c:v>
                </c:pt>
                <c:pt idx="1">
                  <c:v>East</c:v>
                </c:pt>
                <c:pt idx="2">
                  <c:v>North</c:v>
                </c:pt>
                <c:pt idx="3">
                  <c:v>South</c:v>
                </c:pt>
                <c:pt idx="4">
                  <c:v>West</c:v>
                </c:pt>
              </c:strCache>
            </c:strRef>
          </c:cat>
          <c:val>
            <c:numRef>
              <c:f>'Pivot Table'!$F$5:$F$10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0FCF-4C22-93C5-918CDA8E2DFF}"/>
            </c:ext>
          </c:extLst>
        </c:ser>
        <c:dLbls>
          <c:dLblPos val="inEnd"/>
          <c:showLegendKey val="0"/>
          <c:showVal val="0"/>
          <c:showCatName val="0"/>
          <c:showSerName val="0"/>
          <c:showPercent val="1"/>
          <c:showBubbleSize val="0"/>
          <c:showLeaderLines val="1"/>
        </c:dLbls>
        <c:firstSliceAng val="0"/>
      </c:pieChart>
      <c:spPr>
        <a:noFill/>
        <a:ln w="9525">
          <a:solidFill>
            <a:schemeClr val="dk1">
              <a:lumMod val="15000"/>
              <a:lumOff val="85000"/>
            </a:schemeClr>
          </a:solid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1587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28575" cap="rnd" cmpd="sng" algn="ctr">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28575" cap="rnd" cmpd="sng" algn="ctr">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4"/>
              <c:pt idx="0">
                <c:v>Apr-2024</c:v>
              </c:pt>
              <c:pt idx="1">
                <c:v>Apr-2025</c:v>
              </c:pt>
              <c:pt idx="2">
                <c:v>Aug-2024</c:v>
              </c:pt>
              <c:pt idx="3">
                <c:v>Dec-2024</c:v>
              </c:pt>
              <c:pt idx="4">
                <c:v>Feb-2025</c:v>
              </c:pt>
              <c:pt idx="5">
                <c:v>Jan-2025</c:v>
              </c:pt>
              <c:pt idx="6">
                <c:v>Jul-2024</c:v>
              </c:pt>
              <c:pt idx="7">
                <c:v>Jun-2024</c:v>
              </c:pt>
              <c:pt idx="8">
                <c:v>Mar-2025</c:v>
              </c:pt>
              <c:pt idx="9">
                <c:v>May-2024</c:v>
              </c:pt>
              <c:pt idx="10">
                <c:v>Nov-2024</c:v>
              </c:pt>
              <c:pt idx="11">
                <c:v>Oct-2024</c:v>
              </c:pt>
              <c:pt idx="12">
                <c:v>Sep-2024</c:v>
              </c:pt>
              <c:pt idx="13">
                <c:v>(blank)</c:v>
              </c:pt>
            </c:strLit>
          </c:cat>
          <c:val>
            <c:numLit>
              <c:formatCode>General</c:formatCode>
              <c:ptCount val="14"/>
              <c:pt idx="0">
                <c:v>19029.96</c:v>
              </c:pt>
              <c:pt idx="1">
                <c:v>3212.17</c:v>
              </c:pt>
              <c:pt idx="2">
                <c:v>10091.699999999999</c:v>
              </c:pt>
              <c:pt idx="3">
                <c:v>11120.04</c:v>
              </c:pt>
              <c:pt idx="4">
                <c:v>14006.359999999999</c:v>
              </c:pt>
              <c:pt idx="5">
                <c:v>14914.650000000001</c:v>
              </c:pt>
              <c:pt idx="6">
                <c:v>11609.039999999999</c:v>
              </c:pt>
              <c:pt idx="7">
                <c:v>20187.509999999998</c:v>
              </c:pt>
              <c:pt idx="8">
                <c:v>17655.219999999998</c:v>
              </c:pt>
              <c:pt idx="9">
                <c:v>18507.339999999997</c:v>
              </c:pt>
              <c:pt idx="10">
                <c:v>20135.030000000002</c:v>
              </c:pt>
              <c:pt idx="11">
                <c:v>14215.240000000002</c:v>
              </c:pt>
              <c:pt idx="12">
                <c:v>20533.499999999996</c:v>
              </c:pt>
              <c:pt idx="13">
                <c:v>0</c:v>
              </c:pt>
            </c:numLit>
          </c:val>
          <c:smooth val="0"/>
          <c:extLst>
            <c:ext xmlns:c16="http://schemas.microsoft.com/office/drawing/2014/chart" uri="{C3380CC4-5D6E-409C-BE32-E72D297353CC}">
              <c16:uniqueId val="{00000000-9C8B-4DD5-9A26-3A7588A2A038}"/>
            </c:ext>
          </c:extLst>
        </c:ser>
        <c:dLbls>
          <c:dLblPos val="ctr"/>
          <c:showLegendKey val="0"/>
          <c:showVal val="1"/>
          <c:showCatName val="0"/>
          <c:showSerName val="0"/>
          <c:showPercent val="0"/>
          <c:showBubbleSize val="0"/>
        </c:dLbls>
        <c:marker val="1"/>
        <c:smooth val="0"/>
        <c:axId val="1729599743"/>
        <c:axId val="1729585823"/>
      </c:lineChart>
      <c:catAx>
        <c:axId val="17295997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29585823"/>
        <c:crosses val="autoZero"/>
        <c:auto val="1"/>
        <c:lblAlgn val="ctr"/>
        <c:lblOffset val="100"/>
        <c:noMultiLvlLbl val="0"/>
      </c:catAx>
      <c:valAx>
        <c:axId val="17295858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2959974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2.xlsx]Pivot Table!PivotTable4</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pivotFmt>
      <c:pivotFmt>
        <c:idx val="57"/>
        <c:spPr>
          <a:solidFill>
            <a:schemeClr val="accent1"/>
          </a:solidFill>
          <a:ln>
            <a:noFill/>
          </a:ln>
          <a:effectLst>
            <a:outerShdw blurRad="317500" algn="ctr" rotWithShape="0">
              <a:prstClr val="black">
                <a:alpha val="25000"/>
              </a:prstClr>
            </a:outerShdw>
          </a:effectLst>
        </c:spPr>
      </c:pivotFmt>
      <c:pivotFmt>
        <c:idx val="58"/>
        <c:spPr>
          <a:solidFill>
            <a:schemeClr val="accent1"/>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pivotFmt>
      <c:pivotFmt>
        <c:idx val="6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pivotFmt>
      <c:pivotFmt>
        <c:idx val="65"/>
        <c:spPr>
          <a:solidFill>
            <a:schemeClr val="accent1"/>
          </a:solidFill>
          <a:ln>
            <a:noFill/>
          </a:ln>
          <a:effectLst>
            <a:outerShdw blurRad="317500" algn="ctr" rotWithShape="0">
              <a:prstClr val="black">
                <a:alpha val="25000"/>
              </a:prstClr>
            </a:outerShdw>
          </a:effectLst>
        </c:spPr>
      </c:pivotFmt>
      <c:pivotFmt>
        <c:idx val="6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1"/>
          </a:solidFill>
          <a:ln>
            <a:noFill/>
          </a:ln>
          <a:effectLst>
            <a:outerShdw blurRad="317500" algn="ctr" rotWithShape="0">
              <a:prstClr val="black">
                <a:alpha val="25000"/>
              </a:prstClr>
            </a:outerShdw>
          </a:effectLst>
        </c:spPr>
      </c:pivotFmt>
      <c:pivotFmt>
        <c:idx val="68"/>
        <c:spPr>
          <a:solidFill>
            <a:schemeClr val="accent1"/>
          </a:solidFill>
          <a:ln>
            <a:noFill/>
          </a:ln>
          <a:effectLst>
            <a:outerShdw blurRad="317500" algn="ctr" rotWithShape="0">
              <a:prstClr val="black">
                <a:alpha val="25000"/>
              </a:prstClr>
            </a:outerShdw>
          </a:effectLst>
        </c:spPr>
      </c:pivotFmt>
      <c:pivotFmt>
        <c:idx val="69"/>
        <c:spPr>
          <a:solidFill>
            <a:schemeClr val="accent1"/>
          </a:solidFill>
          <a:ln>
            <a:noFill/>
          </a:ln>
          <a:effectLst>
            <a:outerShdw blurRad="317500" algn="ctr" rotWithShape="0">
              <a:prstClr val="black">
                <a:alpha val="25000"/>
              </a:prstClr>
            </a:outerShdw>
          </a:effectLst>
        </c:spPr>
      </c:pivotFmt>
      <c:pivotFmt>
        <c:idx val="70"/>
        <c:spPr>
          <a:solidFill>
            <a:schemeClr val="accent1"/>
          </a:solidFill>
          <a:ln>
            <a:noFill/>
          </a:ln>
          <a:effectLst>
            <a:outerShdw blurRad="317500" algn="ctr" rotWithShape="0">
              <a:prstClr val="black">
                <a:alpha val="25000"/>
              </a:prstClr>
            </a:outerShdw>
          </a:effectLst>
        </c:spPr>
      </c:pivotFmt>
      <c:pivotFmt>
        <c:idx val="71"/>
        <c:spPr>
          <a:solidFill>
            <a:schemeClr val="accent1"/>
          </a:solidFill>
          <a:ln>
            <a:noFill/>
          </a:ln>
          <a:effectLst>
            <a:outerShdw blurRad="317500" algn="ctr" rotWithShape="0">
              <a:prstClr val="black">
                <a:alpha val="25000"/>
              </a:prstClr>
            </a:outerShdw>
          </a:effectLst>
        </c:spPr>
      </c:pivotFmt>
      <c:pivotFmt>
        <c:idx val="7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3"/>
        <c:spPr>
          <a:solidFill>
            <a:schemeClr val="accent1"/>
          </a:solidFill>
          <a:ln>
            <a:noFill/>
          </a:ln>
          <a:effectLst>
            <a:outerShdw blurRad="317500" algn="ctr" rotWithShape="0">
              <a:prstClr val="black">
                <a:alpha val="25000"/>
              </a:prstClr>
            </a:outerShdw>
          </a:effectLst>
        </c:spPr>
      </c:pivotFmt>
      <c:pivotFmt>
        <c:idx val="74"/>
        <c:spPr>
          <a:solidFill>
            <a:schemeClr val="accent1"/>
          </a:solidFill>
          <a:ln>
            <a:noFill/>
          </a:ln>
          <a:effectLst>
            <a:outerShdw blurRad="317500" algn="ctr" rotWithShape="0">
              <a:prstClr val="black">
                <a:alpha val="25000"/>
              </a:prstClr>
            </a:outerShdw>
          </a:effectLst>
        </c:spPr>
      </c:pivotFmt>
      <c:pivotFmt>
        <c:idx val="75"/>
        <c:spPr>
          <a:solidFill>
            <a:schemeClr val="accent1"/>
          </a:solidFill>
          <a:ln>
            <a:noFill/>
          </a:ln>
          <a:effectLst>
            <a:outerShdw blurRad="317500" algn="ctr" rotWithShape="0">
              <a:prstClr val="black">
                <a:alpha val="25000"/>
              </a:prstClr>
            </a:outerShdw>
          </a:effectLst>
        </c:spPr>
      </c:pivotFmt>
      <c:pivotFmt>
        <c:idx val="76"/>
        <c:spPr>
          <a:solidFill>
            <a:schemeClr val="accent1"/>
          </a:solidFill>
          <a:ln>
            <a:noFill/>
          </a:ln>
          <a:effectLst>
            <a:outerShdw blurRad="317500" algn="ctr" rotWithShape="0">
              <a:prstClr val="black">
                <a:alpha val="25000"/>
              </a:prstClr>
            </a:outerShdw>
          </a:effectLst>
        </c:spPr>
      </c:pivotFmt>
      <c:pivotFmt>
        <c:idx val="77"/>
        <c:spPr>
          <a:solidFill>
            <a:schemeClr val="accent1"/>
          </a:solidFill>
          <a:ln>
            <a:noFill/>
          </a:ln>
          <a:effectLst>
            <a:outerShdw blurRad="317500" algn="ctr" rotWithShape="0">
              <a:prstClr val="black">
                <a:alpha val="25000"/>
              </a:prstClr>
            </a:outerShdw>
          </a:effectLst>
        </c:spPr>
      </c:pivotFmt>
      <c:pivotFmt>
        <c:idx val="7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317500" algn="ctr" rotWithShape="0">
              <a:prstClr val="black">
                <a:alpha val="25000"/>
              </a:prstClr>
            </a:outerShdw>
          </a:effectLst>
        </c:spPr>
      </c:pivotFmt>
      <c:pivotFmt>
        <c:idx val="80"/>
        <c:spPr>
          <a:solidFill>
            <a:schemeClr val="accent1"/>
          </a:solidFill>
          <a:ln>
            <a:noFill/>
          </a:ln>
          <a:effectLst>
            <a:outerShdw blurRad="317500" algn="ctr" rotWithShape="0">
              <a:prstClr val="black">
                <a:alpha val="25000"/>
              </a:prstClr>
            </a:outerShdw>
          </a:effectLst>
        </c:spPr>
      </c:pivotFmt>
      <c:pivotFmt>
        <c:idx val="81"/>
        <c:spPr>
          <a:solidFill>
            <a:schemeClr val="accent1"/>
          </a:solidFill>
          <a:ln>
            <a:noFill/>
          </a:ln>
          <a:effectLst>
            <a:outerShdw blurRad="317500" algn="ctr" rotWithShape="0">
              <a:prstClr val="black">
                <a:alpha val="25000"/>
              </a:prstClr>
            </a:outerShdw>
          </a:effectLst>
        </c:spPr>
      </c:pivotFmt>
      <c:pivotFmt>
        <c:idx val="82"/>
        <c:spPr>
          <a:solidFill>
            <a:schemeClr val="accent1"/>
          </a:solidFill>
          <a:ln>
            <a:noFill/>
          </a:ln>
          <a:effectLst>
            <a:outerShdw blurRad="317500" algn="ctr" rotWithShape="0">
              <a:prstClr val="black">
                <a:alpha val="25000"/>
              </a:prstClr>
            </a:outerShdw>
          </a:effectLst>
        </c:spPr>
      </c:pivotFmt>
      <c:pivotFmt>
        <c:idx val="83"/>
        <c:spPr>
          <a:solidFill>
            <a:schemeClr val="accent1"/>
          </a:solidFill>
          <a:ln>
            <a:noFill/>
          </a:ln>
          <a:effectLst>
            <a:outerShdw blurRad="317500" algn="ctr" rotWithShape="0">
              <a:prstClr val="black">
                <a:alpha val="25000"/>
              </a:prstClr>
            </a:outerShdw>
          </a:effectLst>
        </c:spPr>
      </c:pivotFmt>
      <c:pivotFmt>
        <c:idx val="8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5"/>
        <c:spPr>
          <a:solidFill>
            <a:schemeClr val="accent1"/>
          </a:solidFill>
          <a:ln>
            <a:noFill/>
          </a:ln>
          <a:effectLst>
            <a:outerShdw blurRad="317500" algn="ctr" rotWithShape="0">
              <a:prstClr val="black">
                <a:alpha val="25000"/>
              </a:prstClr>
            </a:outerShdw>
          </a:effectLst>
        </c:spPr>
      </c:pivotFmt>
      <c:pivotFmt>
        <c:idx val="86"/>
        <c:spPr>
          <a:solidFill>
            <a:schemeClr val="accent1"/>
          </a:solidFill>
          <a:ln>
            <a:noFill/>
          </a:ln>
          <a:effectLst>
            <a:outerShdw blurRad="317500" algn="ctr" rotWithShape="0">
              <a:prstClr val="black">
                <a:alpha val="25000"/>
              </a:prstClr>
            </a:outerShdw>
          </a:effectLst>
        </c:spPr>
      </c:pivotFmt>
      <c:pivotFmt>
        <c:idx val="87"/>
        <c:spPr>
          <a:solidFill>
            <a:schemeClr val="accent1"/>
          </a:solidFill>
          <a:ln>
            <a:noFill/>
          </a:ln>
          <a:effectLst>
            <a:outerShdw blurRad="317500" algn="ctr" rotWithShape="0">
              <a:prstClr val="black">
                <a:alpha val="25000"/>
              </a:prstClr>
            </a:outerShdw>
          </a:effectLst>
        </c:spPr>
      </c:pivotFmt>
      <c:pivotFmt>
        <c:idx val="88"/>
        <c:spPr>
          <a:solidFill>
            <a:schemeClr val="accent1"/>
          </a:solidFill>
          <a:ln>
            <a:noFill/>
          </a:ln>
          <a:effectLst>
            <a:outerShdw blurRad="317500" algn="ctr" rotWithShape="0">
              <a:prstClr val="black">
                <a:alpha val="25000"/>
              </a:prstClr>
            </a:outerShdw>
          </a:effectLst>
        </c:spPr>
      </c:pivotFmt>
      <c:pivotFmt>
        <c:idx val="8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Table'!$B$3:$B$4</c:f>
              <c:strCache>
                <c:ptCount val="1"/>
                <c:pt idx="0">
                  <c:v>Books</c:v>
                </c:pt>
              </c:strCache>
            </c:strRef>
          </c:tx>
          <c:dPt>
            <c:idx val="0"/>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D8E-4B28-91CE-63C35458D7EA}"/>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D8E-4B28-91CE-63C35458D7EA}"/>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D8E-4B28-91CE-63C35458D7EA}"/>
              </c:ext>
            </c:extLst>
          </c:dPt>
          <c:dPt>
            <c:idx val="3"/>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D8E-4B28-91CE-63C35458D7EA}"/>
              </c:ext>
            </c:extLst>
          </c:dPt>
          <c:dPt>
            <c:idx val="4"/>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D8E-4B28-91CE-63C35458D7E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Central</c:v>
                </c:pt>
                <c:pt idx="1">
                  <c:v>East</c:v>
                </c:pt>
                <c:pt idx="2">
                  <c:v>North</c:v>
                </c:pt>
                <c:pt idx="3">
                  <c:v>South</c:v>
                </c:pt>
                <c:pt idx="4">
                  <c:v>West</c:v>
                </c:pt>
              </c:strCache>
            </c:strRef>
          </c:cat>
          <c:val>
            <c:numRef>
              <c:f>'Pivot Table'!$B$5:$B$10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A-BD8E-4B28-91CE-63C35458D7EA}"/>
            </c:ext>
          </c:extLst>
        </c:ser>
        <c:ser>
          <c:idx val="1"/>
          <c:order val="1"/>
          <c:tx>
            <c:strRef>
              <c:f>'Pivot Table'!$C$3:$C$4</c:f>
              <c:strCache>
                <c:ptCount val="1"/>
                <c:pt idx="0">
                  <c:v>Clothing</c:v>
                </c:pt>
              </c:strCache>
            </c:strRef>
          </c:tx>
          <c:dPt>
            <c:idx val="0"/>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BD8E-4B28-91CE-63C35458D7EA}"/>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E-BD8E-4B28-91CE-63C35458D7EA}"/>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BD8E-4B28-91CE-63C35458D7EA}"/>
              </c:ext>
            </c:extLst>
          </c:dPt>
          <c:dPt>
            <c:idx val="3"/>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2-BD8E-4B28-91CE-63C35458D7EA}"/>
              </c:ext>
            </c:extLst>
          </c:dPt>
          <c:dPt>
            <c:idx val="4"/>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4-BD8E-4B28-91CE-63C35458D7E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Central</c:v>
                </c:pt>
                <c:pt idx="1">
                  <c:v>East</c:v>
                </c:pt>
                <c:pt idx="2">
                  <c:v>North</c:v>
                </c:pt>
                <c:pt idx="3">
                  <c:v>South</c:v>
                </c:pt>
                <c:pt idx="4">
                  <c:v>West</c:v>
                </c:pt>
              </c:strCache>
            </c:strRef>
          </c:cat>
          <c:val>
            <c:numRef>
              <c:f>'Pivot Table'!$C$5:$C$10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15-BD8E-4B28-91CE-63C35458D7EA}"/>
            </c:ext>
          </c:extLst>
        </c:ser>
        <c:ser>
          <c:idx val="2"/>
          <c:order val="2"/>
          <c:tx>
            <c:strRef>
              <c:f>'Pivot Table'!$D$3:$D$4</c:f>
              <c:strCache>
                <c:ptCount val="1"/>
                <c:pt idx="0">
                  <c:v>Electronics</c:v>
                </c:pt>
              </c:strCache>
            </c:strRef>
          </c:tx>
          <c:dPt>
            <c:idx val="0"/>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BD8E-4B28-91CE-63C35458D7EA}"/>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BD8E-4B28-91CE-63C35458D7EA}"/>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BD8E-4B28-91CE-63C35458D7EA}"/>
              </c:ext>
            </c:extLst>
          </c:dPt>
          <c:dPt>
            <c:idx val="3"/>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BD8E-4B28-91CE-63C35458D7EA}"/>
              </c:ext>
            </c:extLst>
          </c:dPt>
          <c:dPt>
            <c:idx val="4"/>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BD8E-4B28-91CE-63C35458D7E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Central</c:v>
                </c:pt>
                <c:pt idx="1">
                  <c:v>East</c:v>
                </c:pt>
                <c:pt idx="2">
                  <c:v>North</c:v>
                </c:pt>
                <c:pt idx="3">
                  <c:v>South</c:v>
                </c:pt>
                <c:pt idx="4">
                  <c:v>West</c:v>
                </c:pt>
              </c:strCache>
            </c:strRef>
          </c:cat>
          <c:val>
            <c:numRef>
              <c:f>'Pivot Table'!$D$5:$D$10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20-BD8E-4B28-91CE-63C35458D7EA}"/>
            </c:ext>
          </c:extLst>
        </c:ser>
        <c:ser>
          <c:idx val="3"/>
          <c:order val="3"/>
          <c:tx>
            <c:strRef>
              <c:f>'Pivot Table'!$E$3:$E$4</c:f>
              <c:strCache>
                <c:ptCount val="1"/>
                <c:pt idx="0">
                  <c:v>Furniture</c:v>
                </c:pt>
              </c:strCache>
            </c:strRef>
          </c:tx>
          <c:dPt>
            <c:idx val="0"/>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2-BD8E-4B28-91CE-63C35458D7EA}"/>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4-BD8E-4B28-91CE-63C35458D7EA}"/>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6-BD8E-4B28-91CE-63C35458D7EA}"/>
              </c:ext>
            </c:extLst>
          </c:dPt>
          <c:dPt>
            <c:idx val="3"/>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8-BD8E-4B28-91CE-63C35458D7EA}"/>
              </c:ext>
            </c:extLst>
          </c:dPt>
          <c:dPt>
            <c:idx val="4"/>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A-BD8E-4B28-91CE-63C35458D7E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Central</c:v>
                </c:pt>
                <c:pt idx="1">
                  <c:v>East</c:v>
                </c:pt>
                <c:pt idx="2">
                  <c:v>North</c:v>
                </c:pt>
                <c:pt idx="3">
                  <c:v>South</c:v>
                </c:pt>
                <c:pt idx="4">
                  <c:v>West</c:v>
                </c:pt>
              </c:strCache>
            </c:strRef>
          </c:cat>
          <c:val>
            <c:numRef>
              <c:f>'Pivot Table'!$E$5:$E$10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2B-BD8E-4B28-91CE-63C35458D7EA}"/>
            </c:ext>
          </c:extLst>
        </c:ser>
        <c:ser>
          <c:idx val="4"/>
          <c:order val="4"/>
          <c:tx>
            <c:strRef>
              <c:f>'Pivot Table'!$F$3:$F$4</c:f>
              <c:strCache>
                <c:ptCount val="1"/>
                <c:pt idx="0">
                  <c:v>Office Supplies</c:v>
                </c:pt>
              </c:strCache>
            </c:strRef>
          </c:tx>
          <c:dPt>
            <c:idx val="0"/>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BD8E-4B28-91CE-63C35458D7EA}"/>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BD8E-4B28-91CE-63C35458D7EA}"/>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BD8E-4B28-91CE-63C35458D7EA}"/>
              </c:ext>
            </c:extLst>
          </c:dPt>
          <c:dPt>
            <c:idx val="3"/>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BD8E-4B28-91CE-63C35458D7EA}"/>
              </c:ext>
            </c:extLst>
          </c:dPt>
          <c:dPt>
            <c:idx val="4"/>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BD8E-4B28-91CE-63C35458D7E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Central</c:v>
                </c:pt>
                <c:pt idx="1">
                  <c:v>East</c:v>
                </c:pt>
                <c:pt idx="2">
                  <c:v>North</c:v>
                </c:pt>
                <c:pt idx="3">
                  <c:v>South</c:v>
                </c:pt>
                <c:pt idx="4">
                  <c:v>West</c:v>
                </c:pt>
              </c:strCache>
            </c:strRef>
          </c:cat>
          <c:val>
            <c:numRef>
              <c:f>'Pivot Table'!$F$5:$F$10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36-BD8E-4B28-91CE-63C35458D7EA}"/>
            </c:ext>
          </c:extLst>
        </c:ser>
        <c:dLbls>
          <c:dLblPos val="inEnd"/>
          <c:showLegendKey val="0"/>
          <c:showVal val="0"/>
          <c:showCatName val="0"/>
          <c:showSerName val="0"/>
          <c:showPercent val="1"/>
          <c:showBubbleSize val="0"/>
          <c:showLeaderLines val="1"/>
        </c:dLbls>
        <c:firstSliceAng val="0"/>
      </c:pieChart>
      <c:spPr>
        <a:noFill/>
        <a:ln w="9525">
          <a:solidFill>
            <a:schemeClr val="dk1">
              <a:lumMod val="15000"/>
              <a:lumOff val="85000"/>
            </a:schemeClr>
          </a:solid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1587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28575" cap="rnd" cmpd="sng" algn="ctr">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28575" cap="rnd" cmpd="sng" algn="ctr">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4"/>
              <c:pt idx="0">
                <c:v>Apr-2024</c:v>
              </c:pt>
              <c:pt idx="1">
                <c:v>Apr-2025</c:v>
              </c:pt>
              <c:pt idx="2">
                <c:v>Aug-2024</c:v>
              </c:pt>
              <c:pt idx="3">
                <c:v>Dec-2024</c:v>
              </c:pt>
              <c:pt idx="4">
                <c:v>Feb-2025</c:v>
              </c:pt>
              <c:pt idx="5">
                <c:v>Jan-2025</c:v>
              </c:pt>
              <c:pt idx="6">
                <c:v>Jul-2024</c:v>
              </c:pt>
              <c:pt idx="7">
                <c:v>Jun-2024</c:v>
              </c:pt>
              <c:pt idx="8">
                <c:v>Mar-2025</c:v>
              </c:pt>
              <c:pt idx="9">
                <c:v>May-2024</c:v>
              </c:pt>
              <c:pt idx="10">
                <c:v>Nov-2024</c:v>
              </c:pt>
              <c:pt idx="11">
                <c:v>Oct-2024</c:v>
              </c:pt>
              <c:pt idx="12">
                <c:v>Sep-2024</c:v>
              </c:pt>
              <c:pt idx="13">
                <c:v>(blank)</c:v>
              </c:pt>
            </c:strLit>
          </c:cat>
          <c:val>
            <c:numLit>
              <c:formatCode>General</c:formatCode>
              <c:ptCount val="14"/>
              <c:pt idx="0">
                <c:v>19029.96</c:v>
              </c:pt>
              <c:pt idx="1">
                <c:v>3212.17</c:v>
              </c:pt>
              <c:pt idx="2">
                <c:v>10091.699999999999</c:v>
              </c:pt>
              <c:pt idx="3">
                <c:v>11120.04</c:v>
              </c:pt>
              <c:pt idx="4">
                <c:v>14006.359999999999</c:v>
              </c:pt>
              <c:pt idx="5">
                <c:v>14914.650000000001</c:v>
              </c:pt>
              <c:pt idx="6">
                <c:v>11609.039999999999</c:v>
              </c:pt>
              <c:pt idx="7">
                <c:v>20187.509999999998</c:v>
              </c:pt>
              <c:pt idx="8">
                <c:v>17655.219999999998</c:v>
              </c:pt>
              <c:pt idx="9">
                <c:v>18507.339999999997</c:v>
              </c:pt>
              <c:pt idx="10">
                <c:v>20135.030000000002</c:v>
              </c:pt>
              <c:pt idx="11">
                <c:v>14215.240000000002</c:v>
              </c:pt>
              <c:pt idx="12">
                <c:v>20533.499999999996</c:v>
              </c:pt>
              <c:pt idx="13">
                <c:v>0</c:v>
              </c:pt>
            </c:numLit>
          </c:val>
          <c:smooth val="0"/>
          <c:extLst>
            <c:ext xmlns:c16="http://schemas.microsoft.com/office/drawing/2014/chart" uri="{C3380CC4-5D6E-409C-BE32-E72D297353CC}">
              <c16:uniqueId val="{00000000-4C86-44CD-98F9-716BF71E0B78}"/>
            </c:ext>
          </c:extLst>
        </c:ser>
        <c:dLbls>
          <c:dLblPos val="ctr"/>
          <c:showLegendKey val="0"/>
          <c:showVal val="1"/>
          <c:showCatName val="0"/>
          <c:showSerName val="0"/>
          <c:showPercent val="0"/>
          <c:showBubbleSize val="0"/>
        </c:dLbls>
        <c:marker val="1"/>
        <c:smooth val="0"/>
        <c:axId val="1729599743"/>
        <c:axId val="1729585823"/>
      </c:lineChart>
      <c:catAx>
        <c:axId val="17295997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29585823"/>
        <c:crosses val="autoZero"/>
        <c:auto val="1"/>
        <c:lblAlgn val="ctr"/>
        <c:lblOffset val="100"/>
        <c:noMultiLvlLbl val="0"/>
      </c:catAx>
      <c:valAx>
        <c:axId val="17295858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2959974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clusteredColumn" uniqueId="{2EBD5F48-96F1-411D-9C93-3D72A62D8811}">
          <cx:dataLabels pos="inEnd">
            <cx:visibility seriesName="0" categoryName="0" value="1"/>
          </cx:dataLabels>
          <cx:dataId val="0"/>
          <cx:layoutPr>
            <cx:binning intervalClosed="r"/>
          </cx:layoutPr>
        </cx:series>
      </cx:plotAreaRegion>
      <cx:axis id="0">
        <cx:catScaling gapWidth="0"/>
        <cx:title>
          <cx:tx>
            <cx:txData>
              <cx:v>REGION</cx:v>
            </cx:txData>
          </cx:tx>
          <cx:txPr>
            <a:bodyPr spcFirstLastPara="1" vertOverflow="ellipsis" horzOverflow="overflow" wrap="square" lIns="0" tIns="0" rIns="0" bIns="0" anchor="ctr" anchorCtr="1"/>
            <a:lstStyle/>
            <a:p>
              <a:pPr algn="ctr" rtl="0">
                <a:defRPr/>
              </a:pPr>
              <a:r>
                <a:rPr lang="en-US" sz="900" b="0" i="0" u="none" strike="noStrike" baseline="0">
                  <a:solidFill>
                    <a:schemeClr val="tx1"/>
                  </a:solidFill>
                  <a:latin typeface="Aptos Narrow" panose="02110004020202020204"/>
                </a:rPr>
                <a:t>REGION</a:t>
              </a:r>
            </a:p>
          </cx:txPr>
        </cx:title>
        <cx:tickLabels/>
      </cx:axis>
      <cx:axis id="1" hidden="1">
        <cx:valScaling/>
        <cx:title>
          <cx:tx>
            <cx:txData>
              <cx:v>TOTAL SALES</cx:v>
            </cx:txData>
          </cx:tx>
          <cx:spPr>
            <a:ln>
              <a:solidFill>
                <a:schemeClr val="dk1">
                  <a:lumMod val="15000"/>
                  <a:lumOff val="85000"/>
                  <a:alpha val="96000"/>
                </a:schemeClr>
              </a:solidFill>
            </a:ln>
          </cx:spPr>
          <cx:txPr>
            <a:bodyPr spcFirstLastPara="1" vertOverflow="ellipsis" horzOverflow="overflow" wrap="square" lIns="0" tIns="0" rIns="0" bIns="0" anchor="ctr" anchorCtr="1"/>
            <a:lstStyle/>
            <a:p>
              <a:pPr algn="ctr" rtl="0">
                <a:defRPr>
                  <a:solidFill>
                    <a:sysClr val="windowText" lastClr="000000">
                      <a:lumMod val="75000"/>
                      <a:lumOff val="25000"/>
                      <a:alpha val="45000"/>
                    </a:sysClr>
                  </a:solidFill>
                </a:defRPr>
              </a:pPr>
              <a:r>
                <a:rPr lang="en-US" sz="900" b="1" i="0" u="none" strike="noStrike" baseline="0">
                  <a:solidFill>
                    <a:schemeClr val="tx1"/>
                  </a:solidFill>
                  <a:latin typeface="Aptos Narrow" panose="02110004020202020204"/>
                </a:rPr>
                <a:t>TOTAL SALES</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clusteredColumn" uniqueId="{2EBD5F48-96F1-411D-9C93-3D72A62D8811}">
          <cx:dataLabels pos="inEnd">
            <cx:visibility seriesName="0" categoryName="0" value="1"/>
          </cx:dataLabels>
          <cx:dataId val="0"/>
          <cx:layoutPr>
            <cx:binning intervalClosed="r"/>
          </cx:layoutPr>
        </cx:series>
      </cx:plotAreaRegion>
      <cx:axis id="0">
        <cx:catScaling gapWidth="0"/>
        <cx:title>
          <cx:tx>
            <cx:txData>
              <cx:v>REGION</cx:v>
            </cx:txData>
          </cx:tx>
          <cx:txPr>
            <a:bodyPr spcFirstLastPara="1" vertOverflow="ellipsis" horzOverflow="overflow" wrap="square" lIns="0" tIns="0" rIns="0" bIns="0" anchor="ctr" anchorCtr="1"/>
            <a:lstStyle/>
            <a:p>
              <a:pPr algn="ctr" rtl="0">
                <a:defRPr/>
              </a:pPr>
              <a:r>
                <a:rPr lang="en-US" sz="900" b="0" i="0" u="none" strike="noStrike" baseline="0">
                  <a:solidFill>
                    <a:schemeClr val="tx1"/>
                  </a:solidFill>
                  <a:latin typeface="Aptos Narrow" panose="02110004020202020204"/>
                </a:rPr>
                <a:t>REGION</a:t>
              </a:r>
            </a:p>
          </cx:txPr>
        </cx:title>
        <cx:tickLabels/>
      </cx:axis>
      <cx:axis id="1" hidden="1">
        <cx:valScaling/>
        <cx:title>
          <cx:tx>
            <cx:txData>
              <cx:v>TOTAL SALES</cx:v>
            </cx:txData>
          </cx:tx>
          <cx:spPr>
            <a:ln>
              <a:solidFill>
                <a:schemeClr val="dk1">
                  <a:lumMod val="15000"/>
                  <a:lumOff val="85000"/>
                  <a:alpha val="96000"/>
                </a:schemeClr>
              </a:solidFill>
            </a:ln>
          </cx:spPr>
          <cx:txPr>
            <a:bodyPr spcFirstLastPara="1" vertOverflow="ellipsis" horzOverflow="overflow" wrap="square" lIns="0" tIns="0" rIns="0" bIns="0" anchor="ctr" anchorCtr="1"/>
            <a:lstStyle/>
            <a:p>
              <a:pPr algn="ctr" rtl="0">
                <a:defRPr>
                  <a:solidFill>
                    <a:sysClr val="windowText" lastClr="000000">
                      <a:lumMod val="75000"/>
                      <a:lumOff val="25000"/>
                      <a:alpha val="45000"/>
                    </a:sysClr>
                  </a:solidFill>
                </a:defRPr>
              </a:pPr>
              <a:r>
                <a:rPr lang="en-US" sz="900" b="1" i="0" u="none" strike="noStrike" baseline="0">
                  <a:solidFill>
                    <a:schemeClr val="tx1"/>
                  </a:solidFill>
                  <a:latin typeface="Aptos Narrow" panose="02110004020202020204"/>
                </a:rPr>
                <a:t>TOTAL SALES</a:t>
              </a:r>
            </a:p>
          </cx:txPr>
        </cx:title>
        <cx:majorGridlines/>
        <cx:tickLabels/>
      </cx:axis>
    </cx:plotArea>
  </cx:chart>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microsoft.com/office/2014/relationships/chartEx" Target="../charts/chartEx2.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601980</xdr:colOff>
      <xdr:row>3</xdr:row>
      <xdr:rowOff>175260</xdr:rowOff>
    </xdr:from>
    <xdr:to>
      <xdr:col>17</xdr:col>
      <xdr:colOff>22860</xdr:colOff>
      <xdr:row>19</xdr:row>
      <xdr:rowOff>30480</xdr:rowOff>
    </xdr:to>
    <xdr:graphicFrame macro="">
      <xdr:nvGraphicFramePr>
        <xdr:cNvPr id="2" name="Chart 1">
          <a:extLst>
            <a:ext uri="{FF2B5EF4-FFF2-40B4-BE49-F238E27FC236}">
              <a16:creationId xmlns:a16="http://schemas.microsoft.com/office/drawing/2014/main" id="{4D2CBF9E-92C3-29B2-37D8-9C20B9F89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xdr:colOff>
      <xdr:row>25</xdr:row>
      <xdr:rowOff>0</xdr:rowOff>
    </xdr:from>
    <xdr:to>
      <xdr:col>17</xdr:col>
      <xdr:colOff>15240</xdr:colOff>
      <xdr:row>41</xdr:row>
      <xdr:rowOff>114300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37C5721-6732-4265-823B-9EAF25FD90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642860" y="4861560"/>
              <a:ext cx="4869180" cy="3040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594360</xdr:colOff>
      <xdr:row>47</xdr:row>
      <xdr:rowOff>144780</xdr:rowOff>
    </xdr:from>
    <xdr:to>
      <xdr:col>17</xdr:col>
      <xdr:colOff>274320</xdr:colOff>
      <xdr:row>62</xdr:row>
      <xdr:rowOff>160020</xdr:rowOff>
    </xdr:to>
    <xdr:graphicFrame macro="">
      <xdr:nvGraphicFramePr>
        <xdr:cNvPr id="3" name="Chart 2">
          <a:extLst>
            <a:ext uri="{FF2B5EF4-FFF2-40B4-BE49-F238E27FC236}">
              <a16:creationId xmlns:a16="http://schemas.microsoft.com/office/drawing/2014/main" id="{93932840-315B-4F40-BFCC-37BC778D0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8</xdr:col>
      <xdr:colOff>30480</xdr:colOff>
      <xdr:row>25</xdr:row>
      <xdr:rowOff>144780</xdr:rowOff>
    </xdr:to>
    <xdr:graphicFrame macro="">
      <xdr:nvGraphicFramePr>
        <xdr:cNvPr id="2" name="Chart 1">
          <a:extLst>
            <a:ext uri="{FF2B5EF4-FFF2-40B4-BE49-F238E27FC236}">
              <a16:creationId xmlns:a16="http://schemas.microsoft.com/office/drawing/2014/main" id="{12433F38-CE00-46A1-8608-EDA14B8AE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0</xdr:rowOff>
    </xdr:from>
    <xdr:to>
      <xdr:col>7</xdr:col>
      <xdr:colOff>601980</xdr:colOff>
      <xdr:row>48</xdr:row>
      <xdr:rowOff>114300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610227D-42B3-4A58-9F52-D04030256B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5966460"/>
              <a:ext cx="4869180" cy="3040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55</xdr:row>
      <xdr:rowOff>0</xdr:rowOff>
    </xdr:from>
    <xdr:to>
      <xdr:col>8</xdr:col>
      <xdr:colOff>30480</xdr:colOff>
      <xdr:row>70</xdr:row>
      <xdr:rowOff>15240</xdr:rowOff>
    </xdr:to>
    <xdr:graphicFrame macro="">
      <xdr:nvGraphicFramePr>
        <xdr:cNvPr id="4" name="Chart 3">
          <a:extLst>
            <a:ext uri="{FF2B5EF4-FFF2-40B4-BE49-F238E27FC236}">
              <a16:creationId xmlns:a16="http://schemas.microsoft.com/office/drawing/2014/main" id="{E5156105-2851-4814-8A50-887C0CFD2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335280</xdr:colOff>
      <xdr:row>79</xdr:row>
      <xdr:rowOff>0</xdr:rowOff>
    </xdr:from>
    <xdr:to>
      <xdr:col>10</xdr:col>
      <xdr:colOff>45720</xdr:colOff>
      <xdr:row>93</xdr:row>
      <xdr:rowOff>20955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34E5B8E5-5ED6-F7D3-DA2F-AAF2C8292D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67400" y="14561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396240</xdr:colOff>
      <xdr:row>79</xdr:row>
      <xdr:rowOff>0</xdr:rowOff>
    </xdr:from>
    <xdr:to>
      <xdr:col>12</xdr:col>
      <xdr:colOff>411480</xdr:colOff>
      <xdr:row>93</xdr:row>
      <xdr:rowOff>20955</xdr:rowOff>
    </xdr:to>
    <mc:AlternateContent xmlns:mc="http://schemas.openxmlformats.org/markup-compatibility/2006">
      <mc:Choice xmlns:a14="http://schemas.microsoft.com/office/drawing/2010/main" Requires="a14">
        <xdr:graphicFrame macro="">
          <xdr:nvGraphicFramePr>
            <xdr:cNvPr id="6" name="Product_Category">
              <a:extLst>
                <a:ext uri="{FF2B5EF4-FFF2-40B4-BE49-F238E27FC236}">
                  <a16:creationId xmlns:a16="http://schemas.microsoft.com/office/drawing/2014/main" id="{2855FA2E-55B2-C974-0404-84F56305D7A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8046720" y="14561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All%20data\EXCEL\PROJECTS\PROJECT%202\PROJECT_2.xlsx" TargetMode="External"/><Relationship Id="rId1" Type="http://schemas.openxmlformats.org/officeDocument/2006/relationships/externalLinkPath" Target="file:///E:\All%20data\EXCEL\PROJECTS\PROJECT%202\PROJECT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et"/>
      <sheetName val="liner regreation"/>
      <sheetName val="summery statics"/>
      <sheetName val="pivot tables"/>
      <sheetName val="dashboard"/>
    </sheetNames>
    <sheetDataSet>
      <sheetData sheetId="0">
        <row r="1">
          <cell r="I1" t="str">
            <v>Profit</v>
          </cell>
          <cell r="M1" t="str">
            <v>Total new profit</v>
          </cell>
          <cell r="O1" t="str">
            <v>Total Profit</v>
          </cell>
          <cell r="Q1" t="str">
            <v>Timestamp</v>
          </cell>
        </row>
        <row r="2">
          <cell r="I2">
            <v>331.55</v>
          </cell>
          <cell r="M2">
            <v>195217.75999999992</v>
          </cell>
          <cell r="O2">
            <v>195217.75999999992</v>
          </cell>
          <cell r="Q2">
            <v>46070.538153703703</v>
          </cell>
        </row>
        <row r="3">
          <cell r="I3">
            <v>440.51</v>
          </cell>
          <cell r="O3">
            <v>195217.75999999992</v>
          </cell>
        </row>
        <row r="4">
          <cell r="I4">
            <v>285.33999999999997</v>
          </cell>
          <cell r="O4">
            <v>185456.87200000012</v>
          </cell>
        </row>
        <row r="5">
          <cell r="I5">
            <v>161.69999999999999</v>
          </cell>
          <cell r="O5">
            <v>175695.98399999997</v>
          </cell>
        </row>
        <row r="6">
          <cell r="I6">
            <v>271.04000000000002</v>
          </cell>
          <cell r="O6">
            <v>165935.09599999999</v>
          </cell>
        </row>
        <row r="7">
          <cell r="I7">
            <v>304.18</v>
          </cell>
        </row>
        <row r="8">
          <cell r="I8">
            <v>312.91000000000003</v>
          </cell>
        </row>
        <row r="9">
          <cell r="I9">
            <v>300.85000000000002</v>
          </cell>
        </row>
        <row r="10">
          <cell r="I10">
            <v>190.59</v>
          </cell>
        </row>
        <row r="11">
          <cell r="I11">
            <v>350.22</v>
          </cell>
        </row>
        <row r="12">
          <cell r="I12">
            <v>672.38</v>
          </cell>
        </row>
        <row r="13">
          <cell r="I13">
            <v>456.66</v>
          </cell>
        </row>
        <row r="14">
          <cell r="I14">
            <v>452.8</v>
          </cell>
        </row>
        <row r="15">
          <cell r="I15">
            <v>273.41000000000003</v>
          </cell>
        </row>
        <row r="16">
          <cell r="I16">
            <v>155.19999999999999</v>
          </cell>
        </row>
        <row r="17">
          <cell r="I17">
            <v>300.58999999999997</v>
          </cell>
        </row>
        <row r="18">
          <cell r="I18">
            <v>298.38</v>
          </cell>
        </row>
        <row r="19">
          <cell r="I19">
            <v>203.74</v>
          </cell>
        </row>
        <row r="20">
          <cell r="I20">
            <v>481.96</v>
          </cell>
        </row>
        <row r="21">
          <cell r="I21">
            <v>161.26</v>
          </cell>
        </row>
        <row r="22">
          <cell r="I22">
            <v>476.65</v>
          </cell>
        </row>
        <row r="23">
          <cell r="I23">
            <v>82.57</v>
          </cell>
        </row>
        <row r="24">
          <cell r="I24">
            <v>297.27</v>
          </cell>
        </row>
        <row r="25">
          <cell r="I25">
            <v>176.59</v>
          </cell>
        </row>
        <row r="26">
          <cell r="I26">
            <v>374.75</v>
          </cell>
        </row>
        <row r="27">
          <cell r="I27">
            <v>293.27999999999997</v>
          </cell>
        </row>
        <row r="28">
          <cell r="I28">
            <v>236.44</v>
          </cell>
        </row>
        <row r="29">
          <cell r="I29">
            <v>356.85</v>
          </cell>
        </row>
        <row r="30">
          <cell r="I30">
            <v>398.25</v>
          </cell>
        </row>
        <row r="31">
          <cell r="I31">
            <v>160.24</v>
          </cell>
        </row>
        <row r="32">
          <cell r="I32">
            <v>326.41000000000003</v>
          </cell>
        </row>
        <row r="33">
          <cell r="I33">
            <v>388.82</v>
          </cell>
        </row>
        <row r="34">
          <cell r="I34">
            <v>253.98</v>
          </cell>
        </row>
        <row r="35">
          <cell r="I35">
            <v>217.78</v>
          </cell>
        </row>
        <row r="36">
          <cell r="I36">
            <v>513.38</v>
          </cell>
        </row>
        <row r="37">
          <cell r="I37">
            <v>151.16</v>
          </cell>
        </row>
        <row r="38">
          <cell r="I38">
            <v>359.49</v>
          </cell>
        </row>
        <row r="39">
          <cell r="I39">
            <v>468.84</v>
          </cell>
        </row>
        <row r="40">
          <cell r="I40">
            <v>229.99</v>
          </cell>
        </row>
        <row r="41">
          <cell r="I41">
            <v>197.35</v>
          </cell>
        </row>
        <row r="42">
          <cell r="I42">
            <v>414.44</v>
          </cell>
        </row>
        <row r="43">
          <cell r="I43">
            <v>369.35</v>
          </cell>
        </row>
        <row r="44">
          <cell r="I44">
            <v>212.83</v>
          </cell>
        </row>
        <row r="45">
          <cell r="I45">
            <v>302.70999999999998</v>
          </cell>
        </row>
        <row r="46">
          <cell r="I46">
            <v>365.11</v>
          </cell>
        </row>
        <row r="47">
          <cell r="I47">
            <v>214.18</v>
          </cell>
        </row>
        <row r="48">
          <cell r="I48">
            <v>468.72</v>
          </cell>
        </row>
        <row r="49">
          <cell r="I49">
            <v>450.71</v>
          </cell>
        </row>
        <row r="50">
          <cell r="I50">
            <v>332.32</v>
          </cell>
        </row>
        <row r="51">
          <cell r="I51">
            <v>174.48</v>
          </cell>
        </row>
        <row r="52">
          <cell r="I52">
            <v>242.6</v>
          </cell>
        </row>
        <row r="53">
          <cell r="I53">
            <v>551.98</v>
          </cell>
        </row>
        <row r="54">
          <cell r="I54">
            <v>380.43</v>
          </cell>
        </row>
        <row r="55">
          <cell r="I55">
            <v>339.44</v>
          </cell>
        </row>
        <row r="56">
          <cell r="I56">
            <v>173.99</v>
          </cell>
        </row>
        <row r="57">
          <cell r="I57">
            <v>257.33</v>
          </cell>
        </row>
        <row r="58">
          <cell r="I58">
            <v>389.3</v>
          </cell>
        </row>
        <row r="59">
          <cell r="I59">
            <v>148.32</v>
          </cell>
        </row>
        <row r="60">
          <cell r="I60">
            <v>449.58</v>
          </cell>
        </row>
        <row r="61">
          <cell r="I61">
            <v>680.18</v>
          </cell>
        </row>
        <row r="62">
          <cell r="I62">
            <v>497.99</v>
          </cell>
        </row>
        <row r="63">
          <cell r="I63">
            <v>220.05</v>
          </cell>
        </row>
        <row r="64">
          <cell r="I64">
            <v>294.12</v>
          </cell>
        </row>
        <row r="65">
          <cell r="I65">
            <v>201.11</v>
          </cell>
        </row>
        <row r="66">
          <cell r="I66">
            <v>261.27</v>
          </cell>
        </row>
        <row r="67">
          <cell r="I67">
            <v>307.82</v>
          </cell>
        </row>
        <row r="68">
          <cell r="I68">
            <v>333.05</v>
          </cell>
        </row>
        <row r="69">
          <cell r="I69">
            <v>455.97</v>
          </cell>
        </row>
        <row r="70">
          <cell r="I70">
            <v>242.31</v>
          </cell>
        </row>
        <row r="71">
          <cell r="I71">
            <v>344.06</v>
          </cell>
        </row>
        <row r="72">
          <cell r="I72">
            <v>144.56</v>
          </cell>
        </row>
        <row r="73">
          <cell r="I73">
            <v>441.54</v>
          </cell>
        </row>
        <row r="74">
          <cell r="I74">
            <v>114.7</v>
          </cell>
        </row>
        <row r="75">
          <cell r="I75">
            <v>257.42</v>
          </cell>
        </row>
        <row r="76">
          <cell r="I76">
            <v>305.32</v>
          </cell>
        </row>
        <row r="77">
          <cell r="I77">
            <v>258.24</v>
          </cell>
        </row>
        <row r="78">
          <cell r="I78">
            <v>441.47</v>
          </cell>
        </row>
        <row r="79">
          <cell r="I79">
            <v>172.26</v>
          </cell>
        </row>
        <row r="80">
          <cell r="I80">
            <v>500.1</v>
          </cell>
        </row>
        <row r="81">
          <cell r="I81">
            <v>581.16</v>
          </cell>
        </row>
        <row r="82">
          <cell r="I82">
            <v>271.88</v>
          </cell>
        </row>
        <row r="83">
          <cell r="I83">
            <v>400.29</v>
          </cell>
        </row>
        <row r="84">
          <cell r="I84">
            <v>177.77</v>
          </cell>
        </row>
        <row r="85">
          <cell r="I85">
            <v>406.86</v>
          </cell>
        </row>
        <row r="86">
          <cell r="I86">
            <v>526</v>
          </cell>
        </row>
        <row r="87">
          <cell r="I87">
            <v>333.97</v>
          </cell>
        </row>
        <row r="88">
          <cell r="I88">
            <v>305.8</v>
          </cell>
        </row>
        <row r="89">
          <cell r="I89">
            <v>649.79</v>
          </cell>
        </row>
        <row r="90">
          <cell r="I90">
            <v>441.53</v>
          </cell>
        </row>
        <row r="91">
          <cell r="I91">
            <v>480.51</v>
          </cell>
        </row>
        <row r="92">
          <cell r="I92">
            <v>346.99</v>
          </cell>
        </row>
        <row r="93">
          <cell r="I93">
            <v>229.23</v>
          </cell>
        </row>
        <row r="94">
          <cell r="I94">
            <v>334.84</v>
          </cell>
        </row>
        <row r="95">
          <cell r="I95">
            <v>231.79</v>
          </cell>
        </row>
        <row r="96">
          <cell r="I96">
            <v>328.54</v>
          </cell>
        </row>
        <row r="97">
          <cell r="I97">
            <v>366.99</v>
          </cell>
        </row>
        <row r="98">
          <cell r="I98">
            <v>348.96</v>
          </cell>
        </row>
        <row r="99">
          <cell r="I99">
            <v>542.62</v>
          </cell>
        </row>
        <row r="100">
          <cell r="I100">
            <v>297.69</v>
          </cell>
        </row>
        <row r="101">
          <cell r="I101">
            <v>451.1</v>
          </cell>
        </row>
        <row r="102">
          <cell r="I102">
            <v>210.95</v>
          </cell>
        </row>
        <row r="103">
          <cell r="I103">
            <v>445.59</v>
          </cell>
        </row>
        <row r="104">
          <cell r="I104">
            <v>202.82</v>
          </cell>
        </row>
        <row r="105">
          <cell r="I105">
            <v>231.32</v>
          </cell>
        </row>
        <row r="106">
          <cell r="I106">
            <v>450.29</v>
          </cell>
        </row>
        <row r="107">
          <cell r="I107">
            <v>307.72000000000003</v>
          </cell>
        </row>
        <row r="108">
          <cell r="I108">
            <v>367.59</v>
          </cell>
        </row>
        <row r="109">
          <cell r="I109">
            <v>769.46</v>
          </cell>
        </row>
        <row r="110">
          <cell r="I110">
            <v>327.92</v>
          </cell>
        </row>
        <row r="111">
          <cell r="I111">
            <v>553.29999999999995</v>
          </cell>
        </row>
        <row r="112">
          <cell r="I112">
            <v>352.86</v>
          </cell>
        </row>
        <row r="113">
          <cell r="I113">
            <v>313.91000000000003</v>
          </cell>
        </row>
        <row r="114">
          <cell r="I114">
            <v>355.1</v>
          </cell>
        </row>
        <row r="115">
          <cell r="I115">
            <v>192.76</v>
          </cell>
        </row>
        <row r="116">
          <cell r="I116">
            <v>264.44</v>
          </cell>
        </row>
        <row r="117">
          <cell r="I117">
            <v>172.21</v>
          </cell>
        </row>
        <row r="118">
          <cell r="I118">
            <v>474.66</v>
          </cell>
        </row>
        <row r="119">
          <cell r="I119">
            <v>433.58</v>
          </cell>
        </row>
        <row r="120">
          <cell r="I120">
            <v>343.6</v>
          </cell>
        </row>
        <row r="121">
          <cell r="I121">
            <v>318.3</v>
          </cell>
        </row>
        <row r="122">
          <cell r="I122">
            <v>358.41</v>
          </cell>
        </row>
        <row r="123">
          <cell r="I123">
            <v>581.5</v>
          </cell>
        </row>
        <row r="124">
          <cell r="I124">
            <v>410.9</v>
          </cell>
        </row>
        <row r="125">
          <cell r="I125">
            <v>179.51</v>
          </cell>
        </row>
        <row r="126">
          <cell r="I126">
            <v>511.14</v>
          </cell>
        </row>
        <row r="127">
          <cell r="I127">
            <v>150.18</v>
          </cell>
        </row>
        <row r="128">
          <cell r="I128">
            <v>352.65</v>
          </cell>
        </row>
        <row r="129">
          <cell r="I129">
            <v>472.62</v>
          </cell>
        </row>
        <row r="130">
          <cell r="I130">
            <v>195.33</v>
          </cell>
        </row>
        <row r="131">
          <cell r="I131">
            <v>64.63</v>
          </cell>
        </row>
        <row r="132">
          <cell r="I132">
            <v>461.12</v>
          </cell>
        </row>
        <row r="133">
          <cell r="I133">
            <v>437.11</v>
          </cell>
        </row>
        <row r="134">
          <cell r="I134">
            <v>268.97000000000003</v>
          </cell>
        </row>
        <row r="135">
          <cell r="I135">
            <v>265.26</v>
          </cell>
        </row>
        <row r="136">
          <cell r="I136">
            <v>178.91</v>
          </cell>
        </row>
        <row r="137">
          <cell r="I137">
            <v>356.5</v>
          </cell>
        </row>
        <row r="138">
          <cell r="I138">
            <v>229.65</v>
          </cell>
        </row>
        <row r="139">
          <cell r="I139">
            <v>121.54</v>
          </cell>
        </row>
        <row r="140">
          <cell r="I140">
            <v>268</v>
          </cell>
        </row>
        <row r="141">
          <cell r="I141">
            <v>426.16</v>
          </cell>
        </row>
        <row r="142">
          <cell r="I142">
            <v>316.32</v>
          </cell>
        </row>
        <row r="143">
          <cell r="I143">
            <v>492.5</v>
          </cell>
        </row>
        <row r="144">
          <cell r="I144">
            <v>232.33</v>
          </cell>
        </row>
        <row r="145">
          <cell r="I145">
            <v>165.97</v>
          </cell>
        </row>
        <row r="146">
          <cell r="I146">
            <v>675.5</v>
          </cell>
        </row>
        <row r="147">
          <cell r="I147">
            <v>134.66</v>
          </cell>
        </row>
        <row r="148">
          <cell r="I148">
            <v>487.36</v>
          </cell>
        </row>
        <row r="149">
          <cell r="I149">
            <v>314.74</v>
          </cell>
        </row>
        <row r="150">
          <cell r="I150">
            <v>111.39</v>
          </cell>
        </row>
        <row r="151">
          <cell r="I151">
            <v>318.47000000000003</v>
          </cell>
        </row>
        <row r="152">
          <cell r="I152">
            <v>301.75</v>
          </cell>
        </row>
        <row r="153">
          <cell r="I153">
            <v>413.36</v>
          </cell>
        </row>
        <row r="154">
          <cell r="I154">
            <v>286.68</v>
          </cell>
        </row>
        <row r="155">
          <cell r="I155">
            <v>556.30999999999995</v>
          </cell>
        </row>
        <row r="156">
          <cell r="I156">
            <v>332.19</v>
          </cell>
        </row>
        <row r="157">
          <cell r="I157">
            <v>336.24</v>
          </cell>
        </row>
        <row r="158">
          <cell r="I158">
            <v>180.39</v>
          </cell>
        </row>
        <row r="159">
          <cell r="I159">
            <v>484.35</v>
          </cell>
        </row>
        <row r="160">
          <cell r="I160">
            <v>562.82000000000005</v>
          </cell>
        </row>
        <row r="161">
          <cell r="I161">
            <v>447.34</v>
          </cell>
        </row>
        <row r="162">
          <cell r="I162">
            <v>649.04999999999995</v>
          </cell>
        </row>
        <row r="163">
          <cell r="I163">
            <v>205</v>
          </cell>
        </row>
        <row r="164">
          <cell r="I164">
            <v>263.32</v>
          </cell>
        </row>
        <row r="165">
          <cell r="I165">
            <v>443.99</v>
          </cell>
        </row>
        <row r="166">
          <cell r="I166">
            <v>395.31</v>
          </cell>
        </row>
        <row r="167">
          <cell r="I167">
            <v>335.04</v>
          </cell>
        </row>
        <row r="168">
          <cell r="I168">
            <v>333.85</v>
          </cell>
        </row>
        <row r="169">
          <cell r="I169">
            <v>531.05999999999995</v>
          </cell>
        </row>
        <row r="170">
          <cell r="I170">
            <v>232.19</v>
          </cell>
        </row>
        <row r="171">
          <cell r="I171">
            <v>223.04</v>
          </cell>
        </row>
        <row r="172">
          <cell r="I172">
            <v>422.92</v>
          </cell>
        </row>
        <row r="173">
          <cell r="I173">
            <v>257.45</v>
          </cell>
        </row>
        <row r="174">
          <cell r="I174">
            <v>380.75</v>
          </cell>
        </row>
        <row r="175">
          <cell r="I175">
            <v>225.37</v>
          </cell>
        </row>
        <row r="176">
          <cell r="I176">
            <v>582.55999999999995</v>
          </cell>
        </row>
        <row r="177">
          <cell r="I177">
            <v>344.91</v>
          </cell>
        </row>
        <row r="178">
          <cell r="I178">
            <v>330.79</v>
          </cell>
        </row>
        <row r="179">
          <cell r="I179">
            <v>460</v>
          </cell>
        </row>
        <row r="180">
          <cell r="I180">
            <v>439.88</v>
          </cell>
        </row>
        <row r="181">
          <cell r="I181">
            <v>255.79</v>
          </cell>
        </row>
        <row r="182">
          <cell r="I182">
            <v>159.74</v>
          </cell>
        </row>
        <row r="183">
          <cell r="I183">
            <v>404.39</v>
          </cell>
        </row>
        <row r="184">
          <cell r="I184">
            <v>187.57</v>
          </cell>
        </row>
        <row r="185">
          <cell r="I185">
            <v>410.87</v>
          </cell>
        </row>
        <row r="186">
          <cell r="I186">
            <v>275.77999999999997</v>
          </cell>
        </row>
        <row r="187">
          <cell r="I187">
            <v>746.74</v>
          </cell>
        </row>
        <row r="188">
          <cell r="I188">
            <v>310.24</v>
          </cell>
        </row>
        <row r="189">
          <cell r="I189">
            <v>341.12</v>
          </cell>
        </row>
        <row r="190">
          <cell r="I190">
            <v>91.71</v>
          </cell>
        </row>
        <row r="191">
          <cell r="I191">
            <v>331.59</v>
          </cell>
        </row>
        <row r="192">
          <cell r="I192">
            <v>381.07</v>
          </cell>
        </row>
        <row r="193">
          <cell r="I193">
            <v>255.24</v>
          </cell>
        </row>
        <row r="194">
          <cell r="I194">
            <v>692.05</v>
          </cell>
        </row>
        <row r="195">
          <cell r="I195">
            <v>344.41</v>
          </cell>
        </row>
        <row r="196">
          <cell r="I196">
            <v>397.06</v>
          </cell>
        </row>
        <row r="197">
          <cell r="I197">
            <v>586.14</v>
          </cell>
        </row>
        <row r="198">
          <cell r="I198">
            <v>333.36</v>
          </cell>
        </row>
        <row r="199">
          <cell r="I199">
            <v>245.45</v>
          </cell>
        </row>
        <row r="200">
          <cell r="I200">
            <v>379.09</v>
          </cell>
        </row>
        <row r="201">
          <cell r="I201">
            <v>440.95</v>
          </cell>
        </row>
      </sheetData>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E:\All%20data\EXCEL\PROJECTS\PROJECT%202\PROJECT_2.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refreshedDate="46064.660386805554" createdVersion="8" refreshedVersion="8" minRefreshableVersion="3" recordCount="200" xr:uid="{03609D52-5A6C-4BC6-A685-60FC87CF27C3}">
  <cacheSource type="worksheet">
    <worksheetSource ref="A1:P201" sheet="Dataset"/>
  </cacheSource>
  <cacheFields count="16">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Month" numFmtId="0">
      <sharedItems containsBlank="1"/>
    </cacheField>
    <cacheField name="Timestamp" numFmtId="22">
      <sharedItems containsSemiMixedTypes="0" containsNonDate="0" containsDate="1" containsString="0" minDate="2026-02-11T15:40:33" maxDate="2026-02-11T15:40:33"/>
    </cacheField>
    <cacheField name="CALCULATE GROWTH" numFmtId="0">
      <sharedItems containsSemiMixedTypes="0" containsString="0" containsNumber="1" minValue="310.65316354166862" maxValue="672.65316365740728"/>
    </cacheField>
    <cacheField name="Monthly Sales Growth" numFmtId="0">
      <sharedItems/>
    </cacheField>
    <cacheField name="FILTER / HIGH VALUE CUSTOMER" numFmtId="0">
      <sharedItems containsBlank="1"/>
    </cacheField>
    <cacheField name="INDEX + MATCH" numFmtId="0">
      <sharedItems containsBlank="1"/>
    </cacheField>
    <cacheField name="TOTAL SALES PER CUSTOMERS" numFmtId="0">
      <sharedItems/>
    </cacheField>
  </cacheFields>
  <extLst>
    <ext xmlns:x14="http://schemas.microsoft.com/office/spreadsheetml/2009/9/main" uri="{725AE2AE-9491-48be-B2B4-4EB974FC3084}">
      <x14:pivotCacheDefinition pivotCacheId="15040409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refreshedDate="46067.787550578701" createdVersion="8" refreshedVersion="8" minRefreshableVersion="3" recordCount="201" xr:uid="{29E692B1-8DFA-423C-AC09-2EBBB214A999}">
  <cacheSource type="worksheet">
    <worksheetSource ref="A1:J1048576" sheet="Dataset" r:id="rId2"/>
  </cacheSource>
  <cacheFields count="10">
    <cacheField name="Customer_ID" numFmtId="0">
      <sharedItems containsBlank="1"/>
    </cacheField>
    <cacheField name="Customer_Name" numFmtId="0">
      <sharedItems containsBlank="1"/>
    </cacheField>
    <cacheField name="Region" numFmtId="0">
      <sharedItems containsBlank="1" count="6">
        <s v="West"/>
        <s v="East"/>
        <s v="South"/>
        <s v="North"/>
        <s v="Central"/>
        <m/>
      </sharedItems>
    </cacheField>
    <cacheField name="Product_Category" numFmtId="0">
      <sharedItems containsBlank="1" count="6">
        <s v="Books"/>
        <s v="Clothing"/>
        <s v="Electronics"/>
        <s v="Furniture"/>
        <s v="Office Supplies"/>
        <m/>
      </sharedItems>
    </cacheField>
    <cacheField name="Sales" numFmtId="0">
      <sharedItems containsString="0" containsBlank="1" containsNumber="1" minValue="258.51" maxValue="1923.66"/>
    </cacheField>
    <cacheField name="Quantity" numFmtId="0">
      <sharedItems containsString="0" containsBlank="1" containsNumber="1" containsInteger="1" minValue="1" maxValue="19"/>
    </cacheField>
    <cacheField name="Discount" numFmtId="0">
      <sharedItems containsString="0" containsBlank="1" containsNumber="1" minValue="0" maxValue="0.2"/>
    </cacheField>
    <cacheField name="Order_Date" numFmtId="0">
      <sharedItems containsNonDate="0" containsDate="1" containsString="0" containsBlank="1" minDate="2024-04-10T00:00:00" maxDate="2025-04-08T00:00:00"/>
    </cacheField>
    <cacheField name="Profit" numFmtId="0">
      <sharedItems containsString="0" containsBlank="1" containsNumber="1" minValue="64.63" maxValue="769.46"/>
    </cacheField>
    <cacheField name="Month" numFmtId="0">
      <sharedItems containsBlank="1" count="14">
        <s v="Apr-2024"/>
        <s v="May-2024"/>
        <s v="Jun-2024"/>
        <s v="Jul-2024"/>
        <s v="Aug-2024"/>
        <s v="Sep-2024"/>
        <s v="Oct-2024"/>
        <s v="Nov-2024"/>
        <s v="Dec-2024"/>
        <s v="Jan-2025"/>
        <s v="Feb-2025"/>
        <s v="Mar-2025"/>
        <s v="Apr-2025"/>
        <m/>
      </sharedItems>
    </cacheField>
  </cacheFields>
  <extLst>
    <ext xmlns:x14="http://schemas.microsoft.com/office/spreadsheetml/2009/9/main" uri="{725AE2AE-9491-48be-B2B4-4EB974FC3084}">
      <x14:pivotCacheDefinition pivotCacheId="1473390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s v="Apr-2024"/>
    <d v="2026-02-11T15:40:33"/>
    <n v="672.65316365740728"/>
    <s v="↑"/>
    <s v="Linda Wilson"/>
    <s v="NOT FOUND"/>
    <s v="Normal"/>
  </r>
  <r>
    <s v="CUST012"/>
    <s v="Robert Anderson"/>
    <x v="0"/>
    <x v="1"/>
    <n v="1101.28"/>
    <n v="3"/>
    <n v="0.2"/>
    <d v="2024-04-11T00:00:00"/>
    <n v="440.51"/>
    <s v="Apr-2024"/>
    <d v="2026-02-11T15:40:33"/>
    <n v="671.65316365740728"/>
    <s v="↑"/>
    <s v="Emma Davis"/>
    <m/>
    <s v="Normal"/>
  </r>
  <r>
    <s v="CUST017"/>
    <s v="James Taylor"/>
    <x v="1"/>
    <x v="0"/>
    <n v="713.34"/>
    <n v="17"/>
    <n v="0"/>
    <d v="2024-04-14T00:00:00"/>
    <n v="285.33999999999997"/>
    <s v="Apr-2024"/>
    <d v="2026-02-11T15:40:33"/>
    <n v="668.65316365740728"/>
    <s v="↑"/>
    <s v="David Thomas"/>
    <m/>
    <s v="Normal"/>
  </r>
  <r>
    <s v="CUST005"/>
    <s v="Robert Anderson"/>
    <x v="2"/>
    <x v="2"/>
    <n v="760.93"/>
    <n v="4"/>
    <n v="0.15"/>
    <d v="2024-04-14T00:00:00"/>
    <n v="161.69999999999999"/>
    <s v="Apr-2024"/>
    <d v="2026-02-11T15:40:33"/>
    <n v="668.65316365740728"/>
    <s v="↑"/>
    <s v="Sarah Anderson"/>
    <m/>
    <s v="Normal"/>
  </r>
  <r>
    <s v="CUST030"/>
    <s v="James Wilson"/>
    <x v="3"/>
    <x v="0"/>
    <n v="847"/>
    <n v="12"/>
    <n v="0.2"/>
    <d v="2024-04-15T00:00:00"/>
    <n v="271.04000000000002"/>
    <s v="Apr-2024"/>
    <d v="2026-02-11T15:40:33"/>
    <n v="667.65316365740728"/>
    <s v="↑"/>
    <s v="Mary Jackson"/>
    <m/>
    <s v="Normal"/>
  </r>
  <r>
    <s v="CUST007"/>
    <s v="Michael Anderson"/>
    <x v="3"/>
    <x v="3"/>
    <n v="965.64"/>
    <n v="8"/>
    <n v="0.1"/>
    <d v="2024-04-16T00:00:00"/>
    <n v="304.18"/>
    <s v="Apr-2024"/>
    <d v="2026-02-11T15:40:33"/>
    <n v="666.65316354166862"/>
    <s v="↑"/>
    <s v="David Brown"/>
    <m/>
    <s v="Normal"/>
  </r>
  <r>
    <s v="CUST001"/>
    <s v="Linda Wilson"/>
    <x v="0"/>
    <x v="2"/>
    <n v="1317.53"/>
    <n v="12"/>
    <n v="0.05"/>
    <d v="2024-04-16T00:00:00"/>
    <n v="312.91000000000003"/>
    <s v="Apr-2024"/>
    <d v="2026-02-11T15:40:33"/>
    <n v="666.65316354166862"/>
    <s v="↑"/>
    <s v="Linda Taylor"/>
    <m/>
    <s v="Normal"/>
  </r>
  <r>
    <s v="CUST026"/>
    <s v="Mary Davis"/>
    <x v="1"/>
    <x v="3"/>
    <n v="1074.47"/>
    <n v="6"/>
    <n v="0.2"/>
    <d v="2024-04-19T00:00:00"/>
    <n v="300.85000000000002"/>
    <s v="Apr-2024"/>
    <d v="2026-02-11T15:40:33"/>
    <n v="663.65316354166862"/>
    <s v="↑"/>
    <s v="Lisa Davis"/>
    <m/>
    <s v="Normal"/>
  </r>
  <r>
    <s v="CUST009"/>
    <s v="Linda Jackson"/>
    <x v="4"/>
    <x v="0"/>
    <n v="501.54"/>
    <n v="11"/>
    <n v="0.05"/>
    <d v="2024-04-19T00:00:00"/>
    <n v="190.59"/>
    <s v="Apr-2024"/>
    <d v="2026-02-11T15:40:33"/>
    <n v="663.65316354166862"/>
    <s v="↑"/>
    <s v="Emma Wilson"/>
    <m/>
    <s v="Normal"/>
  </r>
  <r>
    <s v="CUST010"/>
    <s v="David Thomas"/>
    <x v="4"/>
    <x v="1"/>
    <n v="737.31"/>
    <n v="2"/>
    <n v="0.05"/>
    <d v="2024-04-19T00:00:00"/>
    <n v="350.22"/>
    <s v="Apr-2024"/>
    <d v="2026-02-11T15:40:33"/>
    <n v="663.65316365740728"/>
    <s v="↑"/>
    <s v="David Davis"/>
    <m/>
    <s v="Normal"/>
  </r>
  <r>
    <s v="CUST014"/>
    <s v="Emma Davis"/>
    <x v="0"/>
    <x v="4"/>
    <n v="1572.82"/>
    <n v="6"/>
    <n v="0.05"/>
    <d v="2024-04-20T00:00:00"/>
    <n v="672.38"/>
    <s v="Apr-2024"/>
    <d v="2026-02-11T15:40:33"/>
    <n v="662.65316365740728"/>
    <s v="↑"/>
    <s v="James Wilson"/>
    <m/>
    <s v="Normal"/>
  </r>
  <r>
    <s v="CUST014"/>
    <s v="David Thomas"/>
    <x v="4"/>
    <x v="0"/>
    <n v="1343.13"/>
    <n v="14"/>
    <n v="0.15"/>
    <d v="2024-04-22T00:00:00"/>
    <n v="456.66"/>
    <s v="Apr-2024"/>
    <d v="2026-02-11T15:40:33"/>
    <n v="660.65316365740728"/>
    <s v="↑"/>
    <s v="Mary Wilson"/>
    <m/>
    <s v="Normal"/>
  </r>
  <r>
    <s v="CUST007"/>
    <s v="Michael Anderson"/>
    <x v="4"/>
    <x v="0"/>
    <n v="1191.58"/>
    <n v="14"/>
    <n v="0.05"/>
    <d v="2024-04-24T00:00:00"/>
    <n v="452.8"/>
    <s v="Apr-2024"/>
    <d v="2026-02-11T15:40:33"/>
    <n v="658.65316365740728"/>
    <s v="↑"/>
    <s v="Mary Davis"/>
    <m/>
    <s v="Normal"/>
  </r>
  <r>
    <s v="CUST023"/>
    <s v="Robert Anderson"/>
    <x v="0"/>
    <x v="3"/>
    <n v="822.28"/>
    <n v="7"/>
    <n v="0.05"/>
    <d v="2024-04-24T00:00:00"/>
    <n v="273.41000000000003"/>
    <s v="Apr-2024"/>
    <d v="2026-02-11T15:40:33"/>
    <n v="658.65316365740728"/>
    <s v="↑"/>
    <s v="James Davis"/>
    <m/>
    <s v="Normal"/>
  </r>
  <r>
    <s v="CUST029"/>
    <s v="David Smith"/>
    <x v="3"/>
    <x v="3"/>
    <n v="521.66999999999996"/>
    <n v="15"/>
    <n v="0.15"/>
    <d v="2024-04-27T00:00:00"/>
    <n v="155.19999999999999"/>
    <s v="Apr-2024"/>
    <d v="2026-02-11T15:40:33"/>
    <n v="655.65316365740728"/>
    <s v="↑"/>
    <s v="Sarah Davis"/>
    <m/>
    <s v="Normal"/>
  </r>
  <r>
    <s v="CUST005"/>
    <s v="Sarah Anderson"/>
    <x v="2"/>
    <x v="2"/>
    <n v="1502.93"/>
    <n v="14"/>
    <n v="0.2"/>
    <d v="2024-04-28T00:00:00"/>
    <n v="300.58999999999997"/>
    <s v="Apr-2024"/>
    <d v="2026-02-11T15:40:33"/>
    <n v="654.65316365740728"/>
    <s v="↑"/>
    <s v="Linda Brown"/>
    <m/>
    <s v="Normal"/>
  </r>
  <r>
    <s v="CUST008"/>
    <s v="Robert Anderson"/>
    <x v="2"/>
    <x v="0"/>
    <n v="877.58"/>
    <n v="10"/>
    <n v="0.15"/>
    <d v="2024-04-29T00:00:00"/>
    <n v="298.38"/>
    <s v="Apr-2024"/>
    <d v="2026-02-11T15:40:33"/>
    <n v="653.65316365740728"/>
    <s v="↑"/>
    <s v="Linda Jackson"/>
    <m/>
    <s v="Normal"/>
  </r>
  <r>
    <s v="CUST001"/>
    <s v="Lisa Thomas"/>
    <x v="0"/>
    <x v="0"/>
    <n v="636.70000000000005"/>
    <n v="4"/>
    <n v="0.2"/>
    <d v="2024-04-29T00:00:00"/>
    <n v="203.74"/>
    <s v="Apr-2024"/>
    <d v="2026-02-11T15:40:33"/>
    <n v="653.65316365740728"/>
    <s v="↑"/>
    <s v="James Taylor"/>
    <m/>
    <s v="Normal"/>
  </r>
  <r>
    <s v="CUST006"/>
    <s v="Mary Jackson"/>
    <x v="0"/>
    <x v="0"/>
    <n v="1506.14"/>
    <n v="13"/>
    <n v="0.2"/>
    <d v="2024-04-30T00:00:00"/>
    <n v="481.96"/>
    <s v="Apr-2024"/>
    <d v="2026-02-11T15:40:33"/>
    <n v="652.65316365740728"/>
    <s v="↑"/>
    <s v="Michael Anderson"/>
    <m/>
    <s v="Normal"/>
  </r>
  <r>
    <s v="CUST026"/>
    <s v="Mary Davis"/>
    <x v="4"/>
    <x v="2"/>
    <n v="645.02"/>
    <n v="4"/>
    <n v="0"/>
    <d v="2024-05-02T00:00:00"/>
    <n v="161.26"/>
    <s v="May-2024"/>
    <d v="2026-02-11T15:40:33"/>
    <n v="650.65316365740728"/>
    <s v="↑"/>
    <s v="Emma Taylor"/>
    <m/>
    <s v="Normal"/>
  </r>
  <r>
    <s v="CUST007"/>
    <s v="Lisa Davis"/>
    <x v="2"/>
    <x v="1"/>
    <n v="953.3"/>
    <n v="11"/>
    <n v="0"/>
    <d v="2024-05-03T00:00:00"/>
    <n v="476.65"/>
    <s v="May-2024"/>
    <d v="2026-02-11T15:40:33"/>
    <n v="649.65316365740728"/>
    <s v="↑"/>
    <s v="David Anderson"/>
    <m/>
    <s v="Normal"/>
  </r>
  <r>
    <s v="CUST022"/>
    <s v="Robert Anderson"/>
    <x v="3"/>
    <x v="2"/>
    <n v="388.56"/>
    <n v="14"/>
    <n v="0.15"/>
    <d v="2024-05-04T00:00:00"/>
    <n v="82.57"/>
    <s v="May-2024"/>
    <d v="2026-02-11T15:40:33"/>
    <n v="648.65316354166862"/>
    <s v="↑"/>
    <m/>
    <m/>
    <s v="Normal"/>
  </r>
  <r>
    <s v="CUST019"/>
    <s v="Mary Davis"/>
    <x v="0"/>
    <x v="0"/>
    <n v="743.17"/>
    <n v="9"/>
    <n v="0"/>
    <d v="2024-05-04T00:00:00"/>
    <n v="297.27"/>
    <s v="May-2024"/>
    <d v="2026-02-11T15:40:33"/>
    <n v="648.65316354166862"/>
    <s v="↑"/>
    <m/>
    <m/>
    <s v="Normal"/>
  </r>
  <r>
    <s v="CUST023"/>
    <s v="Mary Davis"/>
    <x v="4"/>
    <x v="2"/>
    <n v="706.37"/>
    <n v="6"/>
    <n v="0"/>
    <d v="2024-05-04T00:00:00"/>
    <n v="176.59"/>
    <s v="May-2024"/>
    <d v="2026-02-11T15:40:33"/>
    <n v="648.65316354166862"/>
    <s v="↑"/>
    <m/>
    <m/>
    <s v="Normal"/>
  </r>
  <r>
    <s v="CUST012"/>
    <s v="Mary Davis"/>
    <x v="4"/>
    <x v="4"/>
    <n v="925.31"/>
    <n v="8"/>
    <n v="0.1"/>
    <d v="2024-05-06T00:00:00"/>
    <n v="374.75"/>
    <s v="May-2024"/>
    <d v="2026-02-11T15:40:33"/>
    <n v="646.65316354166862"/>
    <s v="↑"/>
    <m/>
    <m/>
    <s v="Normal"/>
  </r>
  <r>
    <s v="CUST010"/>
    <s v="Linda Brown"/>
    <x v="2"/>
    <x v="2"/>
    <n v="1173.1199999999999"/>
    <n v="18"/>
    <n v="0"/>
    <d v="2024-05-06T00:00:00"/>
    <n v="293.27999999999997"/>
    <s v="May-2024"/>
    <d v="2026-02-11T15:40:33"/>
    <n v="646.65316365740728"/>
    <s v="↑"/>
    <m/>
    <m/>
    <s v="Normal"/>
  </r>
  <r>
    <s v="CUST030"/>
    <s v="John Brown"/>
    <x v="3"/>
    <x v="3"/>
    <n v="675.54"/>
    <n v="17"/>
    <n v="0"/>
    <d v="2024-05-08T00:00:00"/>
    <n v="236.44"/>
    <s v="May-2024"/>
    <d v="2026-02-11T15:40:33"/>
    <n v="644.65316365740728"/>
    <s v="↑"/>
    <m/>
    <m/>
    <s v="Normal"/>
  </r>
  <r>
    <s v="CUST007"/>
    <s v="Robert Anderson"/>
    <x v="4"/>
    <x v="0"/>
    <n v="939.09"/>
    <n v="2"/>
    <n v="0.05"/>
    <d v="2024-05-10T00:00:00"/>
    <n v="356.85"/>
    <s v="May-2024"/>
    <d v="2026-02-11T15:40:33"/>
    <n v="642.65316365740728"/>
    <s v="↑"/>
    <m/>
    <m/>
    <s v="Normal"/>
  </r>
  <r>
    <s v="CUST028"/>
    <s v="Linda Taylor"/>
    <x v="1"/>
    <x v="4"/>
    <n v="983.34"/>
    <n v="19"/>
    <n v="0.1"/>
    <d v="2024-05-14T00:00:00"/>
    <n v="398.25"/>
    <s v="May-2024"/>
    <d v="2026-02-11T15:40:33"/>
    <n v="638.65316365740728"/>
    <s v="↑"/>
    <m/>
    <m/>
    <s v="Normal"/>
  </r>
  <r>
    <s v="CUST028"/>
    <s v="James Wilson"/>
    <x v="2"/>
    <x v="2"/>
    <n v="801.21"/>
    <n v="3"/>
    <n v="0.2"/>
    <d v="2024-05-14T00:00:00"/>
    <n v="160.24"/>
    <s v="May-2024"/>
    <d v="2026-02-11T15:40:33"/>
    <n v="638.65316365740728"/>
    <s v="↑"/>
    <m/>
    <m/>
    <s v="Normal"/>
  </r>
  <r>
    <s v="CUST025"/>
    <s v="David Brown"/>
    <x v="3"/>
    <x v="2"/>
    <n v="1450.71"/>
    <n v="5"/>
    <n v="0.1"/>
    <d v="2024-05-15T00:00:00"/>
    <n v="326.41000000000003"/>
    <s v="May-2024"/>
    <d v="2026-02-11T15:40:33"/>
    <n v="637.65316365740728"/>
    <s v="↑"/>
    <m/>
    <m/>
    <s v="Normal"/>
  </r>
  <r>
    <s v="CUST022"/>
    <s v="David Davis"/>
    <x v="4"/>
    <x v="0"/>
    <n v="1023.21"/>
    <n v="18"/>
    <n v="0.05"/>
    <d v="2024-05-16T00:00:00"/>
    <n v="388.82"/>
    <s v="May-2024"/>
    <d v="2026-02-11T15:40:33"/>
    <n v="636.65316365740728"/>
    <s v="↑"/>
    <m/>
    <m/>
    <s v="Normal"/>
  </r>
  <r>
    <s v="CUST001"/>
    <s v="Mary Jackson"/>
    <x v="0"/>
    <x v="3"/>
    <n v="853.72"/>
    <n v="5"/>
    <n v="0.15"/>
    <d v="2024-05-16T00:00:00"/>
    <n v="253.98"/>
    <s v="May-2024"/>
    <d v="2026-02-11T15:40:33"/>
    <n v="636.65316365740728"/>
    <s v="↑"/>
    <m/>
    <m/>
    <s v="Normal"/>
  </r>
  <r>
    <s v="CUST021"/>
    <s v="Sarah Anderson"/>
    <x v="2"/>
    <x v="2"/>
    <n v="967.89"/>
    <n v="10"/>
    <n v="0.1"/>
    <d v="2024-05-17T00:00:00"/>
    <n v="217.78"/>
    <s v="May-2024"/>
    <d v="2026-02-11T15:40:33"/>
    <n v="635.65316365740728"/>
    <s v="↑"/>
    <m/>
    <m/>
    <s v="Normal"/>
  </r>
  <r>
    <s v="CUST015"/>
    <s v="Linda Taylor"/>
    <x v="3"/>
    <x v="4"/>
    <n v="1200.9000000000001"/>
    <n v="14"/>
    <n v="0.05"/>
    <d v="2024-05-17T00:00:00"/>
    <n v="513.38"/>
    <s v="May-2024"/>
    <d v="2026-02-11T15:40:33"/>
    <n v="635.65316365740728"/>
    <s v="↑"/>
    <m/>
    <m/>
    <s v="Normal"/>
  </r>
  <r>
    <s v="CUST012"/>
    <s v="Michael Anderson"/>
    <x v="0"/>
    <x v="0"/>
    <n v="472.38"/>
    <n v="12"/>
    <n v="0.2"/>
    <d v="2024-05-17T00:00:00"/>
    <n v="151.16"/>
    <s v="May-2024"/>
    <d v="2026-02-11T15:40:33"/>
    <n v="635.65316365740728"/>
    <s v="↑"/>
    <m/>
    <m/>
    <s v="Normal"/>
  </r>
  <r>
    <s v="CUST019"/>
    <s v="David Brown"/>
    <x v="1"/>
    <x v="4"/>
    <n v="840.92"/>
    <n v="9"/>
    <n v="0.05"/>
    <d v="2024-05-17T00:00:00"/>
    <n v="359.49"/>
    <s v="May-2024"/>
    <d v="2026-02-11T15:40:33"/>
    <n v="635.65316365740728"/>
    <s v="↑"/>
    <m/>
    <m/>
    <s v="Normal"/>
  </r>
  <r>
    <s v="CUST028"/>
    <s v="Lisa Davis"/>
    <x v="4"/>
    <x v="3"/>
    <n v="1410.06"/>
    <n v="11"/>
    <n v="0.05"/>
    <d v="2024-05-22T00:00:00"/>
    <n v="468.84"/>
    <s v="May-2024"/>
    <d v="2026-02-11T15:40:33"/>
    <n v="630.65316354166862"/>
    <s v="↑"/>
    <m/>
    <m/>
    <s v="Normal"/>
  </r>
  <r>
    <s v="CUST008"/>
    <s v="Mary Wilson"/>
    <x v="4"/>
    <x v="3"/>
    <n v="773.09"/>
    <n v="13"/>
    <n v="0.15"/>
    <d v="2024-05-22T00:00:00"/>
    <n v="229.99"/>
    <s v="May-2024"/>
    <d v="2026-02-11T15:40:33"/>
    <n v="630.65316354166862"/>
    <s v="↑"/>
    <m/>
    <m/>
    <s v="Normal"/>
  </r>
  <r>
    <s v="CUST016"/>
    <s v="Emma Wilson"/>
    <x v="1"/>
    <x v="0"/>
    <n v="580.42999999999995"/>
    <n v="19"/>
    <n v="0.15"/>
    <d v="2024-05-23T00:00:00"/>
    <n v="197.35"/>
    <s v="May-2024"/>
    <d v="2026-02-11T15:40:33"/>
    <n v="629.65316354166862"/>
    <s v="↑"/>
    <m/>
    <m/>
    <s v="Normal"/>
  </r>
  <r>
    <s v="CUST005"/>
    <s v="David Smith"/>
    <x v="2"/>
    <x v="0"/>
    <n v="1151.21"/>
    <n v="15"/>
    <n v="0.1"/>
    <d v="2024-06-02T00:00:00"/>
    <n v="414.44"/>
    <s v="Jun-2024"/>
    <d v="2026-02-11T15:40:33"/>
    <n v="619.65316354166862"/>
    <s v="↑"/>
    <m/>
    <m/>
    <s v="Normal"/>
  </r>
  <r>
    <s v="CUST028"/>
    <s v="James Wilson"/>
    <x v="4"/>
    <x v="4"/>
    <n v="1025.98"/>
    <n v="5"/>
    <n v="0.2"/>
    <d v="2024-06-04T00:00:00"/>
    <n v="369.35"/>
    <s v="Jun-2024"/>
    <d v="2026-02-11T15:40:33"/>
    <n v="617.65316365740728"/>
    <s v="↑"/>
    <m/>
    <m/>
    <s v="Normal"/>
  </r>
  <r>
    <s v="CUST023"/>
    <s v="David Davis"/>
    <x v="1"/>
    <x v="4"/>
    <n v="556.41999999999996"/>
    <n v="11"/>
    <n v="0.15"/>
    <d v="2024-06-04T00:00:00"/>
    <n v="212.83"/>
    <s v="Jun-2024"/>
    <d v="2026-02-11T15:40:33"/>
    <n v="617.65316365740728"/>
    <s v="↑"/>
    <m/>
    <m/>
    <s v="Normal"/>
  </r>
  <r>
    <s v="CUST021"/>
    <s v="James Wilson"/>
    <x v="4"/>
    <x v="0"/>
    <n v="840.85"/>
    <n v="19"/>
    <n v="0.1"/>
    <d v="2024-06-05T00:00:00"/>
    <n v="302.70999999999998"/>
    <s v="Jun-2024"/>
    <d v="2026-02-11T15:40:33"/>
    <n v="616.65316365740728"/>
    <s v="↑"/>
    <m/>
    <m/>
    <s v="Normal"/>
  </r>
  <r>
    <s v="CUST026"/>
    <s v="Emma Wilson"/>
    <x v="3"/>
    <x v="3"/>
    <n v="1227.25"/>
    <n v="12"/>
    <n v="0.15"/>
    <d v="2024-06-05T00:00:00"/>
    <n v="365.11"/>
    <s v="Jun-2024"/>
    <d v="2026-02-11T15:40:33"/>
    <n v="616.65316365740728"/>
    <s v="↑"/>
    <m/>
    <m/>
    <s v="Normal"/>
  </r>
  <r>
    <s v="CUST017"/>
    <s v="Linda Davis"/>
    <x v="4"/>
    <x v="2"/>
    <n v="856.7"/>
    <n v="2"/>
    <n v="0"/>
    <d v="2024-06-06T00:00:00"/>
    <n v="214.18"/>
    <s v="Jun-2024"/>
    <d v="2026-02-11T15:40:33"/>
    <n v="615.65316365740728"/>
    <s v="↑"/>
    <m/>
    <m/>
    <s v="Normal"/>
  </r>
  <r>
    <s v="CUST025"/>
    <s v="David Davis"/>
    <x v="4"/>
    <x v="4"/>
    <n v="1225.42"/>
    <n v="8"/>
    <n v="0.15"/>
    <d v="2024-06-06T00:00:00"/>
    <n v="468.72"/>
    <s v="Jun-2024"/>
    <d v="2026-02-11T15:40:33"/>
    <n v="615.65316365740728"/>
    <s v="↑"/>
    <m/>
    <m/>
    <s v="Normal"/>
  </r>
  <r>
    <s v="CUST011"/>
    <s v="Mary Davis"/>
    <x v="3"/>
    <x v="4"/>
    <n v="1001.57"/>
    <n v="12"/>
    <n v="0"/>
    <d v="2024-06-07T00:00:00"/>
    <n v="450.71"/>
    <s v="Jun-2024"/>
    <d v="2026-02-11T15:40:33"/>
    <n v="614.65316365740728"/>
    <s v="↑"/>
    <m/>
    <m/>
    <s v="Normal"/>
  </r>
  <r>
    <s v="CUST021"/>
    <s v="Michael Anderson"/>
    <x v="1"/>
    <x v="3"/>
    <n v="1186.8499999999999"/>
    <n v="19"/>
    <n v="0.2"/>
    <d v="2024-06-08T00:00:00"/>
    <n v="332.32"/>
    <s v="Jun-2024"/>
    <d v="2026-02-11T15:40:33"/>
    <n v="613.65316365740728"/>
    <s v="↑"/>
    <m/>
    <m/>
    <s v="Normal"/>
  </r>
  <r>
    <s v="CUST008"/>
    <s v="John Brown"/>
    <x v="2"/>
    <x v="2"/>
    <n v="775.45"/>
    <n v="6"/>
    <n v="0.1"/>
    <d v="2024-06-14T00:00:00"/>
    <n v="174.48"/>
    <s v="Jun-2024"/>
    <d v="2026-02-11T15:40:33"/>
    <n v="607.65316365740728"/>
    <s v="↑"/>
    <m/>
    <m/>
    <s v="Normal"/>
  </r>
  <r>
    <s v="CUST007"/>
    <s v="Linda Jackson"/>
    <x v="2"/>
    <x v="2"/>
    <n v="1021.47"/>
    <n v="6"/>
    <n v="0.05"/>
    <d v="2024-06-18T00:00:00"/>
    <n v="242.6"/>
    <s v="Jun-2024"/>
    <d v="2026-02-11T15:40:33"/>
    <n v="603.65316365740728"/>
    <s v="↑"/>
    <m/>
    <m/>
    <s v="Normal"/>
  </r>
  <r>
    <s v="CUST015"/>
    <s v="James Wilson"/>
    <x v="2"/>
    <x v="1"/>
    <n v="1226.6199999999999"/>
    <n v="7"/>
    <n v="0.1"/>
    <d v="2024-06-20T00:00:00"/>
    <n v="551.98"/>
    <s v="Jun-2024"/>
    <d v="2026-02-11T15:40:33"/>
    <n v="601.65316365740728"/>
    <s v="↑"/>
    <m/>
    <m/>
    <s v="Normal"/>
  </r>
  <r>
    <s v="CUST030"/>
    <s v="Sarah Davis"/>
    <x v="2"/>
    <x v="3"/>
    <n v="1086.93"/>
    <n v="2"/>
    <n v="0"/>
    <d v="2024-06-21T00:00:00"/>
    <n v="380.43"/>
    <s v="Jun-2024"/>
    <d v="2026-02-11T15:40:33"/>
    <n v="600.65316365740728"/>
    <s v="↑"/>
    <m/>
    <m/>
    <s v="Normal"/>
  </r>
  <r>
    <s v="CUST002"/>
    <s v="Lisa Davis"/>
    <x v="0"/>
    <x v="0"/>
    <n v="942.9"/>
    <n v="18"/>
    <n v="0.1"/>
    <d v="2024-06-23T00:00:00"/>
    <n v="339.44"/>
    <s v="Jun-2024"/>
    <d v="2026-02-11T15:40:33"/>
    <n v="598.65316354166862"/>
    <s v="↑"/>
    <m/>
    <m/>
    <s v="Normal"/>
  </r>
  <r>
    <s v="CUST009"/>
    <s v="Emma Davis"/>
    <x v="3"/>
    <x v="2"/>
    <n v="818.8"/>
    <n v="15"/>
    <n v="0.15"/>
    <d v="2024-06-25T00:00:00"/>
    <n v="173.99"/>
    <s v="Jun-2024"/>
    <d v="2026-02-11T15:40:33"/>
    <n v="596.65316354166862"/>
    <s v="↑"/>
    <m/>
    <m/>
    <s v="Normal"/>
  </r>
  <r>
    <s v="CUST005"/>
    <s v="Robert Anderson"/>
    <x v="2"/>
    <x v="3"/>
    <n v="919.04"/>
    <n v="10"/>
    <n v="0.2"/>
    <d v="2024-06-25T00:00:00"/>
    <n v="257.33"/>
    <s v="Jun-2024"/>
    <d v="2026-02-11T15:40:33"/>
    <n v="596.65316354166862"/>
    <s v="↑"/>
    <m/>
    <m/>
    <s v="Normal"/>
  </r>
  <r>
    <s v="CUST030"/>
    <s v="Emma Taylor"/>
    <x v="4"/>
    <x v="0"/>
    <n v="973.26"/>
    <n v="11"/>
    <n v="0"/>
    <d v="2024-06-27T00:00:00"/>
    <n v="389.3"/>
    <s v="Jun-2024"/>
    <d v="2026-02-11T15:40:33"/>
    <n v="594.65316354166862"/>
    <s v="↑"/>
    <m/>
    <m/>
    <s v="Normal"/>
  </r>
  <r>
    <s v="CUST029"/>
    <s v="Sarah Davis"/>
    <x v="3"/>
    <x v="2"/>
    <n v="741.61"/>
    <n v="1"/>
    <n v="0.2"/>
    <d v="2024-06-28T00:00:00"/>
    <n v="148.32"/>
    <s v="Jun-2024"/>
    <d v="2026-02-11T15:40:33"/>
    <n v="593.65316365740728"/>
    <s v="↑"/>
    <m/>
    <m/>
    <s v="Normal"/>
  </r>
  <r>
    <s v="CUST003"/>
    <s v="Emma Davis"/>
    <x v="3"/>
    <x v="0"/>
    <n v="1248.82"/>
    <n v="2"/>
    <n v="0.1"/>
    <d v="2024-06-30T00:00:00"/>
    <n v="449.58"/>
    <s v="Jun-2024"/>
    <d v="2026-02-11T15:40:33"/>
    <n v="591.65316365740728"/>
    <s v="↑"/>
    <m/>
    <m/>
    <s v="Normal"/>
  </r>
  <r>
    <s v="CUST012"/>
    <s v="Mary Wilson"/>
    <x v="0"/>
    <x v="1"/>
    <n v="1360.36"/>
    <n v="17"/>
    <n v="0"/>
    <d v="2024-06-30T00:00:00"/>
    <n v="680.18"/>
    <s v="Jun-2024"/>
    <d v="2026-02-11T15:40:33"/>
    <n v="591.65316365740728"/>
    <s v="↑"/>
    <m/>
    <m/>
    <s v="Normal"/>
  </r>
  <r>
    <s v="CUST021"/>
    <s v="Mary Davis"/>
    <x v="1"/>
    <x v="0"/>
    <n v="1383.3"/>
    <n v="8"/>
    <n v="0.1"/>
    <d v="2024-07-05T00:00:00"/>
    <n v="497.99"/>
    <s v="Jul-2024"/>
    <d v="2026-02-11T15:40:33"/>
    <n v="586.65316365740728"/>
    <s v="↑"/>
    <m/>
    <m/>
    <s v="Normal"/>
  </r>
  <r>
    <s v="CUST010"/>
    <s v="David Brown"/>
    <x v="4"/>
    <x v="4"/>
    <n v="488.99"/>
    <n v="9"/>
    <n v="0"/>
    <d v="2024-07-06T00:00:00"/>
    <n v="220.05"/>
    <s v="Jul-2024"/>
    <d v="2026-02-11T15:40:33"/>
    <n v="585.65316365740728"/>
    <s v="↑"/>
    <m/>
    <m/>
    <s v="Normal"/>
  </r>
  <r>
    <s v="CUST026"/>
    <s v="Mary Davis"/>
    <x v="1"/>
    <x v="3"/>
    <n v="933.71"/>
    <n v="17"/>
    <n v="0.1"/>
    <d v="2024-07-08T00:00:00"/>
    <n v="294.12"/>
    <s v="Jul-2024"/>
    <d v="2026-02-11T15:40:33"/>
    <n v="583.65316365740728"/>
    <s v="↑"/>
    <m/>
    <m/>
    <s v="Normal"/>
  </r>
  <r>
    <s v="CUST003"/>
    <s v="James Davis"/>
    <x v="0"/>
    <x v="2"/>
    <n v="1005.53"/>
    <n v="17"/>
    <n v="0.2"/>
    <d v="2024-07-08T00:00:00"/>
    <n v="201.11"/>
    <s v="Jul-2024"/>
    <d v="2026-02-11T15:40:33"/>
    <n v="583.65316365740728"/>
    <s v="↑"/>
    <m/>
    <m/>
    <s v="Normal"/>
  </r>
  <r>
    <s v="CUST029"/>
    <s v="Emma Wilson"/>
    <x v="2"/>
    <x v="2"/>
    <n v="1100.0999999999999"/>
    <n v="5"/>
    <n v="0.05"/>
    <d v="2024-07-09T00:00:00"/>
    <n v="261.27"/>
    <s v="Jul-2024"/>
    <d v="2026-02-11T15:40:33"/>
    <n v="582.65316365740728"/>
    <s v="↑"/>
    <m/>
    <m/>
    <s v="Normal"/>
  </r>
  <r>
    <s v="CUST003"/>
    <s v="James Wilson"/>
    <x v="3"/>
    <x v="3"/>
    <n v="1034.7"/>
    <n v="15"/>
    <n v="0.15"/>
    <d v="2024-07-14T00:00:00"/>
    <n v="307.82"/>
    <s v="Jul-2024"/>
    <d v="2026-02-11T15:40:33"/>
    <n v="577.65316365740728"/>
    <s v="↑"/>
    <m/>
    <m/>
    <s v="Normal"/>
  </r>
  <r>
    <s v="CUST002"/>
    <s v="Mary Davis"/>
    <x v="2"/>
    <x v="0"/>
    <n v="876.44"/>
    <n v="12"/>
    <n v="0.05"/>
    <d v="2024-07-15T00:00:00"/>
    <n v="333.05"/>
    <s v="Jul-2024"/>
    <d v="2026-02-11T15:40:33"/>
    <n v="576.65316365740728"/>
    <s v="↑"/>
    <m/>
    <m/>
    <s v="Normal"/>
  </r>
  <r>
    <s v="CUST020"/>
    <s v="David Brown"/>
    <x v="0"/>
    <x v="3"/>
    <n v="1371.34"/>
    <n v="5"/>
    <n v="0.05"/>
    <d v="2024-07-15T00:00:00"/>
    <n v="455.97"/>
    <s v="Jul-2024"/>
    <d v="2026-02-11T15:40:33"/>
    <n v="576.65316365740728"/>
    <s v="↑"/>
    <m/>
    <m/>
    <s v="Normal"/>
  </r>
  <r>
    <s v="CUST021"/>
    <s v="Mary Jackson"/>
    <x v="3"/>
    <x v="2"/>
    <n v="1020.26"/>
    <n v="11"/>
    <n v="0.05"/>
    <d v="2024-07-21T00:00:00"/>
    <n v="242.31"/>
    <s v="Jul-2024"/>
    <d v="2026-02-11T15:40:33"/>
    <n v="570.65316365740728"/>
    <s v="↑"/>
    <m/>
    <m/>
    <s v="Normal"/>
  </r>
  <r>
    <s v="CUST008"/>
    <s v="James Davis"/>
    <x v="4"/>
    <x v="4"/>
    <n v="804.81"/>
    <n v="1"/>
    <n v="0.05"/>
    <d v="2024-07-29T00:00:00"/>
    <n v="344.06"/>
    <s v="Jul-2024"/>
    <d v="2026-02-11T15:40:33"/>
    <n v="562.65316354166862"/>
    <s v="↑"/>
    <m/>
    <m/>
    <s v="Normal"/>
  </r>
  <r>
    <s v="CUST030"/>
    <s v="David Brown"/>
    <x v="4"/>
    <x v="2"/>
    <n v="608.66"/>
    <n v="1"/>
    <n v="0.05"/>
    <d v="2024-07-30T00:00:00"/>
    <n v="144.56"/>
    <s v="Jul-2024"/>
    <d v="2026-02-11T15:40:33"/>
    <n v="561.65316354166862"/>
    <s v="↑"/>
    <m/>
    <m/>
    <s v="Normal"/>
  </r>
  <r>
    <s v="CUST020"/>
    <s v="Linda Moore"/>
    <x v="2"/>
    <x v="4"/>
    <n v="981.2"/>
    <n v="19"/>
    <n v="0"/>
    <d v="2024-07-31T00:00:00"/>
    <n v="441.54"/>
    <s v="Jul-2024"/>
    <d v="2026-02-11T15:40:33"/>
    <n v="560.65316354166862"/>
    <s v="↑"/>
    <m/>
    <m/>
    <s v="Normal"/>
  </r>
  <r>
    <s v="CUST024"/>
    <s v="David Brown"/>
    <x v="1"/>
    <x v="2"/>
    <n v="539.77"/>
    <n v="10"/>
    <n v="0.15"/>
    <d v="2024-08-05T00:00:00"/>
    <n v="114.7"/>
    <s v="Aug-2024"/>
    <d v="2026-02-11T15:40:33"/>
    <n v="555.65316354166862"/>
    <s v="↑"/>
    <m/>
    <m/>
    <s v="Normal"/>
  </r>
  <r>
    <s v="CUST012"/>
    <s v="David Anderson"/>
    <x v="2"/>
    <x v="0"/>
    <n v="804.45"/>
    <n v="5"/>
    <n v="0.2"/>
    <d v="2024-08-05T00:00:00"/>
    <n v="257.42"/>
    <s v="Aug-2024"/>
    <d v="2026-02-11T15:40:33"/>
    <n v="555.65316365740728"/>
    <s v="↑"/>
    <m/>
    <m/>
    <s v="Normal"/>
  </r>
  <r>
    <s v="CUST024"/>
    <s v="Emma Davis"/>
    <x v="0"/>
    <x v="2"/>
    <n v="1526.6"/>
    <n v="13"/>
    <n v="0.2"/>
    <d v="2024-08-08T00:00:00"/>
    <n v="305.32"/>
    <s v="Aug-2024"/>
    <d v="2026-02-11T15:40:33"/>
    <n v="552.65316365740728"/>
    <s v="↑"/>
    <m/>
    <m/>
    <s v="Normal"/>
  </r>
  <r>
    <s v="CUST012"/>
    <s v="Linda Wilson"/>
    <x v="0"/>
    <x v="2"/>
    <n v="1215.26"/>
    <n v="5"/>
    <n v="0.15"/>
    <d v="2024-08-09T00:00:00"/>
    <n v="258.24"/>
    <s v="Aug-2024"/>
    <d v="2026-02-11T15:40:33"/>
    <n v="551.65316365740728"/>
    <s v="↑"/>
    <m/>
    <m/>
    <s v="Normal"/>
  </r>
  <r>
    <s v="CUST005"/>
    <s v="Linda Taylor"/>
    <x v="4"/>
    <x v="3"/>
    <n v="1261.3399999999999"/>
    <n v="3"/>
    <n v="0"/>
    <d v="2024-08-15T00:00:00"/>
    <n v="441.47"/>
    <s v="Aug-2024"/>
    <d v="2026-02-11T15:40:33"/>
    <n v="545.65316365740728"/>
    <s v="↑"/>
    <m/>
    <m/>
    <s v="Normal"/>
  </r>
  <r>
    <s v="CUST004"/>
    <s v="Lisa Thomas"/>
    <x v="3"/>
    <x v="3"/>
    <n v="518.07000000000005"/>
    <n v="7"/>
    <n v="0.05"/>
    <d v="2024-08-18T00:00:00"/>
    <n v="172.26"/>
    <s v="Aug-2024"/>
    <d v="2026-02-11T15:40:33"/>
    <n v="542.65316365740728"/>
    <s v="↑"/>
    <m/>
    <m/>
    <s v="Normal"/>
  </r>
  <r>
    <s v="CUST026"/>
    <s v="Linda Wilson"/>
    <x v="0"/>
    <x v="4"/>
    <n v="1111.3399999999999"/>
    <n v="1"/>
    <n v="0"/>
    <d v="2024-08-19T00:00:00"/>
    <n v="500.1"/>
    <s v="Aug-2024"/>
    <d v="2026-02-11T15:40:33"/>
    <n v="541.65316365740728"/>
    <s v="↑"/>
    <m/>
    <m/>
    <s v="Normal"/>
  </r>
  <r>
    <s v="CUST030"/>
    <s v="Mary Davis"/>
    <x v="1"/>
    <x v="1"/>
    <n v="1291.47"/>
    <n v="18"/>
    <n v="0.1"/>
    <d v="2024-08-22T00:00:00"/>
    <n v="581.16"/>
    <s v="Aug-2024"/>
    <d v="2026-02-11T15:40:33"/>
    <n v="538.65316365740728"/>
    <s v="↑"/>
    <m/>
    <m/>
    <s v="Normal"/>
  </r>
  <r>
    <s v="CUST007"/>
    <s v="David Brown"/>
    <x v="3"/>
    <x v="0"/>
    <n v="679.71"/>
    <n v="19"/>
    <n v="0"/>
    <d v="2024-08-30T00:00:00"/>
    <n v="271.88"/>
    <s v="Aug-2024"/>
    <d v="2026-02-11T15:40:33"/>
    <n v="530.65316365740728"/>
    <s v="↑"/>
    <m/>
    <m/>
    <s v="Normal"/>
  </r>
  <r>
    <s v="CUST020"/>
    <s v="Linda Jackson"/>
    <x v="1"/>
    <x v="3"/>
    <n v="1143.69"/>
    <n v="17"/>
    <n v="0"/>
    <d v="2024-08-30T00:00:00"/>
    <n v="400.29"/>
    <s v="Aug-2024"/>
    <d v="2026-02-11T15:40:33"/>
    <n v="530.65316365740728"/>
    <s v="↑"/>
    <m/>
    <m/>
    <s v="Normal"/>
  </r>
  <r>
    <s v="CUST028"/>
    <s v="Linda Brown"/>
    <x v="4"/>
    <x v="2"/>
    <n v="790.08"/>
    <n v="7"/>
    <n v="0.1"/>
    <d v="2024-09-01T00:00:00"/>
    <n v="177.77"/>
    <s v="Sep-2024"/>
    <d v="2026-02-11T15:40:33"/>
    <n v="528.65316365740728"/>
    <s v="↑"/>
    <m/>
    <m/>
    <s v="Normal"/>
  </r>
  <r>
    <s v="CUST005"/>
    <s v="Lisa Davis"/>
    <x v="4"/>
    <x v="0"/>
    <n v="1070.68"/>
    <n v="7"/>
    <n v="0.05"/>
    <d v="2024-09-01T00:00:00"/>
    <n v="406.86"/>
    <s v="Sep-2024"/>
    <d v="2026-02-11T15:40:33"/>
    <n v="528.65316365740728"/>
    <s v="↑"/>
    <m/>
    <m/>
    <s v="Normal"/>
  </r>
  <r>
    <s v="CUST015"/>
    <s v="David Thomas"/>
    <x v="0"/>
    <x v="1"/>
    <n v="1168.8900000000001"/>
    <n v="4"/>
    <n v="0.1"/>
    <d v="2024-09-09T00:00:00"/>
    <n v="526"/>
    <s v="Sep-2024"/>
    <d v="2026-02-11T15:40:33"/>
    <n v="520.65316365740728"/>
    <s v="↑"/>
    <m/>
    <m/>
    <s v="Normal"/>
  </r>
  <r>
    <s v="CUST003"/>
    <s v="James Davis"/>
    <x v="2"/>
    <x v="2"/>
    <n v="1335.87"/>
    <n v="17"/>
    <n v="0"/>
    <d v="2024-09-09T00:00:00"/>
    <n v="333.97"/>
    <s v="Sep-2024"/>
    <d v="2026-02-11T15:40:33"/>
    <n v="520.65316354166862"/>
    <s v="↑"/>
    <m/>
    <m/>
    <s v="Normal"/>
  </r>
  <r>
    <s v="CUST023"/>
    <s v="David Brown"/>
    <x v="1"/>
    <x v="3"/>
    <n v="873.7"/>
    <n v="9"/>
    <n v="0"/>
    <d v="2024-09-11T00:00:00"/>
    <n v="305.8"/>
    <s v="Sep-2024"/>
    <d v="2026-02-11T15:40:33"/>
    <n v="518.65316354166862"/>
    <s v="↑"/>
    <m/>
    <m/>
    <s v="Normal"/>
  </r>
  <r>
    <s v="CUST004"/>
    <s v="Sarah Davis"/>
    <x v="0"/>
    <x v="4"/>
    <n v="1443.98"/>
    <n v="19"/>
    <n v="0"/>
    <d v="2024-09-12T00:00:00"/>
    <n v="649.79"/>
    <s v="Sep-2024"/>
    <d v="2026-02-11T15:40:33"/>
    <n v="517.65316354166862"/>
    <s v="↑"/>
    <m/>
    <m/>
    <s v="Normal"/>
  </r>
  <r>
    <s v="CUST023"/>
    <s v="James Wilson"/>
    <x v="1"/>
    <x v="4"/>
    <n v="1154.33"/>
    <n v="11"/>
    <n v="0.15"/>
    <d v="2024-09-14T00:00:00"/>
    <n v="441.53"/>
    <s v="Sep-2024"/>
    <d v="2026-02-11T15:40:33"/>
    <n v="515.65316354166862"/>
    <s v="↑"/>
    <m/>
    <m/>
    <s v="Normal"/>
  </r>
  <r>
    <s v="CUST022"/>
    <s v="Linda Brown"/>
    <x v="2"/>
    <x v="0"/>
    <n v="1264.49"/>
    <n v="16"/>
    <n v="0.05"/>
    <d v="2024-09-14T00:00:00"/>
    <n v="480.51"/>
    <s v="Sep-2024"/>
    <d v="2026-02-11T15:40:33"/>
    <n v="515.65316365740728"/>
    <s v="↑"/>
    <m/>
    <m/>
    <s v="Normal"/>
  </r>
  <r>
    <s v="CUST007"/>
    <s v="Emma Taylor"/>
    <x v="0"/>
    <x v="3"/>
    <n v="1101.55"/>
    <n v="4"/>
    <n v="0.1"/>
    <d v="2024-09-16T00:00:00"/>
    <n v="346.99"/>
    <s v="Sep-2024"/>
    <d v="2026-02-11T15:40:33"/>
    <n v="513.65316365740728"/>
    <s v="↑"/>
    <m/>
    <m/>
    <s v="Normal"/>
  </r>
  <r>
    <s v="CUST013"/>
    <s v="Robert Anderson"/>
    <x v="2"/>
    <x v="3"/>
    <n v="727.73"/>
    <n v="1"/>
    <n v="0.1"/>
    <d v="2024-09-17T00:00:00"/>
    <n v="229.23"/>
    <s v="Sep-2024"/>
    <d v="2026-02-11T15:40:33"/>
    <n v="512.65316365740728"/>
    <s v="↑"/>
    <m/>
    <m/>
    <s v="Normal"/>
  </r>
  <r>
    <s v="CUST027"/>
    <s v="Emma Davis"/>
    <x v="1"/>
    <x v="4"/>
    <n v="875.41"/>
    <n v="13"/>
    <n v="0.15"/>
    <d v="2024-09-17T00:00:00"/>
    <n v="334.84"/>
    <s v="Sep-2024"/>
    <d v="2026-02-11T15:40:33"/>
    <n v="512.65316365740728"/>
    <s v="↑"/>
    <m/>
    <m/>
    <s v="Normal"/>
  </r>
  <r>
    <s v="CUST003"/>
    <s v="James Wilson"/>
    <x v="0"/>
    <x v="2"/>
    <n v="1158.94"/>
    <n v="19"/>
    <n v="0.2"/>
    <d v="2024-09-18T00:00:00"/>
    <n v="231.79"/>
    <s v="Sep-2024"/>
    <d v="2026-02-11T15:40:33"/>
    <n v="511.65316365740728"/>
    <s v="↑"/>
    <m/>
    <m/>
    <s v="Normal"/>
  </r>
  <r>
    <s v="CUST018"/>
    <s v="Mary Jackson"/>
    <x v="2"/>
    <x v="0"/>
    <n v="966.3"/>
    <n v="2"/>
    <n v="0.15"/>
    <d v="2024-09-22T00:00:00"/>
    <n v="328.54"/>
    <s v="Sep-2024"/>
    <d v="2026-02-11T15:40:33"/>
    <n v="507.65316365740728"/>
    <s v="↑"/>
    <m/>
    <m/>
    <s v="Normal"/>
  </r>
  <r>
    <s v="CUST020"/>
    <s v="James Taylor"/>
    <x v="2"/>
    <x v="0"/>
    <n v="917.48"/>
    <n v="6"/>
    <n v="0"/>
    <d v="2024-09-23T00:00:00"/>
    <n v="366.99"/>
    <s v="Sep-2024"/>
    <d v="2026-02-11T15:40:33"/>
    <n v="506.65316365740728"/>
    <s v="↑"/>
    <m/>
    <m/>
    <s v="Normal"/>
  </r>
  <r>
    <s v="CUST029"/>
    <s v="Emma Wilson"/>
    <x v="0"/>
    <x v="3"/>
    <n v="1172.97"/>
    <n v="7"/>
    <n v="0.15"/>
    <d v="2024-09-24T00:00:00"/>
    <n v="348.96"/>
    <s v="Sep-2024"/>
    <d v="2026-02-11T15:40:33"/>
    <n v="505.65316365740728"/>
    <s v="↑"/>
    <m/>
    <m/>
    <s v="Normal"/>
  </r>
  <r>
    <s v="CUST021"/>
    <s v="James Wilson"/>
    <x v="3"/>
    <x v="1"/>
    <n v="1205.82"/>
    <n v="11"/>
    <n v="0.1"/>
    <d v="2024-09-24T00:00:00"/>
    <n v="542.62"/>
    <s v="Sep-2024"/>
    <d v="2026-02-11T15:40:33"/>
    <n v="505.65316365740728"/>
    <s v="↑"/>
    <m/>
    <m/>
    <s v="Normal"/>
  </r>
  <r>
    <s v="CUST017"/>
    <s v="Sarah Davis"/>
    <x v="0"/>
    <x v="4"/>
    <n v="826.93"/>
    <n v="10"/>
    <n v="0.2"/>
    <d v="2024-09-29T00:00:00"/>
    <n v="297.69"/>
    <s v="Sep-2024"/>
    <d v="2026-02-11T15:40:33"/>
    <n v="500.65316365740728"/>
    <s v="↑"/>
    <m/>
    <m/>
    <s v="Normal"/>
  </r>
  <r>
    <s v="CUST003"/>
    <s v="James Wilson"/>
    <x v="4"/>
    <x v="1"/>
    <n v="902.19"/>
    <n v="12"/>
    <n v="0"/>
    <d v="2024-09-29T00:00:00"/>
    <n v="451.1"/>
    <s v="Sep-2024"/>
    <d v="2026-02-11T15:40:33"/>
    <n v="500.65316365740728"/>
    <s v="↑"/>
    <m/>
    <m/>
    <s v="Normal"/>
  </r>
  <r>
    <s v="CUST027"/>
    <s v="Emma Davis"/>
    <x v="3"/>
    <x v="0"/>
    <n v="585.97"/>
    <n v="17"/>
    <n v="0.1"/>
    <d v="2024-09-30T00:00:00"/>
    <n v="210.95"/>
    <s v="Sep-2024"/>
    <d v="2026-02-11T15:40:33"/>
    <n v="499.65316365740728"/>
    <s v="→"/>
    <m/>
    <m/>
    <s v="Normal"/>
  </r>
  <r>
    <s v="CUST016"/>
    <s v="Michael Anderson"/>
    <x v="3"/>
    <x v="1"/>
    <n v="990.19"/>
    <n v="8"/>
    <n v="0.1"/>
    <d v="2024-09-30T00:00:00"/>
    <n v="445.59"/>
    <s v="Sep-2024"/>
    <d v="2026-02-11T15:40:33"/>
    <n v="499.65316354166862"/>
    <s v="→"/>
    <m/>
    <m/>
    <s v="Normal"/>
  </r>
  <r>
    <s v="CUST008"/>
    <s v="David Davis"/>
    <x v="4"/>
    <x v="2"/>
    <n v="1014.09"/>
    <n v="13"/>
    <n v="0.2"/>
    <d v="2024-10-02T00:00:00"/>
    <n v="202.82"/>
    <s v="Oct-2024"/>
    <d v="2026-02-11T15:40:33"/>
    <n v="497.65316354166862"/>
    <s v="↓"/>
    <m/>
    <m/>
    <s v="Normal"/>
  </r>
  <r>
    <s v="CUST012"/>
    <s v="Lisa Davis"/>
    <x v="3"/>
    <x v="2"/>
    <n v="925.29"/>
    <n v="17"/>
    <n v="0"/>
    <d v="2024-10-05T00:00:00"/>
    <n v="231.32"/>
    <s v="Oct-2024"/>
    <d v="2026-02-11T15:40:33"/>
    <n v="494.65316354166862"/>
    <s v="↓"/>
    <m/>
    <m/>
    <s v="Normal"/>
  </r>
  <r>
    <s v="CUST025"/>
    <s v="Mary Jackson"/>
    <x v="1"/>
    <x v="3"/>
    <n v="1286.54"/>
    <n v="8"/>
    <n v="0"/>
    <d v="2024-10-10T00:00:00"/>
    <n v="450.29"/>
    <s v="Oct-2024"/>
    <d v="2026-02-11T15:40:33"/>
    <n v="489.65316354166862"/>
    <s v="↓"/>
    <m/>
    <m/>
    <s v="Normal"/>
  </r>
  <r>
    <s v="CUST014"/>
    <s v="Sarah Davis"/>
    <x v="2"/>
    <x v="0"/>
    <n v="961.62"/>
    <n v="8"/>
    <n v="0.2"/>
    <d v="2024-10-12T00:00:00"/>
    <n v="307.72000000000003"/>
    <s v="Oct-2024"/>
    <d v="2026-02-11T15:40:33"/>
    <n v="487.65316365740728"/>
    <s v="↓"/>
    <m/>
    <m/>
    <s v="Normal"/>
  </r>
  <r>
    <s v="CUST008"/>
    <s v="James Wilson"/>
    <x v="1"/>
    <x v="0"/>
    <n v="1081.1400000000001"/>
    <n v="19"/>
    <n v="0.15"/>
    <d v="2024-10-12T00:00:00"/>
    <n v="367.59"/>
    <s v="Oct-2024"/>
    <d v="2026-02-11T15:40:33"/>
    <n v="487.65316365740728"/>
    <s v="↓"/>
    <m/>
    <m/>
    <s v="Normal"/>
  </r>
  <r>
    <s v="CUST015"/>
    <s v="James Wilson"/>
    <x v="0"/>
    <x v="1"/>
    <n v="1923.66"/>
    <n v="9"/>
    <n v="0.2"/>
    <d v="2024-10-15T00:00:00"/>
    <n v="769.46"/>
    <s v="Oct-2024"/>
    <d v="2026-02-11T15:40:33"/>
    <n v="484.65316365740728"/>
    <s v="↓"/>
    <m/>
    <m/>
    <s v="Normal"/>
  </r>
  <r>
    <s v="CUST025"/>
    <s v="Emma Taylor"/>
    <x v="4"/>
    <x v="1"/>
    <n v="728.71"/>
    <n v="14"/>
    <n v="0.1"/>
    <d v="2024-10-16T00:00:00"/>
    <n v="327.92"/>
    <s v="Oct-2024"/>
    <d v="2026-02-11T15:40:33"/>
    <n v="483.65316365740728"/>
    <s v="↓"/>
    <m/>
    <m/>
    <s v="Normal"/>
  </r>
  <r>
    <s v="CUST019"/>
    <s v="Linda Jackson"/>
    <x v="4"/>
    <x v="1"/>
    <n v="1301.8900000000001"/>
    <n v="7"/>
    <n v="0.15"/>
    <d v="2024-10-16T00:00:00"/>
    <n v="553.29999999999995"/>
    <s v="Oct-2024"/>
    <d v="2026-02-11T15:40:33"/>
    <n v="483.65316365740728"/>
    <s v="↓"/>
    <m/>
    <m/>
    <s v="Normal"/>
  </r>
  <r>
    <s v="CUST024"/>
    <s v="Emma Taylor"/>
    <x v="1"/>
    <x v="0"/>
    <n v="980.18"/>
    <n v="16"/>
    <n v="0.1"/>
    <d v="2024-10-17T00:00:00"/>
    <n v="352.86"/>
    <s v="Oct-2024"/>
    <d v="2026-02-11T15:40:33"/>
    <n v="482.65316365740728"/>
    <s v="↓"/>
    <m/>
    <m/>
    <s v="Normal"/>
  </r>
  <r>
    <s v="CUST027"/>
    <s v="James Wilson"/>
    <x v="0"/>
    <x v="1"/>
    <n v="697.57"/>
    <n v="17"/>
    <n v="0.1"/>
    <d v="2024-10-19T00:00:00"/>
    <n v="313.91000000000003"/>
    <s v="Oct-2024"/>
    <d v="2026-02-11T15:40:33"/>
    <n v="480.65316365740728"/>
    <s v="↓"/>
    <m/>
    <m/>
    <s v="Normal"/>
  </r>
  <r>
    <s v="CUST006"/>
    <s v="David Anderson"/>
    <x v="0"/>
    <x v="3"/>
    <n v="1193.6099999999999"/>
    <n v="1"/>
    <n v="0.15"/>
    <d v="2024-10-19T00:00:00"/>
    <n v="355.1"/>
    <s v="Oct-2024"/>
    <d v="2026-02-11T15:40:33"/>
    <n v="480.65316365740728"/>
    <s v="↓"/>
    <m/>
    <m/>
    <s v="Normal"/>
  </r>
  <r>
    <s v="CUST009"/>
    <s v="Emma Davis"/>
    <x v="2"/>
    <x v="2"/>
    <n v="771.02"/>
    <n v="1"/>
    <n v="0"/>
    <d v="2024-10-20T00:00:00"/>
    <n v="192.76"/>
    <s v="Oct-2024"/>
    <d v="2026-02-11T15:40:33"/>
    <n v="479.65316365740728"/>
    <s v="↓"/>
    <m/>
    <m/>
    <s v="Normal"/>
  </r>
  <r>
    <s v="CUST003"/>
    <s v="Linda Moore"/>
    <x v="3"/>
    <x v="1"/>
    <n v="661.09"/>
    <n v="1"/>
    <n v="0.2"/>
    <d v="2024-10-28T00:00:00"/>
    <n v="264.44"/>
    <s v="Oct-2024"/>
    <d v="2026-02-11T15:40:33"/>
    <n v="471.65316365740728"/>
    <s v="↓"/>
    <m/>
    <m/>
    <s v="Normal"/>
  </r>
  <r>
    <s v="CUST012"/>
    <s v="David Brown"/>
    <x v="0"/>
    <x v="2"/>
    <n v="688.83"/>
    <n v="15"/>
    <n v="0"/>
    <d v="2024-10-30T00:00:00"/>
    <n v="172.21"/>
    <s v="Oct-2024"/>
    <d v="2026-02-11T15:40:33"/>
    <n v="469.65316365740728"/>
    <s v="↓"/>
    <m/>
    <m/>
    <s v="Normal"/>
  </r>
  <r>
    <s v="CUST013"/>
    <s v="Linda Wilson"/>
    <x v="4"/>
    <x v="0"/>
    <n v="1249.0999999999999"/>
    <n v="4"/>
    <n v="0.05"/>
    <d v="2024-11-01T00:00:00"/>
    <n v="474.66"/>
    <s v="Nov-2024"/>
    <d v="2026-02-11T15:40:33"/>
    <n v="467.65316365740728"/>
    <s v="↓"/>
    <m/>
    <m/>
    <s v="Normal"/>
  </r>
  <r>
    <s v="CUST008"/>
    <s v="James Wilson"/>
    <x v="1"/>
    <x v="4"/>
    <n v="1014.22"/>
    <n v="14"/>
    <n v="0.05"/>
    <d v="2024-11-03T00:00:00"/>
    <n v="433.58"/>
    <s v="Nov-2024"/>
    <d v="2026-02-11T15:40:33"/>
    <n v="465.65316354166862"/>
    <s v="↓"/>
    <m/>
    <m/>
    <s v="Normal"/>
  </r>
  <r>
    <s v="CUST025"/>
    <s v="Lisa Davis"/>
    <x v="1"/>
    <x v="0"/>
    <n v="1010.58"/>
    <n v="2"/>
    <n v="0.15"/>
    <d v="2024-11-09T00:00:00"/>
    <n v="343.6"/>
    <s v="Nov-2024"/>
    <d v="2026-02-11T15:40:33"/>
    <n v="459.65316354166862"/>
    <s v="↓"/>
    <m/>
    <m/>
    <s v="Normal"/>
  </r>
  <r>
    <s v="CUST026"/>
    <s v="Mary Wilson"/>
    <x v="3"/>
    <x v="3"/>
    <n v="957.29"/>
    <n v="4"/>
    <n v="0.05"/>
    <d v="2024-11-09T00:00:00"/>
    <n v="318.3"/>
    <s v="Nov-2024"/>
    <d v="2026-02-11T15:40:33"/>
    <n v="459.65316354166862"/>
    <s v="↓"/>
    <m/>
    <m/>
    <s v="Normal"/>
  </r>
  <r>
    <s v="CUST001"/>
    <s v="Lisa Thomas"/>
    <x v="3"/>
    <x v="3"/>
    <n v="1077.92"/>
    <n v="3"/>
    <n v="0.05"/>
    <d v="2024-11-12T00:00:00"/>
    <n v="358.41"/>
    <s v="Nov-2024"/>
    <d v="2026-02-11T15:40:33"/>
    <n v="456.65316354166862"/>
    <s v="↓"/>
    <m/>
    <m/>
    <s v="Normal"/>
  </r>
  <r>
    <s v="CUST028"/>
    <s v="Linda Brown"/>
    <x v="2"/>
    <x v="1"/>
    <n v="1163.01"/>
    <n v="5"/>
    <n v="0"/>
    <d v="2024-11-15T00:00:00"/>
    <n v="581.5"/>
    <s v="Nov-2024"/>
    <d v="2026-02-11T15:40:33"/>
    <n v="453.65316365740728"/>
    <s v="↓"/>
    <m/>
    <m/>
    <s v="Normal"/>
  </r>
  <r>
    <s v="CUST025"/>
    <s v="Lisa Thomas"/>
    <x v="1"/>
    <x v="4"/>
    <n v="1014.56"/>
    <n v="10"/>
    <n v="0.1"/>
    <d v="2024-11-16T00:00:00"/>
    <n v="410.9"/>
    <s v="Nov-2024"/>
    <d v="2026-02-11T15:40:33"/>
    <n v="452.65316365740728"/>
    <s v="↓"/>
    <m/>
    <m/>
    <s v="Normal"/>
  </r>
  <r>
    <s v="CUST019"/>
    <s v="James Taylor"/>
    <x v="2"/>
    <x v="2"/>
    <n v="718.04"/>
    <n v="14"/>
    <n v="0"/>
    <d v="2024-11-17T00:00:00"/>
    <n v="179.51"/>
    <s v="Nov-2024"/>
    <d v="2026-02-11T15:40:33"/>
    <n v="451.65316365740728"/>
    <s v="↓"/>
    <m/>
    <m/>
    <s v="Normal"/>
  </r>
  <r>
    <s v="CUST004"/>
    <s v="James Taylor"/>
    <x v="4"/>
    <x v="1"/>
    <n v="1277.8499999999999"/>
    <n v="18"/>
    <n v="0.2"/>
    <d v="2024-11-17T00:00:00"/>
    <n v="511.14"/>
    <s v="Nov-2024"/>
    <d v="2026-02-11T15:40:33"/>
    <n v="451.65316365740728"/>
    <s v="↓"/>
    <m/>
    <m/>
    <s v="Normal"/>
  </r>
  <r>
    <s v="CUST024"/>
    <s v="James Wilson"/>
    <x v="3"/>
    <x v="2"/>
    <n v="706.73"/>
    <n v="1"/>
    <n v="0.15"/>
    <d v="2024-11-17T00:00:00"/>
    <n v="150.18"/>
    <s v="Nov-2024"/>
    <d v="2026-02-11T15:40:33"/>
    <n v="451.65316365740728"/>
    <s v="↓"/>
    <m/>
    <m/>
    <s v="Normal"/>
  </r>
  <r>
    <s v="CUST002"/>
    <s v="Linda Brown"/>
    <x v="1"/>
    <x v="2"/>
    <n v="1410.59"/>
    <n v="15"/>
    <n v="0"/>
    <d v="2024-11-19T00:00:00"/>
    <n v="352.65"/>
    <s v="Nov-2024"/>
    <d v="2026-02-11T15:40:33"/>
    <n v="449.65316365740728"/>
    <s v="↓"/>
    <m/>
    <m/>
    <s v="Normal"/>
  </r>
  <r>
    <s v="CUST009"/>
    <s v="Emma Wilson"/>
    <x v="2"/>
    <x v="3"/>
    <n v="1350.33"/>
    <n v="10"/>
    <n v="0"/>
    <d v="2024-11-19T00:00:00"/>
    <n v="472.62"/>
    <s v="Nov-2024"/>
    <d v="2026-02-11T15:40:33"/>
    <n v="449.65316365740728"/>
    <s v="↓"/>
    <m/>
    <m/>
    <s v="Normal"/>
  </r>
  <r>
    <s v="CUST029"/>
    <s v="Lisa Thomas"/>
    <x v="1"/>
    <x v="2"/>
    <n v="919.18"/>
    <n v="4"/>
    <n v="0.15"/>
    <d v="2024-11-19T00:00:00"/>
    <n v="195.33"/>
    <s v="Nov-2024"/>
    <d v="2026-02-11T15:40:33"/>
    <n v="449.65316365740728"/>
    <s v="↓"/>
    <m/>
    <m/>
    <s v="Normal"/>
  </r>
  <r>
    <s v="CUST027"/>
    <s v="James Wilson"/>
    <x v="0"/>
    <x v="2"/>
    <n v="258.51"/>
    <n v="19"/>
    <n v="0"/>
    <d v="2024-11-20T00:00:00"/>
    <n v="64.63"/>
    <s v="Nov-2024"/>
    <d v="2026-02-11T15:40:33"/>
    <n v="448.65316365740728"/>
    <s v="↓"/>
    <m/>
    <m/>
    <s v="Normal"/>
  </r>
  <r>
    <s v="CUST011"/>
    <s v="Emma Wilson"/>
    <x v="1"/>
    <x v="0"/>
    <n v="1213.48"/>
    <n v="5"/>
    <n v="0.05"/>
    <d v="2024-11-20T00:00:00"/>
    <n v="461.12"/>
    <s v="Nov-2024"/>
    <d v="2026-02-11T15:40:33"/>
    <n v="448.65316365740728"/>
    <s v="↓"/>
    <m/>
    <m/>
    <s v="Normal"/>
  </r>
  <r>
    <s v="CUST021"/>
    <s v="Emma Davis"/>
    <x v="4"/>
    <x v="0"/>
    <n v="1150.28"/>
    <n v="8"/>
    <n v="0.05"/>
    <d v="2024-11-26T00:00:00"/>
    <n v="437.11"/>
    <s v="Nov-2024"/>
    <d v="2026-02-11T15:40:33"/>
    <n v="442.65316365740728"/>
    <s v="↓"/>
    <m/>
    <m/>
    <s v="Normal"/>
  </r>
  <r>
    <s v="CUST014"/>
    <s v="David Anderson"/>
    <x v="2"/>
    <x v="3"/>
    <n v="853.86"/>
    <n v="8"/>
    <n v="0.1"/>
    <d v="2024-11-26T00:00:00"/>
    <n v="268.97000000000003"/>
    <s v="Nov-2024"/>
    <d v="2026-02-11T15:40:33"/>
    <n v="442.65316365740728"/>
    <s v="↓"/>
    <m/>
    <m/>
    <s v="Normal"/>
  </r>
  <r>
    <s v="CUST018"/>
    <s v="Lisa Thomas"/>
    <x v="2"/>
    <x v="2"/>
    <n v="1061.04"/>
    <n v="1"/>
    <n v="0"/>
    <d v="2024-11-28T00:00:00"/>
    <n v="265.26"/>
    <s v="Nov-2024"/>
    <d v="2026-02-11T15:40:33"/>
    <n v="440.65316354166862"/>
    <s v="↓"/>
    <m/>
    <m/>
    <s v="Normal"/>
  </r>
  <r>
    <s v="CUST001"/>
    <s v="Sarah Anderson"/>
    <x v="0"/>
    <x v="2"/>
    <n v="894.55"/>
    <n v="19"/>
    <n v="0.2"/>
    <d v="2024-11-29T00:00:00"/>
    <n v="178.91"/>
    <s v="Nov-2024"/>
    <d v="2026-02-11T15:40:33"/>
    <n v="439.65316354166862"/>
    <s v="↓"/>
    <m/>
    <m/>
    <s v="Normal"/>
  </r>
  <r>
    <s v="CUST007"/>
    <s v="Emma Davis"/>
    <x v="3"/>
    <x v="4"/>
    <n v="833.91"/>
    <n v="3"/>
    <n v="0.05"/>
    <d v="2024-11-30T00:00:00"/>
    <n v="356.5"/>
    <s v="Nov-2024"/>
    <d v="2026-02-11T15:40:33"/>
    <n v="438.65316354166862"/>
    <s v="↓"/>
    <m/>
    <m/>
    <s v="Normal"/>
  </r>
  <r>
    <s v="CUST015"/>
    <s v="David Anderson"/>
    <x v="0"/>
    <x v="3"/>
    <n v="820.19"/>
    <n v="4"/>
    <n v="0.2"/>
    <d v="2024-12-04T00:00:00"/>
    <n v="229.65"/>
    <s v="Dec-2024"/>
    <d v="2026-02-11T15:40:33"/>
    <n v="434.65316354166862"/>
    <s v="↓"/>
    <m/>
    <m/>
    <s v="Normal"/>
  </r>
  <r>
    <s v="CUST015"/>
    <s v="Emma Davis"/>
    <x v="4"/>
    <x v="2"/>
    <n v="511.74"/>
    <n v="8"/>
    <n v="0.05"/>
    <d v="2024-12-05T00:00:00"/>
    <n v="121.54"/>
    <s v="Dec-2024"/>
    <d v="2026-02-11T15:40:33"/>
    <n v="433.65316365740728"/>
    <s v="↓"/>
    <m/>
    <m/>
    <s v="Normal"/>
  </r>
  <r>
    <s v="CUST002"/>
    <s v="Emma Wilson"/>
    <x v="2"/>
    <x v="3"/>
    <n v="806.03"/>
    <n v="19"/>
    <n v="0.05"/>
    <d v="2024-12-12T00:00:00"/>
    <n v="268"/>
    <s v="Dec-2024"/>
    <d v="2026-02-11T15:40:33"/>
    <n v="426.65316365740728"/>
    <s v="↓"/>
    <m/>
    <m/>
    <s v="Normal"/>
  </r>
  <r>
    <s v="CUST001"/>
    <s v="Michael Anderson"/>
    <x v="4"/>
    <x v="3"/>
    <n v="1432.47"/>
    <n v="16"/>
    <n v="0.15"/>
    <d v="2024-12-14T00:00:00"/>
    <n v="426.16"/>
    <s v="Dec-2024"/>
    <d v="2026-02-11T15:40:33"/>
    <n v="424.65316365740728"/>
    <s v="↓"/>
    <m/>
    <m/>
    <s v="Normal"/>
  </r>
  <r>
    <s v="CUST027"/>
    <s v="Linda Wilson"/>
    <x v="4"/>
    <x v="2"/>
    <n v="1488.58"/>
    <n v="10"/>
    <n v="0.15"/>
    <d v="2024-12-14T00:00:00"/>
    <n v="316.32"/>
    <s v="Dec-2024"/>
    <d v="2026-02-11T15:40:33"/>
    <n v="424.65316365740728"/>
    <s v="↓"/>
    <m/>
    <m/>
    <s v="Normal"/>
  </r>
  <r>
    <s v="CUST026"/>
    <s v="Emma Taylor"/>
    <x v="1"/>
    <x v="0"/>
    <n v="1231.26"/>
    <n v="9"/>
    <n v="0"/>
    <d v="2024-12-20T00:00:00"/>
    <n v="492.5"/>
    <s v="Dec-2024"/>
    <d v="2026-02-11T15:40:33"/>
    <n v="418.65316365740728"/>
    <s v="↓"/>
    <m/>
    <m/>
    <s v="Normal"/>
  </r>
  <r>
    <s v="CUST026"/>
    <s v="Sarah Anderson"/>
    <x v="0"/>
    <x v="2"/>
    <n v="1161.67"/>
    <n v="19"/>
    <n v="0.2"/>
    <d v="2024-12-21T00:00:00"/>
    <n v="232.33"/>
    <s v="Dec-2024"/>
    <d v="2026-02-11T15:40:33"/>
    <n v="417.65316365740728"/>
    <s v="↓"/>
    <m/>
    <m/>
    <s v="Normal"/>
  </r>
  <r>
    <s v="CUST022"/>
    <s v="Lisa Thomas"/>
    <x v="4"/>
    <x v="4"/>
    <n v="388.23"/>
    <n v="16"/>
    <n v="0.05"/>
    <d v="2024-12-24T00:00:00"/>
    <n v="165.97"/>
    <s v="Dec-2024"/>
    <d v="2026-02-11T15:40:33"/>
    <n v="414.65316365740728"/>
    <s v="↓"/>
    <m/>
    <m/>
    <s v="Normal"/>
  </r>
  <r>
    <s v="CUST004"/>
    <s v="Mary Davis"/>
    <x v="3"/>
    <x v="1"/>
    <n v="1589.42"/>
    <n v="6"/>
    <n v="0.15"/>
    <d v="2024-12-25T00:00:00"/>
    <n v="675.5"/>
    <s v="Dec-2024"/>
    <d v="2026-02-11T15:40:33"/>
    <n v="413.65316365740728"/>
    <s v="↓"/>
    <m/>
    <m/>
    <s v="Normal"/>
  </r>
  <r>
    <s v="CUST001"/>
    <s v="David Anderson"/>
    <x v="3"/>
    <x v="1"/>
    <n v="336.66"/>
    <n v="13"/>
    <n v="0.2"/>
    <d v="2024-12-25T00:00:00"/>
    <n v="134.66"/>
    <s v="Dec-2024"/>
    <d v="2026-02-11T15:40:33"/>
    <n v="413.65316365740728"/>
    <s v="↓"/>
    <m/>
    <m/>
    <s v="Normal"/>
  </r>
  <r>
    <s v="CUST022"/>
    <s v="James Wilson"/>
    <x v="0"/>
    <x v="0"/>
    <n v="1353.79"/>
    <n v="14"/>
    <n v="0.1"/>
    <d v="2024-12-30T00:00:00"/>
    <n v="487.36"/>
    <s v="Dec-2024"/>
    <d v="2026-02-11T15:40:33"/>
    <n v="408.65316365740728"/>
    <s v="↓"/>
    <m/>
    <m/>
    <s v="Normal"/>
  </r>
  <r>
    <s v="CUST011"/>
    <s v="Linda Moore"/>
    <x v="4"/>
    <x v="1"/>
    <n v="662.61"/>
    <n v="11"/>
    <n v="0.05"/>
    <d v="2025-01-01T00:00:00"/>
    <n v="314.74"/>
    <s v="Jan-2025"/>
    <d v="2026-02-11T15:40:33"/>
    <n v="406.65316365740728"/>
    <s v="↓"/>
    <m/>
    <m/>
    <s v="Normal"/>
  </r>
  <r>
    <s v="CUST028"/>
    <s v="Lisa Davis"/>
    <x v="3"/>
    <x v="4"/>
    <n v="309.42"/>
    <n v="1"/>
    <n v="0.2"/>
    <d v="2025-01-01T00:00:00"/>
    <n v="111.39"/>
    <s v="Jan-2025"/>
    <d v="2026-02-11T15:40:33"/>
    <n v="406.65316365740728"/>
    <s v="↓"/>
    <m/>
    <m/>
    <s v="Normal"/>
  </r>
  <r>
    <s v="CUST011"/>
    <s v="Linda Wilson"/>
    <x v="3"/>
    <x v="0"/>
    <n v="884.63"/>
    <n v="18"/>
    <n v="0.1"/>
    <d v="2025-01-02T00:00:00"/>
    <n v="318.47000000000003"/>
    <s v="Jan-2025"/>
    <d v="2026-02-11T15:40:33"/>
    <n v="405.65316354166862"/>
    <s v="↓"/>
    <m/>
    <m/>
    <s v="Normal"/>
  </r>
  <r>
    <s v="CUST028"/>
    <s v="James Wilson"/>
    <x v="4"/>
    <x v="4"/>
    <n v="745.05"/>
    <n v="10"/>
    <n v="0.1"/>
    <d v="2025-01-03T00:00:00"/>
    <n v="301.75"/>
    <s v="Jan-2025"/>
    <d v="2026-02-11T15:40:33"/>
    <n v="404.65316354166862"/>
    <s v="↓"/>
    <m/>
    <m/>
    <s v="Normal"/>
  </r>
  <r>
    <s v="CUST016"/>
    <s v="James Taylor"/>
    <x v="2"/>
    <x v="1"/>
    <n v="870.23"/>
    <n v="5"/>
    <n v="0.05"/>
    <d v="2025-01-03T00:00:00"/>
    <n v="413.36"/>
    <s v="Jan-2025"/>
    <d v="2026-02-11T15:40:33"/>
    <n v="404.65316354166862"/>
    <s v="↓"/>
    <m/>
    <m/>
    <s v="Normal"/>
  </r>
  <r>
    <s v="CUST010"/>
    <s v="Linda Wilson"/>
    <x v="0"/>
    <x v="3"/>
    <n v="862.19"/>
    <n v="18"/>
    <n v="0.05"/>
    <d v="2025-01-06T00:00:00"/>
    <n v="286.68"/>
    <s v="Jan-2025"/>
    <d v="2026-02-11T15:40:33"/>
    <n v="401.65316354166862"/>
    <s v="↓"/>
    <m/>
    <m/>
    <s v="Normal"/>
  </r>
  <r>
    <s v="CUST013"/>
    <s v="Mary Wilson"/>
    <x v="3"/>
    <x v="1"/>
    <n v="1171.18"/>
    <n v="19"/>
    <n v="0.05"/>
    <d v="2025-01-10T00:00:00"/>
    <n v="556.30999999999995"/>
    <s v="Jan-2025"/>
    <d v="2026-02-11T15:40:33"/>
    <n v="397.65316365740728"/>
    <s v="↓"/>
    <m/>
    <m/>
    <s v="Normal"/>
  </r>
  <r>
    <s v="CUST015"/>
    <s v="Robert Anderson"/>
    <x v="2"/>
    <x v="3"/>
    <n v="1054.56"/>
    <n v="11"/>
    <n v="0.1"/>
    <d v="2025-01-12T00:00:00"/>
    <n v="332.19"/>
    <s v="Jan-2025"/>
    <d v="2026-02-11T15:40:33"/>
    <n v="395.65316365740728"/>
    <s v="↓"/>
    <m/>
    <m/>
    <s v="Normal"/>
  </r>
  <r>
    <s v="CUST015"/>
    <s v="James Wilson"/>
    <x v="3"/>
    <x v="2"/>
    <n v="1681.21"/>
    <n v="5"/>
    <n v="0.2"/>
    <d v="2025-01-13T00:00:00"/>
    <n v="336.24"/>
    <s v="Jan-2025"/>
    <d v="2026-02-11T15:40:33"/>
    <n v="394.65316365740728"/>
    <s v="↓"/>
    <m/>
    <m/>
    <s v="Normal"/>
  </r>
  <r>
    <s v="CUST015"/>
    <s v="David Thomas"/>
    <x v="0"/>
    <x v="1"/>
    <n v="379.77"/>
    <n v="9"/>
    <n v="0.05"/>
    <d v="2025-01-16T00:00:00"/>
    <n v="180.39"/>
    <s v="Jan-2025"/>
    <d v="2026-02-11T15:40:33"/>
    <n v="391.65316365740728"/>
    <s v="↓"/>
    <m/>
    <m/>
    <s v="Normal"/>
  </r>
  <r>
    <s v="CUST008"/>
    <s v="Lisa Thomas"/>
    <x v="4"/>
    <x v="1"/>
    <n v="1076.33"/>
    <n v="2"/>
    <n v="0.1"/>
    <d v="2025-01-17T00:00:00"/>
    <n v="484.35"/>
    <s v="Jan-2025"/>
    <d v="2026-02-11T15:40:33"/>
    <n v="390.65316365740728"/>
    <s v="↓"/>
    <m/>
    <m/>
    <s v="Normal"/>
  </r>
  <r>
    <s v="CUST008"/>
    <s v="Mary Davis"/>
    <x v="4"/>
    <x v="4"/>
    <n v="1250.71"/>
    <n v="7"/>
    <n v="0"/>
    <d v="2025-01-17T00:00:00"/>
    <n v="562.82000000000005"/>
    <s v="Jan-2025"/>
    <d v="2026-02-11T15:40:33"/>
    <n v="390.65316365740728"/>
    <s v="↓"/>
    <m/>
    <m/>
    <s v="Normal"/>
  </r>
  <r>
    <s v="CUST023"/>
    <s v="James Taylor"/>
    <x v="2"/>
    <x v="1"/>
    <n v="1118.3399999999999"/>
    <n v="6"/>
    <n v="0.2"/>
    <d v="2025-01-17T00:00:00"/>
    <n v="447.34"/>
    <s v="Jan-2025"/>
    <d v="2026-02-11T15:40:33"/>
    <n v="390.65316365740728"/>
    <s v="↓"/>
    <m/>
    <m/>
    <s v="Normal"/>
  </r>
  <r>
    <s v="CUST024"/>
    <s v="Linda Taylor"/>
    <x v="3"/>
    <x v="1"/>
    <n v="1622.62"/>
    <n v="12"/>
    <n v="0.2"/>
    <d v="2025-01-20T00:00:00"/>
    <n v="649.04999999999995"/>
    <s v="Jan-2025"/>
    <d v="2026-02-11T15:40:33"/>
    <n v="387.65316365740728"/>
    <s v="↓"/>
    <m/>
    <m/>
    <s v="Normal"/>
  </r>
  <r>
    <s v="CUST018"/>
    <s v="Lisa Davis"/>
    <x v="3"/>
    <x v="0"/>
    <n v="640.64"/>
    <n v="11"/>
    <n v="0.2"/>
    <d v="2025-01-21T00:00:00"/>
    <n v="205"/>
    <s v="Jan-2025"/>
    <d v="2026-02-11T15:40:33"/>
    <n v="386.65316365740728"/>
    <s v="↓"/>
    <m/>
    <m/>
    <s v="Normal"/>
  </r>
  <r>
    <s v="CUST030"/>
    <s v="Sarah Anderson"/>
    <x v="0"/>
    <x v="1"/>
    <n v="585.16"/>
    <n v="17"/>
    <n v="0.1"/>
    <d v="2025-01-27T00:00:00"/>
    <n v="263.32"/>
    <s v="Jan-2025"/>
    <d v="2026-02-11T15:40:33"/>
    <n v="380.65316365740728"/>
    <s v="↓"/>
    <m/>
    <m/>
    <s v="Normal"/>
  </r>
  <r>
    <s v="CUST030"/>
    <s v="Mary Davis"/>
    <x v="1"/>
    <x v="1"/>
    <n v="1109.98"/>
    <n v="5"/>
    <n v="0.2"/>
    <d v="2025-02-02T00:00:00"/>
    <n v="443.99"/>
    <s v="Feb-2025"/>
    <d v="2026-02-11T15:40:33"/>
    <n v="374.65316365740728"/>
    <s v="↓"/>
    <m/>
    <m/>
    <s v="Normal"/>
  </r>
  <r>
    <s v="CUST015"/>
    <s v="Lisa Thomas"/>
    <x v="1"/>
    <x v="0"/>
    <n v="1098.08"/>
    <n v="9"/>
    <n v="0.1"/>
    <d v="2025-02-04T00:00:00"/>
    <n v="395.31"/>
    <s v="Feb-2025"/>
    <d v="2026-02-11T15:40:33"/>
    <n v="372.65316365740728"/>
    <s v="↓"/>
    <m/>
    <m/>
    <s v="Normal"/>
  </r>
  <r>
    <s v="CUST002"/>
    <s v="Lisa Davis"/>
    <x v="0"/>
    <x v="4"/>
    <n v="827.25"/>
    <n v="7"/>
    <n v="0.1"/>
    <d v="2025-02-05T00:00:00"/>
    <n v="335.04"/>
    <s v="Feb-2025"/>
    <d v="2026-02-11T15:40:33"/>
    <n v="371.65316354166862"/>
    <s v="↓"/>
    <m/>
    <m/>
    <s v="Normal"/>
  </r>
  <r>
    <s v="CUST024"/>
    <s v="Linda Wilson"/>
    <x v="4"/>
    <x v="1"/>
    <n v="741.88"/>
    <n v="16"/>
    <n v="0.1"/>
    <d v="2025-02-07T00:00:00"/>
    <n v="333.85"/>
    <s v="Feb-2025"/>
    <d v="2026-02-11T15:40:33"/>
    <n v="369.65316354166862"/>
    <s v="↓"/>
    <m/>
    <m/>
    <s v="Normal"/>
  </r>
  <r>
    <s v="CUST004"/>
    <s v="James Davis"/>
    <x v="1"/>
    <x v="4"/>
    <n v="1311.26"/>
    <n v="6"/>
    <n v="0.1"/>
    <d v="2025-02-10T00:00:00"/>
    <n v="531.05999999999995"/>
    <s v="Feb-2025"/>
    <d v="2026-02-11T15:40:33"/>
    <n v="366.65316354166862"/>
    <s v="↓"/>
    <m/>
    <m/>
    <s v="Normal"/>
  </r>
  <r>
    <s v="CUST004"/>
    <s v="Mary Davis"/>
    <x v="2"/>
    <x v="4"/>
    <n v="573.32000000000005"/>
    <n v="19"/>
    <n v="0.1"/>
    <d v="2025-02-15T00:00:00"/>
    <n v="232.19"/>
    <s v="Feb-2025"/>
    <d v="2026-02-11T15:40:33"/>
    <n v="361.65316354166862"/>
    <s v="↓"/>
    <m/>
    <m/>
    <s v="Normal"/>
  </r>
  <r>
    <s v="CUST028"/>
    <s v="James Wilson"/>
    <x v="0"/>
    <x v="2"/>
    <n v="1115.22"/>
    <n v="14"/>
    <n v="0.2"/>
    <d v="2025-02-17T00:00:00"/>
    <n v="223.04"/>
    <s v="Feb-2025"/>
    <d v="2026-02-11T15:40:33"/>
    <n v="359.65316365740728"/>
    <s v="↓"/>
    <m/>
    <m/>
    <s v="Normal"/>
  </r>
  <r>
    <s v="CUST012"/>
    <s v="Lisa Thomas"/>
    <x v="3"/>
    <x v="1"/>
    <n v="845.84"/>
    <n v="4"/>
    <n v="0"/>
    <d v="2025-02-19T00:00:00"/>
    <n v="422.92"/>
    <s v="Feb-2025"/>
    <d v="2026-02-11T15:40:33"/>
    <n v="357.65316365740728"/>
    <s v="↓"/>
    <m/>
    <m/>
    <s v="Normal"/>
  </r>
  <r>
    <s v="CUST026"/>
    <s v="David Brown"/>
    <x v="0"/>
    <x v="2"/>
    <n v="1029.8"/>
    <n v="3"/>
    <n v="0"/>
    <d v="2025-02-20T00:00:00"/>
    <n v="257.45"/>
    <s v="Feb-2025"/>
    <d v="2026-02-11T15:40:33"/>
    <n v="356.65316365740728"/>
    <s v="↓"/>
    <m/>
    <m/>
    <s v="Normal"/>
  </r>
  <r>
    <s v="CUST009"/>
    <s v="Mary Davis"/>
    <x v="3"/>
    <x v="0"/>
    <n v="1189.83"/>
    <n v="2"/>
    <n v="0.2"/>
    <d v="2025-02-21T00:00:00"/>
    <n v="380.75"/>
    <s v="Feb-2025"/>
    <d v="2026-02-11T15:40:33"/>
    <n v="355.65316365740728"/>
    <s v="↓"/>
    <m/>
    <m/>
    <s v="Normal"/>
  </r>
  <r>
    <s v="CUST003"/>
    <s v="Sarah Anderson"/>
    <x v="2"/>
    <x v="0"/>
    <n v="704.28"/>
    <n v="15"/>
    <n v="0.2"/>
    <d v="2025-02-24T00:00:00"/>
    <n v="225.37"/>
    <s v="Feb-2025"/>
    <d v="2026-02-11T15:40:33"/>
    <n v="352.65316365740728"/>
    <s v="↓"/>
    <m/>
    <m/>
    <s v="Normal"/>
  </r>
  <r>
    <s v="CUST002"/>
    <s v="Mary Jackson"/>
    <x v="4"/>
    <x v="4"/>
    <n v="1618.22"/>
    <n v="12"/>
    <n v="0.2"/>
    <d v="2025-02-24T00:00:00"/>
    <n v="582.55999999999995"/>
    <s v="Feb-2025"/>
    <d v="2026-02-11T15:40:33"/>
    <n v="352.65316365740728"/>
    <s v="↓"/>
    <m/>
    <m/>
    <s v="Normal"/>
  </r>
  <r>
    <s v="CUST013"/>
    <s v="Linda Taylor"/>
    <x v="4"/>
    <x v="0"/>
    <n v="1014.43"/>
    <n v="2"/>
    <n v="0.15"/>
    <d v="2025-02-25T00:00:00"/>
    <n v="344.91"/>
    <s v="Feb-2025"/>
    <d v="2026-02-11T15:40:33"/>
    <n v="351.65316365740728"/>
    <s v="↓"/>
    <m/>
    <m/>
    <s v="Normal"/>
  </r>
  <r>
    <s v="CUST018"/>
    <s v="Mary Davis"/>
    <x v="4"/>
    <x v="1"/>
    <n v="826.97"/>
    <n v="18"/>
    <n v="0.2"/>
    <d v="2025-02-27T00:00:00"/>
    <n v="330.79"/>
    <s v="Feb-2025"/>
    <d v="2026-02-11T15:40:33"/>
    <n v="349.65316365740728"/>
    <s v="↓"/>
    <m/>
    <m/>
    <s v="Normal"/>
  </r>
  <r>
    <s v="CUST017"/>
    <s v="Mary Davis"/>
    <x v="4"/>
    <x v="1"/>
    <n v="1022.23"/>
    <n v="8"/>
    <n v="0.1"/>
    <d v="2025-03-01T00:00:00"/>
    <n v="460"/>
    <s v="Mar-2025"/>
    <d v="2026-02-11T15:40:33"/>
    <n v="347.65316365740728"/>
    <s v="↓"/>
    <m/>
    <m/>
    <s v="Normal"/>
  </r>
  <r>
    <s v="CUST004"/>
    <s v="Linda Wilson"/>
    <x v="1"/>
    <x v="0"/>
    <n v="1099.69"/>
    <n v="6"/>
    <n v="0"/>
    <d v="2025-03-02T00:00:00"/>
    <n v="439.88"/>
    <s v="Mar-2025"/>
    <d v="2026-02-11T15:40:33"/>
    <n v="346.65316365740728"/>
    <s v="↓"/>
    <m/>
    <m/>
    <s v="Normal"/>
  </r>
  <r>
    <s v="CUST028"/>
    <s v="Sarah Davis"/>
    <x v="3"/>
    <x v="0"/>
    <n v="710.52"/>
    <n v="8"/>
    <n v="0.1"/>
    <d v="2025-03-05T00:00:00"/>
    <n v="255.79"/>
    <s v="Mar-2025"/>
    <d v="2026-02-11T15:40:33"/>
    <n v="343.65316365740728"/>
    <s v="↓"/>
    <m/>
    <m/>
    <s v="Normal"/>
  </r>
  <r>
    <s v="CUST028"/>
    <s v="Mary Wilson"/>
    <x v="3"/>
    <x v="0"/>
    <n v="499.18"/>
    <n v="15"/>
    <n v="0.2"/>
    <d v="2025-03-08T00:00:00"/>
    <n v="159.74"/>
    <s v="Mar-2025"/>
    <d v="2026-02-11T15:40:33"/>
    <n v="340.65316365740728"/>
    <s v="↓"/>
    <m/>
    <m/>
    <s v="Normal"/>
  </r>
  <r>
    <s v="CUST014"/>
    <s v="Emma Davis"/>
    <x v="2"/>
    <x v="0"/>
    <n v="1064.19"/>
    <n v="18"/>
    <n v="0.05"/>
    <d v="2025-03-09T00:00:00"/>
    <n v="404.39"/>
    <s v="Mar-2025"/>
    <d v="2026-02-11T15:40:33"/>
    <n v="339.65316354166862"/>
    <s v="↓"/>
    <m/>
    <m/>
    <s v="Normal"/>
  </r>
  <r>
    <s v="CUST003"/>
    <s v="Emma Davis"/>
    <x v="1"/>
    <x v="4"/>
    <n v="438.76"/>
    <n v="18"/>
    <n v="0.05"/>
    <d v="2025-03-10T00:00:00"/>
    <n v="187.57"/>
    <s v="Mar-2025"/>
    <d v="2026-02-11T15:40:33"/>
    <n v="338.65316354166862"/>
    <s v="↓"/>
    <m/>
    <m/>
    <s v="Normal"/>
  </r>
  <r>
    <s v="CUST029"/>
    <s v="David Brown"/>
    <x v="0"/>
    <x v="1"/>
    <n v="864.98"/>
    <n v="2"/>
    <n v="0.05"/>
    <d v="2025-03-11T00:00:00"/>
    <n v="410.87"/>
    <s v="Mar-2025"/>
    <d v="2026-02-11T15:40:33"/>
    <n v="337.65316354166862"/>
    <s v="↓"/>
    <m/>
    <m/>
    <s v="Normal"/>
  </r>
  <r>
    <s v="CUST021"/>
    <s v="David Brown"/>
    <x v="0"/>
    <x v="3"/>
    <n v="984.93"/>
    <n v="14"/>
    <n v="0.2"/>
    <d v="2025-03-17T00:00:00"/>
    <n v="275.77999999999997"/>
    <s v="Mar-2025"/>
    <d v="2026-02-11T15:40:33"/>
    <n v="331.65316354166862"/>
    <s v="↓"/>
    <m/>
    <m/>
    <s v="Normal"/>
  </r>
  <r>
    <s v="CUST007"/>
    <s v="David Brown"/>
    <x v="0"/>
    <x v="1"/>
    <n v="1493.49"/>
    <n v="18"/>
    <n v="0"/>
    <d v="2025-03-18T00:00:00"/>
    <n v="746.74"/>
    <s v="Mar-2025"/>
    <d v="2026-02-11T15:40:33"/>
    <n v="330.65316365740728"/>
    <s v="↓"/>
    <m/>
    <m/>
    <s v="Normal"/>
  </r>
  <r>
    <s v="CUST009"/>
    <s v="Linda Taylor"/>
    <x v="2"/>
    <x v="1"/>
    <n v="689.43"/>
    <n v="9"/>
    <n v="0.1"/>
    <d v="2025-03-20T00:00:00"/>
    <n v="310.24"/>
    <s v="Mar-2025"/>
    <d v="2026-02-11T15:40:33"/>
    <n v="328.65316365740728"/>
    <s v="↓"/>
    <m/>
    <m/>
    <s v="Normal"/>
  </r>
  <r>
    <s v="CUST023"/>
    <s v="Mary Wilson"/>
    <x v="2"/>
    <x v="1"/>
    <n v="682.24"/>
    <n v="1"/>
    <n v="0"/>
    <d v="2025-03-22T00:00:00"/>
    <n v="341.12"/>
    <s v="Mar-2025"/>
    <d v="2026-02-11T15:40:33"/>
    <n v="326.65316365740728"/>
    <s v="↓"/>
    <m/>
    <m/>
    <s v="Normal"/>
  </r>
  <r>
    <s v="CUST029"/>
    <s v="Michael Anderson"/>
    <x v="3"/>
    <x v="2"/>
    <n v="458.54"/>
    <n v="15"/>
    <n v="0.2"/>
    <d v="2025-03-25T00:00:00"/>
    <n v="91.71"/>
    <s v="Mar-2025"/>
    <d v="2026-02-11T15:40:33"/>
    <n v="323.65316365740728"/>
    <s v="↓"/>
    <m/>
    <m/>
    <s v="Normal"/>
  </r>
  <r>
    <s v="CUST009"/>
    <s v="Michael Anderson"/>
    <x v="2"/>
    <x v="3"/>
    <n v="1184.25"/>
    <n v="11"/>
    <n v="0.2"/>
    <d v="2025-03-26T00:00:00"/>
    <n v="331.59"/>
    <s v="Mar-2025"/>
    <d v="2026-02-11T15:40:33"/>
    <n v="322.65316365740728"/>
    <s v="↓"/>
    <m/>
    <m/>
    <s v="Normal"/>
  </r>
  <r>
    <s v="CUST007"/>
    <s v="James Davis"/>
    <x v="2"/>
    <x v="1"/>
    <n v="762.14"/>
    <n v="9"/>
    <n v="0"/>
    <d v="2025-03-27T00:00:00"/>
    <n v="381.07"/>
    <s v="Mar-2025"/>
    <d v="2026-02-11T15:40:33"/>
    <n v="321.65316365740728"/>
    <s v="↓"/>
    <m/>
    <m/>
    <s v="Normal"/>
  </r>
  <r>
    <s v="CUST030"/>
    <s v="Linda Taylor"/>
    <x v="3"/>
    <x v="0"/>
    <n v="750.71"/>
    <n v="10"/>
    <n v="0.15"/>
    <d v="2025-03-27T00:00:00"/>
    <n v="255.24"/>
    <s v="Mar-2025"/>
    <d v="2026-02-11T15:40:33"/>
    <n v="321.65316365740728"/>
    <s v="↓"/>
    <m/>
    <m/>
    <s v="Normal"/>
  </r>
  <r>
    <s v="CUST018"/>
    <s v="David Anderson"/>
    <x v="4"/>
    <x v="1"/>
    <n v="1456.94"/>
    <n v="14"/>
    <n v="0.05"/>
    <d v="2025-03-29T00:00:00"/>
    <n v="692.05"/>
    <s v="Mar-2025"/>
    <d v="2026-02-11T15:40:33"/>
    <n v="319.65316365740728"/>
    <s v="↓"/>
    <m/>
    <m/>
    <s v="Normal"/>
  </r>
  <r>
    <s v="CUST008"/>
    <s v="Emma Wilson"/>
    <x v="1"/>
    <x v="3"/>
    <n v="1093.3800000000001"/>
    <n v="17"/>
    <n v="0.1"/>
    <d v="2025-03-29T00:00:00"/>
    <n v="344.41"/>
    <s v="Mar-2025"/>
    <d v="2026-02-11T15:40:33"/>
    <n v="319.65316365740728"/>
    <s v="↓"/>
    <m/>
    <m/>
    <s v="Normal"/>
  </r>
  <r>
    <s v="CUST014"/>
    <s v="Sarah Anderson"/>
    <x v="0"/>
    <x v="1"/>
    <n v="934.27"/>
    <n v="8"/>
    <n v="0.15"/>
    <d v="2025-03-30T00:00:00"/>
    <n v="397.06"/>
    <s v="Mar-2025"/>
    <d v="2026-02-11T15:40:33"/>
    <n v="318.65316365740728"/>
    <s v="↓"/>
    <m/>
    <m/>
    <s v="Normal"/>
  </r>
  <r>
    <s v="CUST024"/>
    <s v="David Thomas"/>
    <x v="4"/>
    <x v="1"/>
    <n v="1465.35"/>
    <n v="8"/>
    <n v="0.2"/>
    <d v="2025-03-30T00:00:00"/>
    <n v="586.14"/>
    <s v="Mar-2025"/>
    <d v="2026-02-11T15:40:33"/>
    <n v="318.65316365740728"/>
    <s v="↓"/>
    <m/>
    <m/>
    <s v="Normal"/>
  </r>
  <r>
    <s v="CUST028"/>
    <s v="Robert Anderson"/>
    <x v="2"/>
    <x v="4"/>
    <n v="740.8"/>
    <n v="3"/>
    <n v="0"/>
    <d v="2025-04-02T00:00:00"/>
    <n v="333.36"/>
    <s v="Apr-2025"/>
    <d v="2026-02-11T15:40:33"/>
    <n v="315.65316365740728"/>
    <s v="↓"/>
    <m/>
    <m/>
    <s v="Normal"/>
  </r>
  <r>
    <s v="CUST015"/>
    <s v="Sarah Anderson"/>
    <x v="0"/>
    <x v="4"/>
    <n v="545.44000000000005"/>
    <n v="17"/>
    <n v="0"/>
    <d v="2025-04-05T00:00:00"/>
    <n v="245.45"/>
    <s v="Apr-2025"/>
    <d v="2026-02-11T15:40:33"/>
    <n v="312.65316354166862"/>
    <s v="↓"/>
    <m/>
    <m/>
    <s v="Normal"/>
  </r>
  <r>
    <s v="CUST010"/>
    <s v="David Thomas"/>
    <x v="1"/>
    <x v="0"/>
    <n v="997.61"/>
    <n v="8"/>
    <n v="0.05"/>
    <d v="2025-04-05T00:00:00"/>
    <n v="379.09"/>
    <s v="Apr-2025"/>
    <d v="2026-02-11T15:40:33"/>
    <n v="312.65316354166862"/>
    <s v="↓"/>
    <m/>
    <m/>
    <s v="Normal"/>
  </r>
  <r>
    <s v="CUST016"/>
    <s v="David Thomas"/>
    <x v="2"/>
    <x v="1"/>
    <n v="928.32"/>
    <n v="2"/>
    <n v="0.05"/>
    <d v="2025-04-07T00:00:00"/>
    <n v="440.95"/>
    <m/>
    <d v="2026-02-11T15:40:33"/>
    <n v="310.65316354166862"/>
    <s v="↓"/>
    <m/>
    <m/>
    <s v="Norm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CUST019"/>
    <s v="James Davis"/>
    <x v="0"/>
    <x v="0"/>
    <n v="1036.0899999999999"/>
    <n v="4"/>
    <n v="0.2"/>
    <d v="2024-04-10T00:00:00"/>
    <n v="331.55"/>
    <x v="0"/>
  </r>
  <r>
    <s v="CUST012"/>
    <s v="Robert Anderson"/>
    <x v="0"/>
    <x v="1"/>
    <n v="1101.28"/>
    <n v="3"/>
    <n v="0.2"/>
    <d v="2024-04-11T00:00:00"/>
    <n v="440.51"/>
    <x v="0"/>
  </r>
  <r>
    <s v="CUST017"/>
    <s v="James Taylor"/>
    <x v="1"/>
    <x v="0"/>
    <n v="713.34"/>
    <n v="17"/>
    <n v="0"/>
    <d v="2024-04-14T00:00:00"/>
    <n v="285.33999999999997"/>
    <x v="0"/>
  </r>
  <r>
    <s v="CUST005"/>
    <s v="Robert Anderson"/>
    <x v="2"/>
    <x v="2"/>
    <n v="760.93"/>
    <n v="4"/>
    <n v="0.15"/>
    <d v="2024-04-14T00:00:00"/>
    <n v="161.69999999999999"/>
    <x v="0"/>
  </r>
  <r>
    <s v="CUST030"/>
    <s v="James Wilson"/>
    <x v="3"/>
    <x v="0"/>
    <n v="847"/>
    <n v="12"/>
    <n v="0.2"/>
    <d v="2024-04-15T00:00:00"/>
    <n v="271.04000000000002"/>
    <x v="0"/>
  </r>
  <r>
    <s v="CUST007"/>
    <s v="Michael Anderson"/>
    <x v="3"/>
    <x v="3"/>
    <n v="965.64"/>
    <n v="8"/>
    <n v="0.1"/>
    <d v="2024-04-16T00:00:00"/>
    <n v="304.18"/>
    <x v="0"/>
  </r>
  <r>
    <s v="CUST001"/>
    <s v="Linda Wilson"/>
    <x v="0"/>
    <x v="2"/>
    <n v="1317.53"/>
    <n v="12"/>
    <n v="0.05"/>
    <d v="2024-04-16T00:00:00"/>
    <n v="312.91000000000003"/>
    <x v="0"/>
  </r>
  <r>
    <s v="CUST026"/>
    <s v="Mary Davis"/>
    <x v="1"/>
    <x v="3"/>
    <n v="1074.47"/>
    <n v="6"/>
    <n v="0.2"/>
    <d v="2024-04-19T00:00:00"/>
    <n v="300.85000000000002"/>
    <x v="0"/>
  </r>
  <r>
    <s v="CUST009"/>
    <s v="Linda Jackson"/>
    <x v="4"/>
    <x v="0"/>
    <n v="501.54"/>
    <n v="11"/>
    <n v="0.05"/>
    <d v="2024-04-19T00:00:00"/>
    <n v="190.59"/>
    <x v="0"/>
  </r>
  <r>
    <s v="CUST010"/>
    <s v="David Thomas"/>
    <x v="4"/>
    <x v="1"/>
    <n v="737.31"/>
    <n v="2"/>
    <n v="0.05"/>
    <d v="2024-04-19T00:00:00"/>
    <n v="350.22"/>
    <x v="0"/>
  </r>
  <r>
    <s v="CUST014"/>
    <s v="Emma Davis"/>
    <x v="0"/>
    <x v="4"/>
    <n v="1572.82"/>
    <n v="6"/>
    <n v="0.05"/>
    <d v="2024-04-20T00:00:00"/>
    <n v="672.38"/>
    <x v="0"/>
  </r>
  <r>
    <s v="CUST014"/>
    <s v="David Thomas"/>
    <x v="4"/>
    <x v="0"/>
    <n v="1343.13"/>
    <n v="14"/>
    <n v="0.15"/>
    <d v="2024-04-22T00:00:00"/>
    <n v="456.66"/>
    <x v="0"/>
  </r>
  <r>
    <s v="CUST007"/>
    <s v="Michael Anderson"/>
    <x v="4"/>
    <x v="0"/>
    <n v="1191.58"/>
    <n v="14"/>
    <n v="0.05"/>
    <d v="2024-04-24T00:00:00"/>
    <n v="452.8"/>
    <x v="0"/>
  </r>
  <r>
    <s v="CUST023"/>
    <s v="Robert Anderson"/>
    <x v="0"/>
    <x v="3"/>
    <n v="822.28"/>
    <n v="7"/>
    <n v="0.05"/>
    <d v="2024-04-24T00:00:00"/>
    <n v="273.41000000000003"/>
    <x v="0"/>
  </r>
  <r>
    <s v="CUST029"/>
    <s v="David Smith"/>
    <x v="3"/>
    <x v="3"/>
    <n v="521.66999999999996"/>
    <n v="15"/>
    <n v="0.15"/>
    <d v="2024-04-27T00:00:00"/>
    <n v="155.19999999999999"/>
    <x v="0"/>
  </r>
  <r>
    <s v="CUST005"/>
    <s v="Sarah Anderson"/>
    <x v="2"/>
    <x v="2"/>
    <n v="1502.93"/>
    <n v="14"/>
    <n v="0.2"/>
    <d v="2024-04-28T00:00:00"/>
    <n v="300.58999999999997"/>
    <x v="0"/>
  </r>
  <r>
    <s v="CUST008"/>
    <s v="Robert Anderson"/>
    <x v="2"/>
    <x v="0"/>
    <n v="877.58"/>
    <n v="10"/>
    <n v="0.15"/>
    <d v="2024-04-29T00:00:00"/>
    <n v="298.38"/>
    <x v="0"/>
  </r>
  <r>
    <s v="CUST001"/>
    <s v="Lisa Thomas"/>
    <x v="0"/>
    <x v="0"/>
    <n v="636.70000000000005"/>
    <n v="4"/>
    <n v="0.2"/>
    <d v="2024-04-29T00:00:00"/>
    <n v="203.74"/>
    <x v="0"/>
  </r>
  <r>
    <s v="CUST006"/>
    <s v="Mary Jackson"/>
    <x v="0"/>
    <x v="0"/>
    <n v="1506.14"/>
    <n v="13"/>
    <n v="0.2"/>
    <d v="2024-04-30T00:00:00"/>
    <n v="481.96"/>
    <x v="0"/>
  </r>
  <r>
    <s v="CUST026"/>
    <s v="Mary Davis"/>
    <x v="4"/>
    <x v="2"/>
    <n v="645.02"/>
    <n v="4"/>
    <n v="0"/>
    <d v="2024-05-02T00:00:00"/>
    <n v="161.26"/>
    <x v="1"/>
  </r>
  <r>
    <s v="CUST007"/>
    <s v="Lisa Davis"/>
    <x v="2"/>
    <x v="1"/>
    <n v="953.3"/>
    <n v="11"/>
    <n v="0"/>
    <d v="2024-05-03T00:00:00"/>
    <n v="476.65"/>
    <x v="1"/>
  </r>
  <r>
    <s v="CUST022"/>
    <s v="Robert Anderson"/>
    <x v="3"/>
    <x v="2"/>
    <n v="388.56"/>
    <n v="14"/>
    <n v="0.15"/>
    <d v="2024-05-04T00:00:00"/>
    <n v="82.57"/>
    <x v="1"/>
  </r>
  <r>
    <s v="CUST019"/>
    <s v="Mary Davis"/>
    <x v="0"/>
    <x v="0"/>
    <n v="743.17"/>
    <n v="9"/>
    <n v="0"/>
    <d v="2024-05-04T00:00:00"/>
    <n v="297.27"/>
    <x v="1"/>
  </r>
  <r>
    <s v="CUST023"/>
    <s v="Mary Davis"/>
    <x v="4"/>
    <x v="2"/>
    <n v="706.37"/>
    <n v="6"/>
    <n v="0"/>
    <d v="2024-05-04T00:00:00"/>
    <n v="176.59"/>
    <x v="1"/>
  </r>
  <r>
    <s v="CUST012"/>
    <s v="Mary Davis"/>
    <x v="4"/>
    <x v="4"/>
    <n v="925.31"/>
    <n v="8"/>
    <n v="0.1"/>
    <d v="2024-05-06T00:00:00"/>
    <n v="374.75"/>
    <x v="1"/>
  </r>
  <r>
    <s v="CUST010"/>
    <s v="Linda Brown"/>
    <x v="2"/>
    <x v="2"/>
    <n v="1173.1199999999999"/>
    <n v="18"/>
    <n v="0"/>
    <d v="2024-05-06T00:00:00"/>
    <n v="293.27999999999997"/>
    <x v="1"/>
  </r>
  <r>
    <s v="CUST030"/>
    <s v="John Brown"/>
    <x v="3"/>
    <x v="3"/>
    <n v="675.54"/>
    <n v="17"/>
    <n v="0"/>
    <d v="2024-05-08T00:00:00"/>
    <n v="236.44"/>
    <x v="1"/>
  </r>
  <r>
    <s v="CUST007"/>
    <s v="Robert Anderson"/>
    <x v="4"/>
    <x v="0"/>
    <n v="939.09"/>
    <n v="2"/>
    <n v="0.05"/>
    <d v="2024-05-10T00:00:00"/>
    <n v="356.85"/>
    <x v="1"/>
  </r>
  <r>
    <s v="CUST028"/>
    <s v="Linda Taylor"/>
    <x v="1"/>
    <x v="4"/>
    <n v="983.34"/>
    <n v="19"/>
    <n v="0.1"/>
    <d v="2024-05-14T00:00:00"/>
    <n v="398.25"/>
    <x v="1"/>
  </r>
  <r>
    <s v="CUST028"/>
    <s v="James Wilson"/>
    <x v="2"/>
    <x v="2"/>
    <n v="801.21"/>
    <n v="3"/>
    <n v="0.2"/>
    <d v="2024-05-14T00:00:00"/>
    <n v="160.24"/>
    <x v="1"/>
  </r>
  <r>
    <s v="CUST025"/>
    <s v="David Brown"/>
    <x v="3"/>
    <x v="2"/>
    <n v="1450.71"/>
    <n v="5"/>
    <n v="0.1"/>
    <d v="2024-05-15T00:00:00"/>
    <n v="326.41000000000003"/>
    <x v="1"/>
  </r>
  <r>
    <s v="CUST022"/>
    <s v="David Davis"/>
    <x v="4"/>
    <x v="0"/>
    <n v="1023.21"/>
    <n v="18"/>
    <n v="0.05"/>
    <d v="2024-05-16T00:00:00"/>
    <n v="388.82"/>
    <x v="1"/>
  </r>
  <r>
    <s v="CUST001"/>
    <s v="Mary Jackson"/>
    <x v="0"/>
    <x v="3"/>
    <n v="853.72"/>
    <n v="5"/>
    <n v="0.15"/>
    <d v="2024-05-16T00:00:00"/>
    <n v="253.98"/>
    <x v="1"/>
  </r>
  <r>
    <s v="CUST021"/>
    <s v="Sarah Anderson"/>
    <x v="2"/>
    <x v="2"/>
    <n v="967.89"/>
    <n v="10"/>
    <n v="0.1"/>
    <d v="2024-05-17T00:00:00"/>
    <n v="217.78"/>
    <x v="1"/>
  </r>
  <r>
    <s v="CUST015"/>
    <s v="Linda Taylor"/>
    <x v="3"/>
    <x v="4"/>
    <n v="1200.9000000000001"/>
    <n v="14"/>
    <n v="0.05"/>
    <d v="2024-05-17T00:00:00"/>
    <n v="513.38"/>
    <x v="1"/>
  </r>
  <r>
    <s v="CUST012"/>
    <s v="Michael Anderson"/>
    <x v="0"/>
    <x v="0"/>
    <n v="472.38"/>
    <n v="12"/>
    <n v="0.2"/>
    <d v="2024-05-17T00:00:00"/>
    <n v="151.16"/>
    <x v="1"/>
  </r>
  <r>
    <s v="CUST019"/>
    <s v="David Brown"/>
    <x v="1"/>
    <x v="4"/>
    <n v="840.92"/>
    <n v="9"/>
    <n v="0.05"/>
    <d v="2024-05-17T00:00:00"/>
    <n v="359.49"/>
    <x v="1"/>
  </r>
  <r>
    <s v="CUST028"/>
    <s v="Lisa Davis"/>
    <x v="4"/>
    <x v="3"/>
    <n v="1410.06"/>
    <n v="11"/>
    <n v="0.05"/>
    <d v="2024-05-22T00:00:00"/>
    <n v="468.84"/>
    <x v="1"/>
  </r>
  <r>
    <s v="CUST008"/>
    <s v="Mary Wilson"/>
    <x v="4"/>
    <x v="3"/>
    <n v="773.09"/>
    <n v="13"/>
    <n v="0.15"/>
    <d v="2024-05-22T00:00:00"/>
    <n v="229.99"/>
    <x v="1"/>
  </r>
  <r>
    <s v="CUST016"/>
    <s v="Emma Wilson"/>
    <x v="1"/>
    <x v="0"/>
    <n v="580.42999999999995"/>
    <n v="19"/>
    <n v="0.15"/>
    <d v="2024-05-23T00:00:00"/>
    <n v="197.35"/>
    <x v="1"/>
  </r>
  <r>
    <s v="CUST005"/>
    <s v="David Smith"/>
    <x v="2"/>
    <x v="0"/>
    <n v="1151.21"/>
    <n v="15"/>
    <n v="0.1"/>
    <d v="2024-06-02T00:00:00"/>
    <n v="414.44"/>
    <x v="2"/>
  </r>
  <r>
    <s v="CUST028"/>
    <s v="James Wilson"/>
    <x v="4"/>
    <x v="4"/>
    <n v="1025.98"/>
    <n v="5"/>
    <n v="0.2"/>
    <d v="2024-06-04T00:00:00"/>
    <n v="369.35"/>
    <x v="2"/>
  </r>
  <r>
    <s v="CUST023"/>
    <s v="David Davis"/>
    <x v="1"/>
    <x v="4"/>
    <n v="556.41999999999996"/>
    <n v="11"/>
    <n v="0.15"/>
    <d v="2024-06-04T00:00:00"/>
    <n v="212.83"/>
    <x v="2"/>
  </r>
  <r>
    <s v="CUST021"/>
    <s v="James Wilson"/>
    <x v="4"/>
    <x v="0"/>
    <n v="840.85"/>
    <n v="19"/>
    <n v="0.1"/>
    <d v="2024-06-05T00:00:00"/>
    <n v="302.70999999999998"/>
    <x v="2"/>
  </r>
  <r>
    <s v="CUST026"/>
    <s v="Emma Wilson"/>
    <x v="3"/>
    <x v="3"/>
    <n v="1227.25"/>
    <n v="12"/>
    <n v="0.15"/>
    <d v="2024-06-05T00:00:00"/>
    <n v="365.11"/>
    <x v="2"/>
  </r>
  <r>
    <s v="CUST017"/>
    <s v="Linda Davis"/>
    <x v="4"/>
    <x v="2"/>
    <n v="856.7"/>
    <n v="2"/>
    <n v="0"/>
    <d v="2024-06-06T00:00:00"/>
    <n v="214.18"/>
    <x v="2"/>
  </r>
  <r>
    <s v="CUST025"/>
    <s v="David Davis"/>
    <x v="4"/>
    <x v="4"/>
    <n v="1225.42"/>
    <n v="8"/>
    <n v="0.15"/>
    <d v="2024-06-06T00:00:00"/>
    <n v="468.72"/>
    <x v="2"/>
  </r>
  <r>
    <s v="CUST011"/>
    <s v="Mary Davis"/>
    <x v="3"/>
    <x v="4"/>
    <n v="1001.57"/>
    <n v="12"/>
    <n v="0"/>
    <d v="2024-06-07T00:00:00"/>
    <n v="450.71"/>
    <x v="2"/>
  </r>
  <r>
    <s v="CUST021"/>
    <s v="Michael Anderson"/>
    <x v="1"/>
    <x v="3"/>
    <n v="1186.8499999999999"/>
    <n v="19"/>
    <n v="0.2"/>
    <d v="2024-06-08T00:00:00"/>
    <n v="332.32"/>
    <x v="2"/>
  </r>
  <r>
    <s v="CUST008"/>
    <s v="John Brown"/>
    <x v="2"/>
    <x v="2"/>
    <n v="775.45"/>
    <n v="6"/>
    <n v="0.1"/>
    <d v="2024-06-14T00:00:00"/>
    <n v="174.48"/>
    <x v="2"/>
  </r>
  <r>
    <s v="CUST007"/>
    <s v="Linda Jackson"/>
    <x v="2"/>
    <x v="2"/>
    <n v="1021.47"/>
    <n v="6"/>
    <n v="0.05"/>
    <d v="2024-06-18T00:00:00"/>
    <n v="242.6"/>
    <x v="2"/>
  </r>
  <r>
    <s v="CUST015"/>
    <s v="James Wilson"/>
    <x v="2"/>
    <x v="1"/>
    <n v="1226.6199999999999"/>
    <n v="7"/>
    <n v="0.1"/>
    <d v="2024-06-20T00:00:00"/>
    <n v="551.98"/>
    <x v="2"/>
  </r>
  <r>
    <s v="CUST030"/>
    <s v="Sarah Davis"/>
    <x v="2"/>
    <x v="3"/>
    <n v="1086.93"/>
    <n v="2"/>
    <n v="0"/>
    <d v="2024-06-21T00:00:00"/>
    <n v="380.43"/>
    <x v="2"/>
  </r>
  <r>
    <s v="CUST002"/>
    <s v="Lisa Davis"/>
    <x v="0"/>
    <x v="0"/>
    <n v="942.9"/>
    <n v="18"/>
    <n v="0.1"/>
    <d v="2024-06-23T00:00:00"/>
    <n v="339.44"/>
    <x v="2"/>
  </r>
  <r>
    <s v="CUST009"/>
    <s v="Emma Davis"/>
    <x v="3"/>
    <x v="2"/>
    <n v="818.8"/>
    <n v="15"/>
    <n v="0.15"/>
    <d v="2024-06-25T00:00:00"/>
    <n v="173.99"/>
    <x v="2"/>
  </r>
  <r>
    <s v="CUST005"/>
    <s v="Robert Anderson"/>
    <x v="2"/>
    <x v="3"/>
    <n v="919.04"/>
    <n v="10"/>
    <n v="0.2"/>
    <d v="2024-06-25T00:00:00"/>
    <n v="257.33"/>
    <x v="2"/>
  </r>
  <r>
    <s v="CUST030"/>
    <s v="Emma Taylor"/>
    <x v="4"/>
    <x v="0"/>
    <n v="973.26"/>
    <n v="11"/>
    <n v="0"/>
    <d v="2024-06-27T00:00:00"/>
    <n v="389.3"/>
    <x v="2"/>
  </r>
  <r>
    <s v="CUST029"/>
    <s v="Sarah Davis"/>
    <x v="3"/>
    <x v="2"/>
    <n v="741.61"/>
    <n v="1"/>
    <n v="0.2"/>
    <d v="2024-06-28T00:00:00"/>
    <n v="148.32"/>
    <x v="2"/>
  </r>
  <r>
    <s v="CUST003"/>
    <s v="Emma Davis"/>
    <x v="3"/>
    <x v="0"/>
    <n v="1248.82"/>
    <n v="2"/>
    <n v="0.1"/>
    <d v="2024-06-30T00:00:00"/>
    <n v="449.58"/>
    <x v="2"/>
  </r>
  <r>
    <s v="CUST012"/>
    <s v="Mary Wilson"/>
    <x v="0"/>
    <x v="1"/>
    <n v="1360.36"/>
    <n v="17"/>
    <n v="0"/>
    <d v="2024-06-30T00:00:00"/>
    <n v="680.18"/>
    <x v="2"/>
  </r>
  <r>
    <s v="CUST021"/>
    <s v="Mary Davis"/>
    <x v="1"/>
    <x v="0"/>
    <n v="1383.3"/>
    <n v="8"/>
    <n v="0.1"/>
    <d v="2024-07-05T00:00:00"/>
    <n v="497.99"/>
    <x v="3"/>
  </r>
  <r>
    <s v="CUST010"/>
    <s v="David Brown"/>
    <x v="4"/>
    <x v="4"/>
    <n v="488.99"/>
    <n v="9"/>
    <n v="0"/>
    <d v="2024-07-06T00:00:00"/>
    <n v="220.05"/>
    <x v="3"/>
  </r>
  <r>
    <s v="CUST026"/>
    <s v="Mary Davis"/>
    <x v="1"/>
    <x v="3"/>
    <n v="933.71"/>
    <n v="17"/>
    <n v="0.1"/>
    <d v="2024-07-08T00:00:00"/>
    <n v="294.12"/>
    <x v="3"/>
  </r>
  <r>
    <s v="CUST003"/>
    <s v="James Davis"/>
    <x v="0"/>
    <x v="2"/>
    <n v="1005.53"/>
    <n v="17"/>
    <n v="0.2"/>
    <d v="2024-07-08T00:00:00"/>
    <n v="201.11"/>
    <x v="3"/>
  </r>
  <r>
    <s v="CUST029"/>
    <s v="Emma Wilson"/>
    <x v="2"/>
    <x v="2"/>
    <n v="1100.0999999999999"/>
    <n v="5"/>
    <n v="0.05"/>
    <d v="2024-07-09T00:00:00"/>
    <n v="261.27"/>
    <x v="3"/>
  </r>
  <r>
    <s v="CUST003"/>
    <s v="James Wilson"/>
    <x v="3"/>
    <x v="3"/>
    <n v="1034.7"/>
    <n v="15"/>
    <n v="0.15"/>
    <d v="2024-07-14T00:00:00"/>
    <n v="307.82"/>
    <x v="3"/>
  </r>
  <r>
    <s v="CUST002"/>
    <s v="Mary Davis"/>
    <x v="2"/>
    <x v="0"/>
    <n v="876.44"/>
    <n v="12"/>
    <n v="0.05"/>
    <d v="2024-07-15T00:00:00"/>
    <n v="333.05"/>
    <x v="3"/>
  </r>
  <r>
    <s v="CUST020"/>
    <s v="David Brown"/>
    <x v="0"/>
    <x v="3"/>
    <n v="1371.34"/>
    <n v="5"/>
    <n v="0.05"/>
    <d v="2024-07-15T00:00:00"/>
    <n v="455.97"/>
    <x v="3"/>
  </r>
  <r>
    <s v="CUST021"/>
    <s v="Mary Jackson"/>
    <x v="3"/>
    <x v="2"/>
    <n v="1020.26"/>
    <n v="11"/>
    <n v="0.05"/>
    <d v="2024-07-21T00:00:00"/>
    <n v="242.31"/>
    <x v="3"/>
  </r>
  <r>
    <s v="CUST008"/>
    <s v="James Davis"/>
    <x v="4"/>
    <x v="4"/>
    <n v="804.81"/>
    <n v="1"/>
    <n v="0.05"/>
    <d v="2024-07-29T00:00:00"/>
    <n v="344.06"/>
    <x v="3"/>
  </r>
  <r>
    <s v="CUST030"/>
    <s v="David Brown"/>
    <x v="4"/>
    <x v="2"/>
    <n v="608.66"/>
    <n v="1"/>
    <n v="0.05"/>
    <d v="2024-07-30T00:00:00"/>
    <n v="144.56"/>
    <x v="3"/>
  </r>
  <r>
    <s v="CUST020"/>
    <s v="Linda Moore"/>
    <x v="2"/>
    <x v="4"/>
    <n v="981.2"/>
    <n v="19"/>
    <n v="0"/>
    <d v="2024-07-31T00:00:00"/>
    <n v="441.54"/>
    <x v="3"/>
  </r>
  <r>
    <s v="CUST024"/>
    <s v="David Brown"/>
    <x v="1"/>
    <x v="2"/>
    <n v="539.77"/>
    <n v="10"/>
    <n v="0.15"/>
    <d v="2024-08-05T00:00:00"/>
    <n v="114.7"/>
    <x v="4"/>
  </r>
  <r>
    <s v="CUST012"/>
    <s v="David Anderson"/>
    <x v="2"/>
    <x v="0"/>
    <n v="804.45"/>
    <n v="5"/>
    <n v="0.2"/>
    <d v="2024-08-05T00:00:00"/>
    <n v="257.42"/>
    <x v="4"/>
  </r>
  <r>
    <s v="CUST024"/>
    <s v="Emma Davis"/>
    <x v="0"/>
    <x v="2"/>
    <n v="1526.6"/>
    <n v="13"/>
    <n v="0.2"/>
    <d v="2024-08-08T00:00:00"/>
    <n v="305.32"/>
    <x v="4"/>
  </r>
  <r>
    <s v="CUST012"/>
    <s v="Linda Wilson"/>
    <x v="0"/>
    <x v="2"/>
    <n v="1215.26"/>
    <n v="5"/>
    <n v="0.15"/>
    <d v="2024-08-09T00:00:00"/>
    <n v="258.24"/>
    <x v="4"/>
  </r>
  <r>
    <s v="CUST005"/>
    <s v="Linda Taylor"/>
    <x v="4"/>
    <x v="3"/>
    <n v="1261.3399999999999"/>
    <n v="3"/>
    <n v="0"/>
    <d v="2024-08-15T00:00:00"/>
    <n v="441.47"/>
    <x v="4"/>
  </r>
  <r>
    <s v="CUST004"/>
    <s v="Lisa Thomas"/>
    <x v="3"/>
    <x v="3"/>
    <n v="518.07000000000005"/>
    <n v="7"/>
    <n v="0.05"/>
    <d v="2024-08-18T00:00:00"/>
    <n v="172.26"/>
    <x v="4"/>
  </r>
  <r>
    <s v="CUST026"/>
    <s v="Linda Wilson"/>
    <x v="0"/>
    <x v="4"/>
    <n v="1111.3399999999999"/>
    <n v="1"/>
    <n v="0"/>
    <d v="2024-08-19T00:00:00"/>
    <n v="500.1"/>
    <x v="4"/>
  </r>
  <r>
    <s v="CUST030"/>
    <s v="Mary Davis"/>
    <x v="1"/>
    <x v="1"/>
    <n v="1291.47"/>
    <n v="18"/>
    <n v="0.1"/>
    <d v="2024-08-22T00:00:00"/>
    <n v="581.16"/>
    <x v="4"/>
  </r>
  <r>
    <s v="CUST007"/>
    <s v="David Brown"/>
    <x v="3"/>
    <x v="0"/>
    <n v="679.71"/>
    <n v="19"/>
    <n v="0"/>
    <d v="2024-08-30T00:00:00"/>
    <n v="271.88"/>
    <x v="4"/>
  </r>
  <r>
    <s v="CUST020"/>
    <s v="Linda Jackson"/>
    <x v="1"/>
    <x v="3"/>
    <n v="1143.69"/>
    <n v="17"/>
    <n v="0"/>
    <d v="2024-08-30T00:00:00"/>
    <n v="400.29"/>
    <x v="4"/>
  </r>
  <r>
    <s v="CUST028"/>
    <s v="Linda Brown"/>
    <x v="4"/>
    <x v="2"/>
    <n v="790.08"/>
    <n v="7"/>
    <n v="0.1"/>
    <d v="2024-09-01T00:00:00"/>
    <n v="177.77"/>
    <x v="5"/>
  </r>
  <r>
    <s v="CUST005"/>
    <s v="Lisa Davis"/>
    <x v="4"/>
    <x v="0"/>
    <n v="1070.68"/>
    <n v="7"/>
    <n v="0.05"/>
    <d v="2024-09-01T00:00:00"/>
    <n v="406.86"/>
    <x v="5"/>
  </r>
  <r>
    <s v="CUST015"/>
    <s v="David Thomas"/>
    <x v="0"/>
    <x v="1"/>
    <n v="1168.8900000000001"/>
    <n v="4"/>
    <n v="0.1"/>
    <d v="2024-09-09T00:00:00"/>
    <n v="526"/>
    <x v="5"/>
  </r>
  <r>
    <s v="CUST003"/>
    <s v="James Davis"/>
    <x v="2"/>
    <x v="2"/>
    <n v="1335.87"/>
    <n v="17"/>
    <n v="0"/>
    <d v="2024-09-09T00:00:00"/>
    <n v="333.97"/>
    <x v="5"/>
  </r>
  <r>
    <s v="CUST023"/>
    <s v="David Brown"/>
    <x v="1"/>
    <x v="3"/>
    <n v="873.7"/>
    <n v="9"/>
    <n v="0"/>
    <d v="2024-09-11T00:00:00"/>
    <n v="305.8"/>
    <x v="5"/>
  </r>
  <r>
    <s v="CUST004"/>
    <s v="Sarah Davis"/>
    <x v="0"/>
    <x v="4"/>
    <n v="1443.98"/>
    <n v="19"/>
    <n v="0"/>
    <d v="2024-09-12T00:00:00"/>
    <n v="649.79"/>
    <x v="5"/>
  </r>
  <r>
    <s v="CUST023"/>
    <s v="James Wilson"/>
    <x v="1"/>
    <x v="4"/>
    <n v="1154.33"/>
    <n v="11"/>
    <n v="0.15"/>
    <d v="2024-09-14T00:00:00"/>
    <n v="441.53"/>
    <x v="5"/>
  </r>
  <r>
    <s v="CUST022"/>
    <s v="Linda Brown"/>
    <x v="2"/>
    <x v="0"/>
    <n v="1264.49"/>
    <n v="16"/>
    <n v="0.05"/>
    <d v="2024-09-14T00:00:00"/>
    <n v="480.51"/>
    <x v="5"/>
  </r>
  <r>
    <s v="CUST007"/>
    <s v="Emma Taylor"/>
    <x v="0"/>
    <x v="3"/>
    <n v="1101.55"/>
    <n v="4"/>
    <n v="0.1"/>
    <d v="2024-09-16T00:00:00"/>
    <n v="346.99"/>
    <x v="5"/>
  </r>
  <r>
    <s v="CUST013"/>
    <s v="Robert Anderson"/>
    <x v="2"/>
    <x v="3"/>
    <n v="727.73"/>
    <n v="1"/>
    <n v="0.1"/>
    <d v="2024-09-17T00:00:00"/>
    <n v="229.23"/>
    <x v="5"/>
  </r>
  <r>
    <s v="CUST027"/>
    <s v="Emma Davis"/>
    <x v="1"/>
    <x v="4"/>
    <n v="875.41"/>
    <n v="13"/>
    <n v="0.15"/>
    <d v="2024-09-17T00:00:00"/>
    <n v="334.84"/>
    <x v="5"/>
  </r>
  <r>
    <s v="CUST003"/>
    <s v="James Wilson"/>
    <x v="0"/>
    <x v="2"/>
    <n v="1158.94"/>
    <n v="19"/>
    <n v="0.2"/>
    <d v="2024-09-18T00:00:00"/>
    <n v="231.79"/>
    <x v="5"/>
  </r>
  <r>
    <s v="CUST018"/>
    <s v="Mary Jackson"/>
    <x v="2"/>
    <x v="0"/>
    <n v="966.3"/>
    <n v="2"/>
    <n v="0.15"/>
    <d v="2024-09-22T00:00:00"/>
    <n v="328.54"/>
    <x v="5"/>
  </r>
  <r>
    <s v="CUST020"/>
    <s v="James Taylor"/>
    <x v="2"/>
    <x v="0"/>
    <n v="917.48"/>
    <n v="6"/>
    <n v="0"/>
    <d v="2024-09-23T00:00:00"/>
    <n v="366.99"/>
    <x v="5"/>
  </r>
  <r>
    <s v="CUST029"/>
    <s v="Emma Wilson"/>
    <x v="0"/>
    <x v="3"/>
    <n v="1172.97"/>
    <n v="7"/>
    <n v="0.15"/>
    <d v="2024-09-24T00:00:00"/>
    <n v="348.96"/>
    <x v="5"/>
  </r>
  <r>
    <s v="CUST021"/>
    <s v="James Wilson"/>
    <x v="3"/>
    <x v="1"/>
    <n v="1205.82"/>
    <n v="11"/>
    <n v="0.1"/>
    <d v="2024-09-24T00:00:00"/>
    <n v="542.62"/>
    <x v="5"/>
  </r>
  <r>
    <s v="CUST017"/>
    <s v="Sarah Davis"/>
    <x v="0"/>
    <x v="4"/>
    <n v="826.93"/>
    <n v="10"/>
    <n v="0.2"/>
    <d v="2024-09-29T00:00:00"/>
    <n v="297.69"/>
    <x v="5"/>
  </r>
  <r>
    <s v="CUST003"/>
    <s v="James Wilson"/>
    <x v="4"/>
    <x v="1"/>
    <n v="902.19"/>
    <n v="12"/>
    <n v="0"/>
    <d v="2024-09-29T00:00:00"/>
    <n v="451.1"/>
    <x v="5"/>
  </r>
  <r>
    <s v="CUST027"/>
    <s v="Emma Davis"/>
    <x v="3"/>
    <x v="0"/>
    <n v="585.97"/>
    <n v="17"/>
    <n v="0.1"/>
    <d v="2024-09-30T00:00:00"/>
    <n v="210.95"/>
    <x v="5"/>
  </r>
  <r>
    <s v="CUST016"/>
    <s v="Michael Anderson"/>
    <x v="3"/>
    <x v="1"/>
    <n v="990.19"/>
    <n v="8"/>
    <n v="0.1"/>
    <d v="2024-09-30T00:00:00"/>
    <n v="445.59"/>
    <x v="5"/>
  </r>
  <r>
    <s v="CUST008"/>
    <s v="David Davis"/>
    <x v="4"/>
    <x v="2"/>
    <n v="1014.09"/>
    <n v="13"/>
    <n v="0.2"/>
    <d v="2024-10-02T00:00:00"/>
    <n v="202.82"/>
    <x v="6"/>
  </r>
  <r>
    <s v="CUST012"/>
    <s v="Lisa Davis"/>
    <x v="3"/>
    <x v="2"/>
    <n v="925.29"/>
    <n v="17"/>
    <n v="0"/>
    <d v="2024-10-05T00:00:00"/>
    <n v="231.32"/>
    <x v="6"/>
  </r>
  <r>
    <s v="CUST025"/>
    <s v="Mary Jackson"/>
    <x v="1"/>
    <x v="3"/>
    <n v="1286.54"/>
    <n v="8"/>
    <n v="0"/>
    <d v="2024-10-10T00:00:00"/>
    <n v="450.29"/>
    <x v="6"/>
  </r>
  <r>
    <s v="CUST014"/>
    <s v="Sarah Davis"/>
    <x v="2"/>
    <x v="0"/>
    <n v="961.62"/>
    <n v="8"/>
    <n v="0.2"/>
    <d v="2024-10-12T00:00:00"/>
    <n v="307.72000000000003"/>
    <x v="6"/>
  </r>
  <r>
    <s v="CUST008"/>
    <s v="James Wilson"/>
    <x v="1"/>
    <x v="0"/>
    <n v="1081.1400000000001"/>
    <n v="19"/>
    <n v="0.15"/>
    <d v="2024-10-12T00:00:00"/>
    <n v="367.59"/>
    <x v="6"/>
  </r>
  <r>
    <s v="CUST015"/>
    <s v="James Wilson"/>
    <x v="0"/>
    <x v="1"/>
    <n v="1923.66"/>
    <n v="9"/>
    <n v="0.2"/>
    <d v="2024-10-15T00:00:00"/>
    <n v="769.46"/>
    <x v="6"/>
  </r>
  <r>
    <s v="CUST025"/>
    <s v="Emma Taylor"/>
    <x v="4"/>
    <x v="1"/>
    <n v="728.71"/>
    <n v="14"/>
    <n v="0.1"/>
    <d v="2024-10-16T00:00:00"/>
    <n v="327.92"/>
    <x v="6"/>
  </r>
  <r>
    <s v="CUST019"/>
    <s v="Linda Jackson"/>
    <x v="4"/>
    <x v="1"/>
    <n v="1301.8900000000001"/>
    <n v="7"/>
    <n v="0.15"/>
    <d v="2024-10-16T00:00:00"/>
    <n v="553.29999999999995"/>
    <x v="6"/>
  </r>
  <r>
    <s v="CUST024"/>
    <s v="Emma Taylor"/>
    <x v="1"/>
    <x v="0"/>
    <n v="980.18"/>
    <n v="16"/>
    <n v="0.1"/>
    <d v="2024-10-17T00:00:00"/>
    <n v="352.86"/>
    <x v="6"/>
  </r>
  <r>
    <s v="CUST027"/>
    <s v="James Wilson"/>
    <x v="0"/>
    <x v="1"/>
    <n v="697.57"/>
    <n v="17"/>
    <n v="0.1"/>
    <d v="2024-10-19T00:00:00"/>
    <n v="313.91000000000003"/>
    <x v="6"/>
  </r>
  <r>
    <s v="CUST006"/>
    <s v="David Anderson"/>
    <x v="0"/>
    <x v="3"/>
    <n v="1193.6099999999999"/>
    <n v="1"/>
    <n v="0.15"/>
    <d v="2024-10-19T00:00:00"/>
    <n v="355.1"/>
    <x v="6"/>
  </r>
  <r>
    <s v="CUST009"/>
    <s v="Emma Davis"/>
    <x v="2"/>
    <x v="2"/>
    <n v="771.02"/>
    <n v="1"/>
    <n v="0"/>
    <d v="2024-10-20T00:00:00"/>
    <n v="192.76"/>
    <x v="6"/>
  </r>
  <r>
    <s v="CUST003"/>
    <s v="Linda Moore"/>
    <x v="3"/>
    <x v="1"/>
    <n v="661.09"/>
    <n v="1"/>
    <n v="0.2"/>
    <d v="2024-10-28T00:00:00"/>
    <n v="264.44"/>
    <x v="6"/>
  </r>
  <r>
    <s v="CUST012"/>
    <s v="David Brown"/>
    <x v="0"/>
    <x v="2"/>
    <n v="688.83"/>
    <n v="15"/>
    <n v="0"/>
    <d v="2024-10-30T00:00:00"/>
    <n v="172.21"/>
    <x v="6"/>
  </r>
  <r>
    <s v="CUST013"/>
    <s v="Linda Wilson"/>
    <x v="4"/>
    <x v="0"/>
    <n v="1249.0999999999999"/>
    <n v="4"/>
    <n v="0.05"/>
    <d v="2024-11-01T00:00:00"/>
    <n v="474.66"/>
    <x v="7"/>
  </r>
  <r>
    <s v="CUST008"/>
    <s v="James Wilson"/>
    <x v="1"/>
    <x v="4"/>
    <n v="1014.22"/>
    <n v="14"/>
    <n v="0.05"/>
    <d v="2024-11-03T00:00:00"/>
    <n v="433.58"/>
    <x v="7"/>
  </r>
  <r>
    <s v="CUST025"/>
    <s v="Lisa Davis"/>
    <x v="1"/>
    <x v="0"/>
    <n v="1010.58"/>
    <n v="2"/>
    <n v="0.15"/>
    <d v="2024-11-09T00:00:00"/>
    <n v="343.6"/>
    <x v="7"/>
  </r>
  <r>
    <s v="CUST026"/>
    <s v="Mary Wilson"/>
    <x v="3"/>
    <x v="3"/>
    <n v="957.29"/>
    <n v="4"/>
    <n v="0.05"/>
    <d v="2024-11-09T00:00:00"/>
    <n v="318.3"/>
    <x v="7"/>
  </r>
  <r>
    <s v="CUST001"/>
    <s v="Lisa Thomas"/>
    <x v="3"/>
    <x v="3"/>
    <n v="1077.92"/>
    <n v="3"/>
    <n v="0.05"/>
    <d v="2024-11-12T00:00:00"/>
    <n v="358.41"/>
    <x v="7"/>
  </r>
  <r>
    <s v="CUST028"/>
    <s v="Linda Brown"/>
    <x v="2"/>
    <x v="1"/>
    <n v="1163.01"/>
    <n v="5"/>
    <n v="0"/>
    <d v="2024-11-15T00:00:00"/>
    <n v="581.5"/>
    <x v="7"/>
  </r>
  <r>
    <s v="CUST025"/>
    <s v="Lisa Thomas"/>
    <x v="1"/>
    <x v="4"/>
    <n v="1014.56"/>
    <n v="10"/>
    <n v="0.1"/>
    <d v="2024-11-16T00:00:00"/>
    <n v="410.9"/>
    <x v="7"/>
  </r>
  <r>
    <s v="CUST019"/>
    <s v="James Taylor"/>
    <x v="2"/>
    <x v="2"/>
    <n v="718.04"/>
    <n v="14"/>
    <n v="0"/>
    <d v="2024-11-17T00:00:00"/>
    <n v="179.51"/>
    <x v="7"/>
  </r>
  <r>
    <s v="CUST004"/>
    <s v="James Taylor"/>
    <x v="4"/>
    <x v="1"/>
    <n v="1277.8499999999999"/>
    <n v="18"/>
    <n v="0.2"/>
    <d v="2024-11-17T00:00:00"/>
    <n v="511.14"/>
    <x v="7"/>
  </r>
  <r>
    <s v="CUST024"/>
    <s v="James Wilson"/>
    <x v="3"/>
    <x v="2"/>
    <n v="706.73"/>
    <n v="1"/>
    <n v="0.15"/>
    <d v="2024-11-17T00:00:00"/>
    <n v="150.18"/>
    <x v="7"/>
  </r>
  <r>
    <s v="CUST002"/>
    <s v="Linda Brown"/>
    <x v="1"/>
    <x v="2"/>
    <n v="1410.59"/>
    <n v="15"/>
    <n v="0"/>
    <d v="2024-11-19T00:00:00"/>
    <n v="352.65"/>
    <x v="7"/>
  </r>
  <r>
    <s v="CUST009"/>
    <s v="Emma Wilson"/>
    <x v="2"/>
    <x v="3"/>
    <n v="1350.33"/>
    <n v="10"/>
    <n v="0"/>
    <d v="2024-11-19T00:00:00"/>
    <n v="472.62"/>
    <x v="7"/>
  </r>
  <r>
    <s v="CUST029"/>
    <s v="Lisa Thomas"/>
    <x v="1"/>
    <x v="2"/>
    <n v="919.18"/>
    <n v="4"/>
    <n v="0.15"/>
    <d v="2024-11-19T00:00:00"/>
    <n v="195.33"/>
    <x v="7"/>
  </r>
  <r>
    <s v="CUST027"/>
    <s v="James Wilson"/>
    <x v="0"/>
    <x v="2"/>
    <n v="258.51"/>
    <n v="19"/>
    <n v="0"/>
    <d v="2024-11-20T00:00:00"/>
    <n v="64.63"/>
    <x v="7"/>
  </r>
  <r>
    <s v="CUST011"/>
    <s v="Emma Wilson"/>
    <x v="1"/>
    <x v="0"/>
    <n v="1213.48"/>
    <n v="5"/>
    <n v="0.05"/>
    <d v="2024-11-20T00:00:00"/>
    <n v="461.12"/>
    <x v="7"/>
  </r>
  <r>
    <s v="CUST021"/>
    <s v="Emma Davis"/>
    <x v="4"/>
    <x v="0"/>
    <n v="1150.28"/>
    <n v="8"/>
    <n v="0.05"/>
    <d v="2024-11-26T00:00:00"/>
    <n v="437.11"/>
    <x v="7"/>
  </r>
  <r>
    <s v="CUST014"/>
    <s v="David Anderson"/>
    <x v="2"/>
    <x v="3"/>
    <n v="853.86"/>
    <n v="8"/>
    <n v="0.1"/>
    <d v="2024-11-26T00:00:00"/>
    <n v="268.97000000000003"/>
    <x v="7"/>
  </r>
  <r>
    <s v="CUST018"/>
    <s v="Lisa Thomas"/>
    <x v="2"/>
    <x v="2"/>
    <n v="1061.04"/>
    <n v="1"/>
    <n v="0"/>
    <d v="2024-11-28T00:00:00"/>
    <n v="265.26"/>
    <x v="7"/>
  </r>
  <r>
    <s v="CUST001"/>
    <s v="Sarah Anderson"/>
    <x v="0"/>
    <x v="2"/>
    <n v="894.55"/>
    <n v="19"/>
    <n v="0.2"/>
    <d v="2024-11-29T00:00:00"/>
    <n v="178.91"/>
    <x v="7"/>
  </r>
  <r>
    <s v="CUST007"/>
    <s v="Emma Davis"/>
    <x v="3"/>
    <x v="4"/>
    <n v="833.91"/>
    <n v="3"/>
    <n v="0.05"/>
    <d v="2024-11-30T00:00:00"/>
    <n v="356.5"/>
    <x v="7"/>
  </r>
  <r>
    <s v="CUST015"/>
    <s v="David Anderson"/>
    <x v="0"/>
    <x v="3"/>
    <n v="820.19"/>
    <n v="4"/>
    <n v="0.2"/>
    <d v="2024-12-04T00:00:00"/>
    <n v="229.65"/>
    <x v="8"/>
  </r>
  <r>
    <s v="CUST015"/>
    <s v="Emma Davis"/>
    <x v="4"/>
    <x v="2"/>
    <n v="511.74"/>
    <n v="8"/>
    <n v="0.05"/>
    <d v="2024-12-05T00:00:00"/>
    <n v="121.54"/>
    <x v="8"/>
  </r>
  <r>
    <s v="CUST002"/>
    <s v="Emma Wilson"/>
    <x v="2"/>
    <x v="3"/>
    <n v="806.03"/>
    <n v="19"/>
    <n v="0.05"/>
    <d v="2024-12-12T00:00:00"/>
    <n v="268"/>
    <x v="8"/>
  </r>
  <r>
    <s v="CUST001"/>
    <s v="Michael Anderson"/>
    <x v="4"/>
    <x v="3"/>
    <n v="1432.47"/>
    <n v="16"/>
    <n v="0.15"/>
    <d v="2024-12-14T00:00:00"/>
    <n v="426.16"/>
    <x v="8"/>
  </r>
  <r>
    <s v="CUST027"/>
    <s v="Linda Wilson"/>
    <x v="4"/>
    <x v="2"/>
    <n v="1488.58"/>
    <n v="10"/>
    <n v="0.15"/>
    <d v="2024-12-14T00:00:00"/>
    <n v="316.32"/>
    <x v="8"/>
  </r>
  <r>
    <s v="CUST026"/>
    <s v="Emma Taylor"/>
    <x v="1"/>
    <x v="0"/>
    <n v="1231.26"/>
    <n v="9"/>
    <n v="0"/>
    <d v="2024-12-20T00:00:00"/>
    <n v="492.5"/>
    <x v="8"/>
  </r>
  <r>
    <s v="CUST026"/>
    <s v="Sarah Anderson"/>
    <x v="0"/>
    <x v="2"/>
    <n v="1161.67"/>
    <n v="19"/>
    <n v="0.2"/>
    <d v="2024-12-21T00:00:00"/>
    <n v="232.33"/>
    <x v="8"/>
  </r>
  <r>
    <s v="CUST022"/>
    <s v="Lisa Thomas"/>
    <x v="4"/>
    <x v="4"/>
    <n v="388.23"/>
    <n v="16"/>
    <n v="0.05"/>
    <d v="2024-12-24T00:00:00"/>
    <n v="165.97"/>
    <x v="8"/>
  </r>
  <r>
    <s v="CUST004"/>
    <s v="Mary Davis"/>
    <x v="3"/>
    <x v="1"/>
    <n v="1589.42"/>
    <n v="6"/>
    <n v="0.15"/>
    <d v="2024-12-25T00:00:00"/>
    <n v="675.5"/>
    <x v="8"/>
  </r>
  <r>
    <s v="CUST001"/>
    <s v="David Anderson"/>
    <x v="3"/>
    <x v="1"/>
    <n v="336.66"/>
    <n v="13"/>
    <n v="0.2"/>
    <d v="2024-12-25T00:00:00"/>
    <n v="134.66"/>
    <x v="8"/>
  </r>
  <r>
    <s v="CUST022"/>
    <s v="James Wilson"/>
    <x v="0"/>
    <x v="0"/>
    <n v="1353.79"/>
    <n v="14"/>
    <n v="0.1"/>
    <d v="2024-12-30T00:00:00"/>
    <n v="487.36"/>
    <x v="8"/>
  </r>
  <r>
    <s v="CUST011"/>
    <s v="Linda Moore"/>
    <x v="4"/>
    <x v="1"/>
    <n v="662.61"/>
    <n v="11"/>
    <n v="0.05"/>
    <d v="2025-01-01T00:00:00"/>
    <n v="314.74"/>
    <x v="9"/>
  </r>
  <r>
    <s v="CUST028"/>
    <s v="Lisa Davis"/>
    <x v="3"/>
    <x v="4"/>
    <n v="309.42"/>
    <n v="1"/>
    <n v="0.2"/>
    <d v="2025-01-01T00:00:00"/>
    <n v="111.39"/>
    <x v="9"/>
  </r>
  <r>
    <s v="CUST011"/>
    <s v="Linda Wilson"/>
    <x v="3"/>
    <x v="0"/>
    <n v="884.63"/>
    <n v="18"/>
    <n v="0.1"/>
    <d v="2025-01-02T00:00:00"/>
    <n v="318.47000000000003"/>
    <x v="9"/>
  </r>
  <r>
    <s v="CUST028"/>
    <s v="James Wilson"/>
    <x v="4"/>
    <x v="4"/>
    <n v="745.05"/>
    <n v="10"/>
    <n v="0.1"/>
    <d v="2025-01-03T00:00:00"/>
    <n v="301.75"/>
    <x v="9"/>
  </r>
  <r>
    <s v="CUST016"/>
    <s v="James Taylor"/>
    <x v="2"/>
    <x v="1"/>
    <n v="870.23"/>
    <n v="5"/>
    <n v="0.05"/>
    <d v="2025-01-03T00:00:00"/>
    <n v="413.36"/>
    <x v="9"/>
  </r>
  <r>
    <s v="CUST010"/>
    <s v="Linda Wilson"/>
    <x v="0"/>
    <x v="3"/>
    <n v="862.19"/>
    <n v="18"/>
    <n v="0.05"/>
    <d v="2025-01-06T00:00:00"/>
    <n v="286.68"/>
    <x v="9"/>
  </r>
  <r>
    <s v="CUST013"/>
    <s v="Mary Wilson"/>
    <x v="3"/>
    <x v="1"/>
    <n v="1171.18"/>
    <n v="19"/>
    <n v="0.05"/>
    <d v="2025-01-10T00:00:00"/>
    <n v="556.30999999999995"/>
    <x v="9"/>
  </r>
  <r>
    <s v="CUST015"/>
    <s v="Robert Anderson"/>
    <x v="2"/>
    <x v="3"/>
    <n v="1054.56"/>
    <n v="11"/>
    <n v="0.1"/>
    <d v="2025-01-12T00:00:00"/>
    <n v="332.19"/>
    <x v="9"/>
  </r>
  <r>
    <s v="CUST015"/>
    <s v="James Wilson"/>
    <x v="3"/>
    <x v="2"/>
    <n v="1681.21"/>
    <n v="5"/>
    <n v="0.2"/>
    <d v="2025-01-13T00:00:00"/>
    <n v="336.24"/>
    <x v="9"/>
  </r>
  <r>
    <s v="CUST015"/>
    <s v="David Thomas"/>
    <x v="0"/>
    <x v="1"/>
    <n v="379.77"/>
    <n v="9"/>
    <n v="0.05"/>
    <d v="2025-01-16T00:00:00"/>
    <n v="180.39"/>
    <x v="9"/>
  </r>
  <r>
    <s v="CUST008"/>
    <s v="Lisa Thomas"/>
    <x v="4"/>
    <x v="1"/>
    <n v="1076.33"/>
    <n v="2"/>
    <n v="0.1"/>
    <d v="2025-01-17T00:00:00"/>
    <n v="484.35"/>
    <x v="9"/>
  </r>
  <r>
    <s v="CUST008"/>
    <s v="Mary Davis"/>
    <x v="4"/>
    <x v="4"/>
    <n v="1250.71"/>
    <n v="7"/>
    <n v="0"/>
    <d v="2025-01-17T00:00:00"/>
    <n v="562.82000000000005"/>
    <x v="9"/>
  </r>
  <r>
    <s v="CUST023"/>
    <s v="James Taylor"/>
    <x v="2"/>
    <x v="1"/>
    <n v="1118.3399999999999"/>
    <n v="6"/>
    <n v="0.2"/>
    <d v="2025-01-17T00:00:00"/>
    <n v="447.34"/>
    <x v="9"/>
  </r>
  <r>
    <s v="CUST024"/>
    <s v="Linda Taylor"/>
    <x v="3"/>
    <x v="1"/>
    <n v="1622.62"/>
    <n v="12"/>
    <n v="0.2"/>
    <d v="2025-01-20T00:00:00"/>
    <n v="649.04999999999995"/>
    <x v="9"/>
  </r>
  <r>
    <s v="CUST018"/>
    <s v="Lisa Davis"/>
    <x v="3"/>
    <x v="0"/>
    <n v="640.64"/>
    <n v="11"/>
    <n v="0.2"/>
    <d v="2025-01-21T00:00:00"/>
    <n v="205"/>
    <x v="9"/>
  </r>
  <r>
    <s v="CUST030"/>
    <s v="Sarah Anderson"/>
    <x v="0"/>
    <x v="1"/>
    <n v="585.16"/>
    <n v="17"/>
    <n v="0.1"/>
    <d v="2025-01-27T00:00:00"/>
    <n v="263.32"/>
    <x v="9"/>
  </r>
  <r>
    <s v="CUST030"/>
    <s v="Mary Davis"/>
    <x v="1"/>
    <x v="1"/>
    <n v="1109.98"/>
    <n v="5"/>
    <n v="0.2"/>
    <d v="2025-02-02T00:00:00"/>
    <n v="443.99"/>
    <x v="10"/>
  </r>
  <r>
    <s v="CUST015"/>
    <s v="Lisa Thomas"/>
    <x v="1"/>
    <x v="0"/>
    <n v="1098.08"/>
    <n v="9"/>
    <n v="0.1"/>
    <d v="2025-02-04T00:00:00"/>
    <n v="395.31"/>
    <x v="10"/>
  </r>
  <r>
    <s v="CUST002"/>
    <s v="Lisa Davis"/>
    <x v="0"/>
    <x v="4"/>
    <n v="827.25"/>
    <n v="7"/>
    <n v="0.1"/>
    <d v="2025-02-05T00:00:00"/>
    <n v="335.04"/>
    <x v="10"/>
  </r>
  <r>
    <s v="CUST024"/>
    <s v="Linda Wilson"/>
    <x v="4"/>
    <x v="1"/>
    <n v="741.88"/>
    <n v="16"/>
    <n v="0.1"/>
    <d v="2025-02-07T00:00:00"/>
    <n v="333.85"/>
    <x v="10"/>
  </r>
  <r>
    <s v="CUST004"/>
    <s v="James Davis"/>
    <x v="1"/>
    <x v="4"/>
    <n v="1311.26"/>
    <n v="6"/>
    <n v="0.1"/>
    <d v="2025-02-10T00:00:00"/>
    <n v="531.05999999999995"/>
    <x v="10"/>
  </r>
  <r>
    <s v="CUST004"/>
    <s v="Mary Davis"/>
    <x v="2"/>
    <x v="4"/>
    <n v="573.32000000000005"/>
    <n v="19"/>
    <n v="0.1"/>
    <d v="2025-02-15T00:00:00"/>
    <n v="232.19"/>
    <x v="10"/>
  </r>
  <r>
    <s v="CUST028"/>
    <s v="James Wilson"/>
    <x v="0"/>
    <x v="2"/>
    <n v="1115.22"/>
    <n v="14"/>
    <n v="0.2"/>
    <d v="2025-02-17T00:00:00"/>
    <n v="223.04"/>
    <x v="10"/>
  </r>
  <r>
    <s v="CUST012"/>
    <s v="Lisa Thomas"/>
    <x v="3"/>
    <x v="1"/>
    <n v="845.84"/>
    <n v="4"/>
    <n v="0"/>
    <d v="2025-02-19T00:00:00"/>
    <n v="422.92"/>
    <x v="10"/>
  </r>
  <r>
    <s v="CUST026"/>
    <s v="David Brown"/>
    <x v="0"/>
    <x v="2"/>
    <n v="1029.8"/>
    <n v="3"/>
    <n v="0"/>
    <d v="2025-02-20T00:00:00"/>
    <n v="257.45"/>
    <x v="10"/>
  </r>
  <r>
    <s v="CUST009"/>
    <s v="Mary Davis"/>
    <x v="3"/>
    <x v="0"/>
    <n v="1189.83"/>
    <n v="2"/>
    <n v="0.2"/>
    <d v="2025-02-21T00:00:00"/>
    <n v="380.75"/>
    <x v="10"/>
  </r>
  <r>
    <s v="CUST003"/>
    <s v="Sarah Anderson"/>
    <x v="2"/>
    <x v="0"/>
    <n v="704.28"/>
    <n v="15"/>
    <n v="0.2"/>
    <d v="2025-02-24T00:00:00"/>
    <n v="225.37"/>
    <x v="10"/>
  </r>
  <r>
    <s v="CUST002"/>
    <s v="Mary Jackson"/>
    <x v="4"/>
    <x v="4"/>
    <n v="1618.22"/>
    <n v="12"/>
    <n v="0.2"/>
    <d v="2025-02-24T00:00:00"/>
    <n v="582.55999999999995"/>
    <x v="10"/>
  </r>
  <r>
    <s v="CUST013"/>
    <s v="Linda Taylor"/>
    <x v="4"/>
    <x v="0"/>
    <n v="1014.43"/>
    <n v="2"/>
    <n v="0.15"/>
    <d v="2025-02-25T00:00:00"/>
    <n v="344.91"/>
    <x v="10"/>
  </r>
  <r>
    <s v="CUST018"/>
    <s v="Mary Davis"/>
    <x v="4"/>
    <x v="1"/>
    <n v="826.97"/>
    <n v="18"/>
    <n v="0.2"/>
    <d v="2025-02-27T00:00:00"/>
    <n v="330.79"/>
    <x v="10"/>
  </r>
  <r>
    <s v="CUST017"/>
    <s v="Mary Davis"/>
    <x v="4"/>
    <x v="1"/>
    <n v="1022.23"/>
    <n v="8"/>
    <n v="0.1"/>
    <d v="2025-03-01T00:00:00"/>
    <n v="460"/>
    <x v="11"/>
  </r>
  <r>
    <s v="CUST004"/>
    <s v="Linda Wilson"/>
    <x v="1"/>
    <x v="0"/>
    <n v="1099.69"/>
    <n v="6"/>
    <n v="0"/>
    <d v="2025-03-02T00:00:00"/>
    <n v="439.88"/>
    <x v="11"/>
  </r>
  <r>
    <s v="CUST028"/>
    <s v="Sarah Davis"/>
    <x v="3"/>
    <x v="0"/>
    <n v="710.52"/>
    <n v="8"/>
    <n v="0.1"/>
    <d v="2025-03-05T00:00:00"/>
    <n v="255.79"/>
    <x v="11"/>
  </r>
  <r>
    <s v="CUST028"/>
    <s v="Mary Wilson"/>
    <x v="3"/>
    <x v="0"/>
    <n v="499.18"/>
    <n v="15"/>
    <n v="0.2"/>
    <d v="2025-03-08T00:00:00"/>
    <n v="159.74"/>
    <x v="11"/>
  </r>
  <r>
    <s v="CUST014"/>
    <s v="Emma Davis"/>
    <x v="2"/>
    <x v="0"/>
    <n v="1064.19"/>
    <n v="18"/>
    <n v="0.05"/>
    <d v="2025-03-09T00:00:00"/>
    <n v="404.39"/>
    <x v="11"/>
  </r>
  <r>
    <s v="CUST003"/>
    <s v="Emma Davis"/>
    <x v="1"/>
    <x v="4"/>
    <n v="438.76"/>
    <n v="18"/>
    <n v="0.05"/>
    <d v="2025-03-10T00:00:00"/>
    <n v="187.57"/>
    <x v="11"/>
  </r>
  <r>
    <s v="CUST029"/>
    <s v="David Brown"/>
    <x v="0"/>
    <x v="1"/>
    <n v="864.98"/>
    <n v="2"/>
    <n v="0.05"/>
    <d v="2025-03-11T00:00:00"/>
    <n v="410.87"/>
    <x v="11"/>
  </r>
  <r>
    <s v="CUST021"/>
    <s v="David Brown"/>
    <x v="0"/>
    <x v="3"/>
    <n v="984.93"/>
    <n v="14"/>
    <n v="0.2"/>
    <d v="2025-03-17T00:00:00"/>
    <n v="275.77999999999997"/>
    <x v="11"/>
  </r>
  <r>
    <s v="CUST007"/>
    <s v="David Brown"/>
    <x v="0"/>
    <x v="1"/>
    <n v="1493.49"/>
    <n v="18"/>
    <n v="0"/>
    <d v="2025-03-18T00:00:00"/>
    <n v="746.74"/>
    <x v="11"/>
  </r>
  <r>
    <s v="CUST009"/>
    <s v="Linda Taylor"/>
    <x v="2"/>
    <x v="1"/>
    <n v="689.43"/>
    <n v="9"/>
    <n v="0.1"/>
    <d v="2025-03-20T00:00:00"/>
    <n v="310.24"/>
    <x v="11"/>
  </r>
  <r>
    <s v="CUST023"/>
    <s v="Mary Wilson"/>
    <x v="2"/>
    <x v="1"/>
    <n v="682.24"/>
    <n v="1"/>
    <n v="0"/>
    <d v="2025-03-22T00:00:00"/>
    <n v="341.12"/>
    <x v="11"/>
  </r>
  <r>
    <s v="CUST029"/>
    <s v="Michael Anderson"/>
    <x v="3"/>
    <x v="2"/>
    <n v="458.54"/>
    <n v="15"/>
    <n v="0.2"/>
    <d v="2025-03-25T00:00:00"/>
    <n v="91.71"/>
    <x v="11"/>
  </r>
  <r>
    <s v="CUST009"/>
    <s v="Michael Anderson"/>
    <x v="2"/>
    <x v="3"/>
    <n v="1184.25"/>
    <n v="11"/>
    <n v="0.2"/>
    <d v="2025-03-26T00:00:00"/>
    <n v="331.59"/>
    <x v="11"/>
  </r>
  <r>
    <s v="CUST007"/>
    <s v="James Davis"/>
    <x v="2"/>
    <x v="1"/>
    <n v="762.14"/>
    <n v="9"/>
    <n v="0"/>
    <d v="2025-03-27T00:00:00"/>
    <n v="381.07"/>
    <x v="11"/>
  </r>
  <r>
    <s v="CUST030"/>
    <s v="Linda Taylor"/>
    <x v="3"/>
    <x v="0"/>
    <n v="750.71"/>
    <n v="10"/>
    <n v="0.15"/>
    <d v="2025-03-27T00:00:00"/>
    <n v="255.24"/>
    <x v="11"/>
  </r>
  <r>
    <s v="CUST018"/>
    <s v="David Anderson"/>
    <x v="4"/>
    <x v="1"/>
    <n v="1456.94"/>
    <n v="14"/>
    <n v="0.05"/>
    <d v="2025-03-29T00:00:00"/>
    <n v="692.05"/>
    <x v="11"/>
  </r>
  <r>
    <s v="CUST008"/>
    <s v="Emma Wilson"/>
    <x v="1"/>
    <x v="3"/>
    <n v="1093.3800000000001"/>
    <n v="17"/>
    <n v="0.1"/>
    <d v="2025-03-29T00:00:00"/>
    <n v="344.41"/>
    <x v="11"/>
  </r>
  <r>
    <s v="CUST014"/>
    <s v="Sarah Anderson"/>
    <x v="0"/>
    <x v="1"/>
    <n v="934.27"/>
    <n v="8"/>
    <n v="0.15"/>
    <d v="2025-03-30T00:00:00"/>
    <n v="397.06"/>
    <x v="11"/>
  </r>
  <r>
    <s v="CUST024"/>
    <s v="David Thomas"/>
    <x v="4"/>
    <x v="1"/>
    <n v="1465.35"/>
    <n v="8"/>
    <n v="0.2"/>
    <d v="2025-03-30T00:00:00"/>
    <n v="586.14"/>
    <x v="11"/>
  </r>
  <r>
    <s v="CUST028"/>
    <s v="Robert Anderson"/>
    <x v="2"/>
    <x v="4"/>
    <n v="740.8"/>
    <n v="3"/>
    <n v="0"/>
    <d v="2025-04-02T00:00:00"/>
    <n v="333.36"/>
    <x v="12"/>
  </r>
  <r>
    <s v="CUST015"/>
    <s v="Sarah Anderson"/>
    <x v="0"/>
    <x v="4"/>
    <n v="545.44000000000005"/>
    <n v="17"/>
    <n v="0"/>
    <d v="2025-04-05T00:00:00"/>
    <n v="245.45"/>
    <x v="12"/>
  </r>
  <r>
    <s v="CUST010"/>
    <s v="David Thomas"/>
    <x v="1"/>
    <x v="0"/>
    <n v="997.61"/>
    <n v="8"/>
    <n v="0.05"/>
    <d v="2025-04-05T00:00:00"/>
    <n v="379.09"/>
    <x v="12"/>
  </r>
  <r>
    <s v="CUST016"/>
    <s v="David Thomas"/>
    <x v="2"/>
    <x v="1"/>
    <n v="928.32"/>
    <n v="2"/>
    <n v="0.05"/>
    <d v="2025-04-07T00:00:00"/>
    <n v="440.95"/>
    <x v="12"/>
  </r>
  <r>
    <m/>
    <m/>
    <x v="5"/>
    <x v="5"/>
    <m/>
    <m/>
    <m/>
    <m/>
    <m/>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5C45F4-648C-4EA3-B78A-1B686664E6A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6:B61" firstHeaderRow="1" firstDataRow="1" firstDataCol="1"/>
  <pivotFields count="10">
    <pivotField showAll="0"/>
    <pivotField showAll="0"/>
    <pivotField showAll="0"/>
    <pivotField showAll="0"/>
    <pivotField dataField="1" showAll="0"/>
    <pivotField showAll="0"/>
    <pivotField showAll="0"/>
    <pivotField showAll="0"/>
    <pivotField showAll="0"/>
    <pivotField axis="axisRow" showAll="0">
      <items count="15">
        <item x="0"/>
        <item x="12"/>
        <item x="4"/>
        <item x="8"/>
        <item x="10"/>
        <item x="9"/>
        <item x="3"/>
        <item x="2"/>
        <item x="11"/>
        <item x="1"/>
        <item x="7"/>
        <item x="6"/>
        <item x="5"/>
        <item x="13"/>
        <item t="default"/>
      </items>
    </pivotField>
  </pivotFields>
  <rowFields count="1">
    <field x="9"/>
  </rowFields>
  <rowItems count="15">
    <i>
      <x/>
    </i>
    <i>
      <x v="1"/>
    </i>
    <i>
      <x v="2"/>
    </i>
    <i>
      <x v="3"/>
    </i>
    <i>
      <x v="4"/>
    </i>
    <i>
      <x v="5"/>
    </i>
    <i>
      <x v="6"/>
    </i>
    <i>
      <x v="7"/>
    </i>
    <i>
      <x v="8"/>
    </i>
    <i>
      <x v="9"/>
    </i>
    <i>
      <x v="10"/>
    </i>
    <i>
      <x v="11"/>
    </i>
    <i>
      <x v="12"/>
    </i>
    <i>
      <x v="13"/>
    </i>
    <i t="grand">
      <x/>
    </i>
  </rowItems>
  <colItems count="1">
    <i/>
  </colItems>
  <dataFields count="1">
    <dataField name="Sum of Sales" fld="4" baseField="0" baseItem="0"/>
  </dataFields>
  <formats count="30">
    <format dxfId="50">
      <pivotArea type="all" dataOnly="0" outline="0" fieldPosition="0"/>
    </format>
    <format dxfId="51">
      <pivotArea outline="0" collapsedLevelsAreSubtotals="1" fieldPosition="0"/>
    </format>
    <format dxfId="52">
      <pivotArea field="9" type="button" dataOnly="0" labelOnly="1" outline="0" axis="axisRow" fieldPosition="0"/>
    </format>
    <format dxfId="53">
      <pivotArea dataOnly="0" labelOnly="1" fieldPosition="0">
        <references count="1">
          <reference field="9" count="0"/>
        </references>
      </pivotArea>
    </format>
    <format dxfId="54">
      <pivotArea dataOnly="0" labelOnly="1" grandRow="1" outline="0" fieldPosition="0"/>
    </format>
    <format dxfId="55">
      <pivotArea dataOnly="0" labelOnly="1" outline="0" axis="axisValues" fieldPosition="0"/>
    </format>
    <format dxfId="56">
      <pivotArea field="9" type="button" dataOnly="0" labelOnly="1" outline="0" axis="axisRow" fieldPosition="0"/>
    </format>
    <format dxfId="57">
      <pivotArea dataOnly="0" labelOnly="1" outline="0" axis="axisValues" fieldPosition="0"/>
    </format>
    <format dxfId="58">
      <pivotArea field="9" type="button" dataOnly="0" labelOnly="1" outline="0" axis="axisRow" fieldPosition="0"/>
    </format>
    <format dxfId="59">
      <pivotArea dataOnly="0" labelOnly="1" outline="0" axis="axisValues" fieldPosition="0"/>
    </format>
    <format dxfId="60">
      <pivotArea field="9" type="button" dataOnly="0" labelOnly="1" outline="0" axis="axisRow" fieldPosition="0"/>
    </format>
    <format dxfId="61">
      <pivotArea dataOnly="0" labelOnly="1" outline="0" axis="axisValues" fieldPosition="0"/>
    </format>
    <format dxfId="62">
      <pivotArea field="9" dataOnly="0" grandRow="1" axis="axisRow" fieldPosition="0">
        <references count="1">
          <reference field="9" count="1">
            <x v="13"/>
          </reference>
        </references>
      </pivotArea>
    </format>
    <format dxfId="63">
      <pivotArea field="9" dataOnly="0" grandRow="1" axis="axisRow" fieldPosition="0">
        <references count="1">
          <reference field="9" count="1">
            <x v="13"/>
          </reference>
        </references>
      </pivotArea>
    </format>
    <format dxfId="64">
      <pivotArea collapsedLevelsAreSubtotals="1" fieldPosition="0">
        <references count="1">
          <reference field="9" count="0"/>
        </references>
      </pivotArea>
    </format>
    <format dxfId="65">
      <pivotArea dataOnly="0" labelOnly="1" fieldPosition="0">
        <references count="1">
          <reference field="9" count="0"/>
        </references>
      </pivotArea>
    </format>
    <format dxfId="49">
      <pivotArea field="9" type="button" dataOnly="0" labelOnly="1" outline="0" axis="axisRow" fieldPosition="0"/>
    </format>
    <format dxfId="48">
      <pivotArea dataOnly="0" labelOnly="1" outline="0" axis="axisValues" fieldPosition="0"/>
    </format>
    <format dxfId="47">
      <pivotArea field="9" type="button" dataOnly="0" labelOnly="1" outline="0" axis="axisRow" fieldPosition="0"/>
    </format>
    <format dxfId="46">
      <pivotArea dataOnly="0" labelOnly="1" outline="0" axis="axisValues" fieldPosition="0"/>
    </format>
    <format dxfId="45">
      <pivotArea field="9" type="button" dataOnly="0" labelOnly="1" outline="0" axis="axisRow" fieldPosition="0"/>
    </format>
    <format dxfId="44">
      <pivotArea dataOnly="0" labelOnly="1" outline="0" axis="axisValues" fieldPosition="0"/>
    </format>
    <format dxfId="43">
      <pivotArea collapsedLevelsAreSubtotals="1" fieldPosition="0">
        <references count="1">
          <reference field="9" count="13">
            <x v="0"/>
            <x v="1"/>
            <x v="2"/>
            <x v="3"/>
            <x v="4"/>
            <x v="5"/>
            <x v="6"/>
            <x v="7"/>
            <x v="8"/>
            <x v="9"/>
            <x v="10"/>
            <x v="11"/>
            <x v="12"/>
          </reference>
        </references>
      </pivotArea>
    </format>
    <format dxfId="42">
      <pivotArea dataOnly="0" labelOnly="1" fieldPosition="0">
        <references count="1">
          <reference field="9" count="13">
            <x v="0"/>
            <x v="1"/>
            <x v="2"/>
            <x v="3"/>
            <x v="4"/>
            <x v="5"/>
            <x v="6"/>
            <x v="7"/>
            <x v="8"/>
            <x v="9"/>
            <x v="10"/>
            <x v="11"/>
            <x v="12"/>
          </reference>
        </references>
      </pivotArea>
    </format>
    <format dxfId="41">
      <pivotArea collapsedLevelsAreSubtotals="1" fieldPosition="0">
        <references count="1">
          <reference field="9" count="1">
            <x v="13"/>
          </reference>
        </references>
      </pivotArea>
    </format>
    <format dxfId="40">
      <pivotArea dataOnly="0" labelOnly="1" fieldPosition="0">
        <references count="1">
          <reference field="9" count="1">
            <x v="13"/>
          </reference>
        </references>
      </pivotArea>
    </format>
    <format dxfId="39">
      <pivotArea grandRow="1" outline="0" collapsedLevelsAreSubtotals="1" fieldPosition="0"/>
    </format>
    <format dxfId="38">
      <pivotArea dataOnly="0" labelOnly="1" grandRow="1" outline="0" fieldPosition="0"/>
    </format>
    <format dxfId="37">
      <pivotArea grandRow="1" outline="0" collapsedLevelsAreSubtotals="1" fieldPosition="0"/>
    </format>
    <format dxfId="36">
      <pivotArea dataOnly="0" labelOnly="1" grandRow="1" outline="0" fieldPosition="0"/>
    </format>
  </formats>
  <chartFormats count="2">
    <chartFormat chart="11"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1B4729-9572-42FD-A738-E0E5260205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G10" firstHeaderRow="1" firstDataRow="2" firstDataCol="1"/>
  <pivotFields count="16">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4" showAll="0"/>
    <pivotField showAll="0"/>
    <pivotField showAll="0"/>
    <pivotField numFmtId="22" showAll="0"/>
    <pivotField showAll="0"/>
    <pivotField showAll="0"/>
    <pivotField showAll="0"/>
    <pivotField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formats count="10">
    <format dxfId="29">
      <pivotArea type="all" dataOnly="0" outline="0" fieldPosition="0"/>
    </format>
    <format dxfId="28">
      <pivotArea outline="0" collapsedLevelsAreSubtotals="1" fieldPosition="0"/>
    </format>
    <format dxfId="27">
      <pivotArea type="origin" dataOnly="0" labelOnly="1" outline="0" fieldPosition="0"/>
    </format>
    <format dxfId="26">
      <pivotArea field="3" type="button" dataOnly="0" labelOnly="1" outline="0" axis="axisCol" fieldPosition="0"/>
    </format>
    <format dxfId="25">
      <pivotArea type="topRight" dataOnly="0" labelOnly="1" outline="0" fieldPosition="0"/>
    </format>
    <format dxfId="24">
      <pivotArea field="2" type="button" dataOnly="0" labelOnly="1" outline="0" axis="axisRow" fieldPosition="0"/>
    </format>
    <format dxfId="23">
      <pivotArea dataOnly="0" labelOnly="1" fieldPosition="0">
        <references count="1">
          <reference field="2" count="0"/>
        </references>
      </pivotArea>
    </format>
    <format dxfId="22">
      <pivotArea dataOnly="0" labelOnly="1" grandRow="1" outline="0" fieldPosition="0"/>
    </format>
    <format dxfId="21">
      <pivotArea dataOnly="0" labelOnly="1" fieldPosition="0">
        <references count="1">
          <reference field="3" count="0"/>
        </references>
      </pivotArea>
    </format>
    <format dxfId="20">
      <pivotArea dataOnly="0" labelOnly="1" grandCol="1" outline="0" fieldPosition="0"/>
    </format>
  </formats>
  <chartFormats count="60">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pivotArea type="data" outline="0" fieldPosition="0">
        <references count="3">
          <reference field="4294967294" count="1" selected="0">
            <x v="0"/>
          </reference>
          <reference field="2" count="1" selected="0">
            <x v="0"/>
          </reference>
          <reference field="3" count="1" selected="0">
            <x v="0"/>
          </reference>
        </references>
      </pivotArea>
    </chartFormat>
    <chartFormat chart="1" format="6">
      <pivotArea type="data" outline="0" fieldPosition="0">
        <references count="3">
          <reference field="4294967294" count="1" selected="0">
            <x v="0"/>
          </reference>
          <reference field="2" count="1" selected="0">
            <x v="1"/>
          </reference>
          <reference field="3" count="1" selected="0">
            <x v="0"/>
          </reference>
        </references>
      </pivotArea>
    </chartFormat>
    <chartFormat chart="1" format="7">
      <pivotArea type="data" outline="0" fieldPosition="0">
        <references count="3">
          <reference field="4294967294" count="1" selected="0">
            <x v="0"/>
          </reference>
          <reference field="2" count="1" selected="0">
            <x v="2"/>
          </reference>
          <reference field="3" count="1" selected="0">
            <x v="0"/>
          </reference>
        </references>
      </pivotArea>
    </chartFormat>
    <chartFormat chart="1" format="8">
      <pivotArea type="data" outline="0" fieldPosition="0">
        <references count="3">
          <reference field="4294967294" count="1" selected="0">
            <x v="0"/>
          </reference>
          <reference field="2" count="1" selected="0">
            <x v="3"/>
          </reference>
          <reference field="3" count="1" selected="0">
            <x v="0"/>
          </reference>
        </references>
      </pivotArea>
    </chartFormat>
    <chartFormat chart="1" format="9">
      <pivotArea type="data" outline="0" fieldPosition="0">
        <references count="3">
          <reference field="4294967294" count="1" selected="0">
            <x v="0"/>
          </reference>
          <reference field="2" count="1" selected="0">
            <x v="4"/>
          </reference>
          <reference field="3" count="1" selected="0">
            <x v="0"/>
          </reference>
        </references>
      </pivotArea>
    </chartFormat>
    <chartFormat chart="1" format="10">
      <pivotArea type="data" outline="0" fieldPosition="0">
        <references count="3">
          <reference field="4294967294" count="1" selected="0">
            <x v="0"/>
          </reference>
          <reference field="2" count="1" selected="0">
            <x v="0"/>
          </reference>
          <reference field="3" count="1" selected="0">
            <x v="1"/>
          </reference>
        </references>
      </pivotArea>
    </chartFormat>
    <chartFormat chart="1" format="11">
      <pivotArea type="data" outline="0" fieldPosition="0">
        <references count="3">
          <reference field="4294967294" count="1" selected="0">
            <x v="0"/>
          </reference>
          <reference field="2" count="1" selected="0">
            <x v="1"/>
          </reference>
          <reference field="3" count="1" selected="0">
            <x v="1"/>
          </reference>
        </references>
      </pivotArea>
    </chartFormat>
    <chartFormat chart="1" format="12">
      <pivotArea type="data" outline="0" fieldPosition="0">
        <references count="3">
          <reference field="4294967294" count="1" selected="0">
            <x v="0"/>
          </reference>
          <reference field="2" count="1" selected="0">
            <x v="2"/>
          </reference>
          <reference field="3" count="1" selected="0">
            <x v="1"/>
          </reference>
        </references>
      </pivotArea>
    </chartFormat>
    <chartFormat chart="1" format="13">
      <pivotArea type="data" outline="0" fieldPosition="0">
        <references count="3">
          <reference field="4294967294" count="1" selected="0">
            <x v="0"/>
          </reference>
          <reference field="2" count="1" selected="0">
            <x v="3"/>
          </reference>
          <reference field="3" count="1" selected="0">
            <x v="1"/>
          </reference>
        </references>
      </pivotArea>
    </chartFormat>
    <chartFormat chart="1" format="14">
      <pivotArea type="data" outline="0" fieldPosition="0">
        <references count="3">
          <reference field="4294967294" count="1" selected="0">
            <x v="0"/>
          </reference>
          <reference field="2" count="1" selected="0">
            <x v="4"/>
          </reference>
          <reference field="3" count="1" selected="0">
            <x v="1"/>
          </reference>
        </references>
      </pivotArea>
    </chartFormat>
    <chartFormat chart="1" format="15">
      <pivotArea type="data" outline="0" fieldPosition="0">
        <references count="3">
          <reference field="4294967294" count="1" selected="0">
            <x v="0"/>
          </reference>
          <reference field="2" count="1" selected="0">
            <x v="0"/>
          </reference>
          <reference field="3" count="1" selected="0">
            <x v="2"/>
          </reference>
        </references>
      </pivotArea>
    </chartFormat>
    <chartFormat chart="1" format="16">
      <pivotArea type="data" outline="0" fieldPosition="0">
        <references count="3">
          <reference field="4294967294" count="1" selected="0">
            <x v="0"/>
          </reference>
          <reference field="2" count="1" selected="0">
            <x v="1"/>
          </reference>
          <reference field="3" count="1" selected="0">
            <x v="2"/>
          </reference>
        </references>
      </pivotArea>
    </chartFormat>
    <chartFormat chart="1" format="17">
      <pivotArea type="data" outline="0" fieldPosition="0">
        <references count="3">
          <reference field="4294967294" count="1" selected="0">
            <x v="0"/>
          </reference>
          <reference field="2" count="1" selected="0">
            <x v="2"/>
          </reference>
          <reference field="3" count="1" selected="0">
            <x v="2"/>
          </reference>
        </references>
      </pivotArea>
    </chartFormat>
    <chartFormat chart="1" format="18">
      <pivotArea type="data" outline="0" fieldPosition="0">
        <references count="3">
          <reference field="4294967294" count="1" selected="0">
            <x v="0"/>
          </reference>
          <reference field="2" count="1" selected="0">
            <x v="3"/>
          </reference>
          <reference field="3" count="1" selected="0">
            <x v="2"/>
          </reference>
        </references>
      </pivotArea>
    </chartFormat>
    <chartFormat chart="1" format="19">
      <pivotArea type="data" outline="0" fieldPosition="0">
        <references count="3">
          <reference field="4294967294" count="1" selected="0">
            <x v="0"/>
          </reference>
          <reference field="2" count="1" selected="0">
            <x v="4"/>
          </reference>
          <reference field="3" count="1" selected="0">
            <x v="2"/>
          </reference>
        </references>
      </pivotArea>
    </chartFormat>
    <chartFormat chart="1" format="20">
      <pivotArea type="data" outline="0" fieldPosition="0">
        <references count="3">
          <reference field="4294967294" count="1" selected="0">
            <x v="0"/>
          </reference>
          <reference field="2" count="1" selected="0">
            <x v="0"/>
          </reference>
          <reference field="3" count="1" selected="0">
            <x v="3"/>
          </reference>
        </references>
      </pivotArea>
    </chartFormat>
    <chartFormat chart="1" format="21">
      <pivotArea type="data" outline="0" fieldPosition="0">
        <references count="3">
          <reference field="4294967294" count="1" selected="0">
            <x v="0"/>
          </reference>
          <reference field="2" count="1" selected="0">
            <x v="1"/>
          </reference>
          <reference field="3" count="1" selected="0">
            <x v="3"/>
          </reference>
        </references>
      </pivotArea>
    </chartFormat>
    <chartFormat chart="1" format="22">
      <pivotArea type="data" outline="0" fieldPosition="0">
        <references count="3">
          <reference field="4294967294" count="1" selected="0">
            <x v="0"/>
          </reference>
          <reference field="2" count="1" selected="0">
            <x v="2"/>
          </reference>
          <reference field="3" count="1" selected="0">
            <x v="3"/>
          </reference>
        </references>
      </pivotArea>
    </chartFormat>
    <chartFormat chart="1" format="23">
      <pivotArea type="data" outline="0" fieldPosition="0">
        <references count="3">
          <reference field="4294967294" count="1" selected="0">
            <x v="0"/>
          </reference>
          <reference field="2" count="1" selected="0">
            <x v="3"/>
          </reference>
          <reference field="3" count="1" selected="0">
            <x v="3"/>
          </reference>
        </references>
      </pivotArea>
    </chartFormat>
    <chartFormat chart="1" format="24">
      <pivotArea type="data" outline="0" fieldPosition="0">
        <references count="3">
          <reference field="4294967294" count="1" selected="0">
            <x v="0"/>
          </reference>
          <reference field="2" count="1" selected="0">
            <x v="4"/>
          </reference>
          <reference field="3" count="1" selected="0">
            <x v="3"/>
          </reference>
        </references>
      </pivotArea>
    </chartFormat>
    <chartFormat chart="1" format="25">
      <pivotArea type="data" outline="0" fieldPosition="0">
        <references count="3">
          <reference field="4294967294" count="1" selected="0">
            <x v="0"/>
          </reference>
          <reference field="2" count="1" selected="0">
            <x v="0"/>
          </reference>
          <reference field="3" count="1" selected="0">
            <x v="4"/>
          </reference>
        </references>
      </pivotArea>
    </chartFormat>
    <chartFormat chart="1" format="26">
      <pivotArea type="data" outline="0" fieldPosition="0">
        <references count="3">
          <reference field="4294967294" count="1" selected="0">
            <x v="0"/>
          </reference>
          <reference field="2" count="1" selected="0">
            <x v="1"/>
          </reference>
          <reference field="3" count="1" selected="0">
            <x v="4"/>
          </reference>
        </references>
      </pivotArea>
    </chartFormat>
    <chartFormat chart="1" format="27">
      <pivotArea type="data" outline="0" fieldPosition="0">
        <references count="3">
          <reference field="4294967294" count="1" selected="0">
            <x v="0"/>
          </reference>
          <reference field="2" count="1" selected="0">
            <x v="2"/>
          </reference>
          <reference field="3" count="1" selected="0">
            <x v="4"/>
          </reference>
        </references>
      </pivotArea>
    </chartFormat>
    <chartFormat chart="1" format="28">
      <pivotArea type="data" outline="0" fieldPosition="0">
        <references count="3">
          <reference field="4294967294" count="1" selected="0">
            <x v="0"/>
          </reference>
          <reference field="2" count="1" selected="0">
            <x v="3"/>
          </reference>
          <reference field="3" count="1" selected="0">
            <x v="4"/>
          </reference>
        </references>
      </pivotArea>
    </chartFormat>
    <chartFormat chart="1" format="29">
      <pivotArea type="data" outline="0" fieldPosition="0">
        <references count="3">
          <reference field="4294967294" count="1" selected="0">
            <x v="0"/>
          </reference>
          <reference field="2" count="1" selected="0">
            <x v="4"/>
          </reference>
          <reference field="3" count="1" selected="0">
            <x v="4"/>
          </reference>
        </references>
      </pivotArea>
    </chartFormat>
    <chartFormat chart="5" format="60" series="1">
      <pivotArea type="data" outline="0" fieldPosition="0">
        <references count="2">
          <reference field="4294967294" count="1" selected="0">
            <x v="0"/>
          </reference>
          <reference field="3" count="1" selected="0">
            <x v="0"/>
          </reference>
        </references>
      </pivotArea>
    </chartFormat>
    <chartFormat chart="5" format="61">
      <pivotArea type="data" outline="0" fieldPosition="0">
        <references count="3">
          <reference field="4294967294" count="1" selected="0">
            <x v="0"/>
          </reference>
          <reference field="2" count="1" selected="0">
            <x v="0"/>
          </reference>
          <reference field="3" count="1" selected="0">
            <x v="0"/>
          </reference>
        </references>
      </pivotArea>
    </chartFormat>
    <chartFormat chart="5" format="62">
      <pivotArea type="data" outline="0" fieldPosition="0">
        <references count="3">
          <reference field="4294967294" count="1" selected="0">
            <x v="0"/>
          </reference>
          <reference field="2" count="1" selected="0">
            <x v="1"/>
          </reference>
          <reference field="3" count="1" selected="0">
            <x v="0"/>
          </reference>
        </references>
      </pivotArea>
    </chartFormat>
    <chartFormat chart="5" format="63">
      <pivotArea type="data" outline="0" fieldPosition="0">
        <references count="3">
          <reference field="4294967294" count="1" selected="0">
            <x v="0"/>
          </reference>
          <reference field="2" count="1" selected="0">
            <x v="2"/>
          </reference>
          <reference field="3" count="1" selected="0">
            <x v="0"/>
          </reference>
        </references>
      </pivotArea>
    </chartFormat>
    <chartFormat chart="5" format="64">
      <pivotArea type="data" outline="0" fieldPosition="0">
        <references count="3">
          <reference field="4294967294" count="1" selected="0">
            <x v="0"/>
          </reference>
          <reference field="2" count="1" selected="0">
            <x v="3"/>
          </reference>
          <reference field="3" count="1" selected="0">
            <x v="0"/>
          </reference>
        </references>
      </pivotArea>
    </chartFormat>
    <chartFormat chart="5" format="65">
      <pivotArea type="data" outline="0" fieldPosition="0">
        <references count="3">
          <reference field="4294967294" count="1" selected="0">
            <x v="0"/>
          </reference>
          <reference field="2" count="1" selected="0">
            <x v="4"/>
          </reference>
          <reference field="3" count="1" selected="0">
            <x v="0"/>
          </reference>
        </references>
      </pivotArea>
    </chartFormat>
    <chartFormat chart="5" format="66" series="1">
      <pivotArea type="data" outline="0" fieldPosition="0">
        <references count="2">
          <reference field="4294967294" count="1" selected="0">
            <x v="0"/>
          </reference>
          <reference field="3" count="1" selected="0">
            <x v="1"/>
          </reference>
        </references>
      </pivotArea>
    </chartFormat>
    <chartFormat chart="5" format="67">
      <pivotArea type="data" outline="0" fieldPosition="0">
        <references count="3">
          <reference field="4294967294" count="1" selected="0">
            <x v="0"/>
          </reference>
          <reference field="2" count="1" selected="0">
            <x v="0"/>
          </reference>
          <reference field="3" count="1" selected="0">
            <x v="1"/>
          </reference>
        </references>
      </pivotArea>
    </chartFormat>
    <chartFormat chart="5" format="68">
      <pivotArea type="data" outline="0" fieldPosition="0">
        <references count="3">
          <reference field="4294967294" count="1" selected="0">
            <x v="0"/>
          </reference>
          <reference field="2" count="1" selected="0">
            <x v="1"/>
          </reference>
          <reference field="3" count="1" selected="0">
            <x v="1"/>
          </reference>
        </references>
      </pivotArea>
    </chartFormat>
    <chartFormat chart="5" format="69">
      <pivotArea type="data" outline="0" fieldPosition="0">
        <references count="3">
          <reference field="4294967294" count="1" selected="0">
            <x v="0"/>
          </reference>
          <reference field="2" count="1" selected="0">
            <x v="2"/>
          </reference>
          <reference field="3" count="1" selected="0">
            <x v="1"/>
          </reference>
        </references>
      </pivotArea>
    </chartFormat>
    <chartFormat chart="5" format="70">
      <pivotArea type="data" outline="0" fieldPosition="0">
        <references count="3">
          <reference field="4294967294" count="1" selected="0">
            <x v="0"/>
          </reference>
          <reference field="2" count="1" selected="0">
            <x v="3"/>
          </reference>
          <reference field="3" count="1" selected="0">
            <x v="1"/>
          </reference>
        </references>
      </pivotArea>
    </chartFormat>
    <chartFormat chart="5" format="71">
      <pivotArea type="data" outline="0" fieldPosition="0">
        <references count="3">
          <reference field="4294967294" count="1" selected="0">
            <x v="0"/>
          </reference>
          <reference field="2" count="1" selected="0">
            <x v="4"/>
          </reference>
          <reference field="3" count="1" selected="0">
            <x v="1"/>
          </reference>
        </references>
      </pivotArea>
    </chartFormat>
    <chartFormat chart="5" format="72" series="1">
      <pivotArea type="data" outline="0" fieldPosition="0">
        <references count="2">
          <reference field="4294967294" count="1" selected="0">
            <x v="0"/>
          </reference>
          <reference field="3" count="1" selected="0">
            <x v="2"/>
          </reference>
        </references>
      </pivotArea>
    </chartFormat>
    <chartFormat chart="5" format="73">
      <pivotArea type="data" outline="0" fieldPosition="0">
        <references count="3">
          <reference field="4294967294" count="1" selected="0">
            <x v="0"/>
          </reference>
          <reference field="2" count="1" selected="0">
            <x v="0"/>
          </reference>
          <reference field="3" count="1" selected="0">
            <x v="2"/>
          </reference>
        </references>
      </pivotArea>
    </chartFormat>
    <chartFormat chart="5" format="74">
      <pivotArea type="data" outline="0" fieldPosition="0">
        <references count="3">
          <reference field="4294967294" count="1" selected="0">
            <x v="0"/>
          </reference>
          <reference field="2" count="1" selected="0">
            <x v="1"/>
          </reference>
          <reference field="3" count="1" selected="0">
            <x v="2"/>
          </reference>
        </references>
      </pivotArea>
    </chartFormat>
    <chartFormat chart="5" format="75">
      <pivotArea type="data" outline="0" fieldPosition="0">
        <references count="3">
          <reference field="4294967294" count="1" selected="0">
            <x v="0"/>
          </reference>
          <reference field="2" count="1" selected="0">
            <x v="2"/>
          </reference>
          <reference field="3" count="1" selected="0">
            <x v="2"/>
          </reference>
        </references>
      </pivotArea>
    </chartFormat>
    <chartFormat chart="5" format="76">
      <pivotArea type="data" outline="0" fieldPosition="0">
        <references count="3">
          <reference field="4294967294" count="1" selected="0">
            <x v="0"/>
          </reference>
          <reference field="2" count="1" selected="0">
            <x v="3"/>
          </reference>
          <reference field="3" count="1" selected="0">
            <x v="2"/>
          </reference>
        </references>
      </pivotArea>
    </chartFormat>
    <chartFormat chart="5" format="77">
      <pivotArea type="data" outline="0" fieldPosition="0">
        <references count="3">
          <reference field="4294967294" count="1" selected="0">
            <x v="0"/>
          </reference>
          <reference field="2" count="1" selected="0">
            <x v="4"/>
          </reference>
          <reference field="3" count="1" selected="0">
            <x v="2"/>
          </reference>
        </references>
      </pivotArea>
    </chartFormat>
    <chartFormat chart="5" format="78" series="1">
      <pivotArea type="data" outline="0" fieldPosition="0">
        <references count="2">
          <reference field="4294967294" count="1" selected="0">
            <x v="0"/>
          </reference>
          <reference field="3" count="1" selected="0">
            <x v="3"/>
          </reference>
        </references>
      </pivotArea>
    </chartFormat>
    <chartFormat chart="5" format="79">
      <pivotArea type="data" outline="0" fieldPosition="0">
        <references count="3">
          <reference field="4294967294" count="1" selected="0">
            <x v="0"/>
          </reference>
          <reference field="2" count="1" selected="0">
            <x v="0"/>
          </reference>
          <reference field="3" count="1" selected="0">
            <x v="3"/>
          </reference>
        </references>
      </pivotArea>
    </chartFormat>
    <chartFormat chart="5" format="80">
      <pivotArea type="data" outline="0" fieldPosition="0">
        <references count="3">
          <reference field="4294967294" count="1" selected="0">
            <x v="0"/>
          </reference>
          <reference field="2" count="1" selected="0">
            <x v="1"/>
          </reference>
          <reference field="3" count="1" selected="0">
            <x v="3"/>
          </reference>
        </references>
      </pivotArea>
    </chartFormat>
    <chartFormat chart="5" format="81">
      <pivotArea type="data" outline="0" fieldPosition="0">
        <references count="3">
          <reference field="4294967294" count="1" selected="0">
            <x v="0"/>
          </reference>
          <reference field="2" count="1" selected="0">
            <x v="2"/>
          </reference>
          <reference field="3" count="1" selected="0">
            <x v="3"/>
          </reference>
        </references>
      </pivotArea>
    </chartFormat>
    <chartFormat chart="5" format="82">
      <pivotArea type="data" outline="0" fieldPosition="0">
        <references count="3">
          <reference field="4294967294" count="1" selected="0">
            <x v="0"/>
          </reference>
          <reference field="2" count="1" selected="0">
            <x v="3"/>
          </reference>
          <reference field="3" count="1" selected="0">
            <x v="3"/>
          </reference>
        </references>
      </pivotArea>
    </chartFormat>
    <chartFormat chart="5" format="83">
      <pivotArea type="data" outline="0" fieldPosition="0">
        <references count="3">
          <reference field="4294967294" count="1" selected="0">
            <x v="0"/>
          </reference>
          <reference field="2" count="1" selected="0">
            <x v="4"/>
          </reference>
          <reference field="3" count="1" selected="0">
            <x v="3"/>
          </reference>
        </references>
      </pivotArea>
    </chartFormat>
    <chartFormat chart="5" format="84" series="1">
      <pivotArea type="data" outline="0" fieldPosition="0">
        <references count="2">
          <reference field="4294967294" count="1" selected="0">
            <x v="0"/>
          </reference>
          <reference field="3" count="1" selected="0">
            <x v="4"/>
          </reference>
        </references>
      </pivotArea>
    </chartFormat>
    <chartFormat chart="5" format="85">
      <pivotArea type="data" outline="0" fieldPosition="0">
        <references count="3">
          <reference field="4294967294" count="1" selected="0">
            <x v="0"/>
          </reference>
          <reference field="2" count="1" selected="0">
            <x v="0"/>
          </reference>
          <reference field="3" count="1" selected="0">
            <x v="4"/>
          </reference>
        </references>
      </pivotArea>
    </chartFormat>
    <chartFormat chart="5" format="86">
      <pivotArea type="data" outline="0" fieldPosition="0">
        <references count="3">
          <reference field="4294967294" count="1" selected="0">
            <x v="0"/>
          </reference>
          <reference field="2" count="1" selected="0">
            <x v="1"/>
          </reference>
          <reference field="3" count="1" selected="0">
            <x v="4"/>
          </reference>
        </references>
      </pivotArea>
    </chartFormat>
    <chartFormat chart="5" format="87">
      <pivotArea type="data" outline="0" fieldPosition="0">
        <references count="3">
          <reference field="4294967294" count="1" selected="0">
            <x v="0"/>
          </reference>
          <reference field="2" count="1" selected="0">
            <x v="2"/>
          </reference>
          <reference field="3" count="1" selected="0">
            <x v="4"/>
          </reference>
        </references>
      </pivotArea>
    </chartFormat>
    <chartFormat chart="5" format="88">
      <pivotArea type="data" outline="0" fieldPosition="0">
        <references count="3">
          <reference field="4294967294" count="1" selected="0">
            <x v="0"/>
          </reference>
          <reference field="2" count="1" selected="0">
            <x v="3"/>
          </reference>
          <reference field="3" count="1" selected="0">
            <x v="4"/>
          </reference>
        </references>
      </pivotArea>
    </chartFormat>
    <chartFormat chart="5" format="89">
      <pivotArea type="data" outline="0" fieldPosition="0">
        <references count="3">
          <reference field="4294967294" count="1" selected="0">
            <x v="0"/>
          </reference>
          <reference field="2" count="1" selected="0">
            <x v="4"/>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F64E3E-303E-432C-A096-3921F2E8E8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B37" firstHeaderRow="1" firstDataRow="1" firstDataCol="1"/>
  <pivotFields count="16">
    <pivotField showAll="0"/>
    <pivotField showAll="0"/>
    <pivotField axis="axisRow" showAll="0">
      <items count="6">
        <item x="4"/>
        <item x="1"/>
        <item x="3"/>
        <item x="2"/>
        <item x="0"/>
        <item t="default"/>
      </items>
    </pivotField>
    <pivotField showAll="0"/>
    <pivotField dataField="1" showAll="0"/>
    <pivotField showAll="0"/>
    <pivotField showAll="0"/>
    <pivotField numFmtId="14" showAll="0"/>
    <pivotField showAll="0"/>
    <pivotField showAll="0"/>
    <pivotField numFmtId="22"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Sales" fld="4" baseField="0" baseItem="0"/>
  </dataFields>
  <formats count="6">
    <format dxfId="35">
      <pivotArea type="all" dataOnly="0" outline="0" fieldPosition="0"/>
    </format>
    <format dxfId="34">
      <pivotArea outline="0" collapsedLevelsAreSubtotals="1" fieldPosition="0"/>
    </format>
    <format dxfId="33">
      <pivotArea field="2" type="button" dataOnly="0" labelOnly="1" outline="0" axis="axisRow" fieldPosition="0"/>
    </format>
    <format dxfId="32">
      <pivotArea dataOnly="0" labelOnly="1" fieldPosition="0">
        <references count="1">
          <reference field="2" count="0"/>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21BCB9-84FF-456B-9994-C85B7486DD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0:G87" firstHeaderRow="1" firstDataRow="2" firstDataCol="1"/>
  <pivotFields count="16">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4" showAll="0"/>
    <pivotField showAll="0"/>
    <pivotField showAll="0"/>
    <pivotField numFmtId="22" showAll="0"/>
    <pivotField showAll="0"/>
    <pivotField showAll="0"/>
    <pivotField showAll="0"/>
    <pivotField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formats count="10">
    <format dxfId="10">
      <pivotArea type="all" dataOnly="0" outline="0" fieldPosition="0"/>
    </format>
    <format dxfId="11">
      <pivotArea outline="0" collapsedLevelsAreSubtotals="1" fieldPosition="0"/>
    </format>
    <format dxfId="12">
      <pivotArea type="origin" dataOnly="0" labelOnly="1" outline="0" fieldPosition="0"/>
    </format>
    <format dxfId="13">
      <pivotArea field="3" type="button" dataOnly="0" labelOnly="1" outline="0" axis="axisCol" fieldPosition="0"/>
    </format>
    <format dxfId="14">
      <pivotArea type="topRight" dataOnly="0" labelOnly="1" outline="0" fieldPosition="0"/>
    </format>
    <format dxfId="15">
      <pivotArea field="2" type="button" dataOnly="0" labelOnly="1" outline="0" axis="axisRow" fieldPosition="0"/>
    </format>
    <format dxfId="16">
      <pivotArea dataOnly="0" labelOnly="1" fieldPosition="0">
        <references count="1">
          <reference field="2" count="0"/>
        </references>
      </pivotArea>
    </format>
    <format dxfId="17">
      <pivotArea dataOnly="0" labelOnly="1" grandRow="1" outline="0" fieldPosition="0"/>
    </format>
    <format dxfId="18">
      <pivotArea dataOnly="0" labelOnly="1" fieldPosition="0">
        <references count="1">
          <reference field="3" count="0"/>
        </references>
      </pivotArea>
    </format>
    <format dxfId="19">
      <pivotArea dataOnly="0" labelOnly="1" grandCol="1" outline="0" fieldPosition="0"/>
    </format>
  </formats>
  <chartFormats count="60">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pivotArea type="data" outline="0" fieldPosition="0">
        <references count="3">
          <reference field="4294967294" count="1" selected="0">
            <x v="0"/>
          </reference>
          <reference field="2" count="1" selected="0">
            <x v="0"/>
          </reference>
          <reference field="3" count="1" selected="0">
            <x v="0"/>
          </reference>
        </references>
      </pivotArea>
    </chartFormat>
    <chartFormat chart="1" format="6">
      <pivotArea type="data" outline="0" fieldPosition="0">
        <references count="3">
          <reference field="4294967294" count="1" selected="0">
            <x v="0"/>
          </reference>
          <reference field="2" count="1" selected="0">
            <x v="1"/>
          </reference>
          <reference field="3" count="1" selected="0">
            <x v="0"/>
          </reference>
        </references>
      </pivotArea>
    </chartFormat>
    <chartFormat chart="1" format="7">
      <pivotArea type="data" outline="0" fieldPosition="0">
        <references count="3">
          <reference field="4294967294" count="1" selected="0">
            <x v="0"/>
          </reference>
          <reference field="2" count="1" selected="0">
            <x v="2"/>
          </reference>
          <reference field="3" count="1" selected="0">
            <x v="0"/>
          </reference>
        </references>
      </pivotArea>
    </chartFormat>
    <chartFormat chart="1" format="8">
      <pivotArea type="data" outline="0" fieldPosition="0">
        <references count="3">
          <reference field="4294967294" count="1" selected="0">
            <x v="0"/>
          </reference>
          <reference field="2" count="1" selected="0">
            <x v="3"/>
          </reference>
          <reference field="3" count="1" selected="0">
            <x v="0"/>
          </reference>
        </references>
      </pivotArea>
    </chartFormat>
    <chartFormat chart="1" format="9">
      <pivotArea type="data" outline="0" fieldPosition="0">
        <references count="3">
          <reference field="4294967294" count="1" selected="0">
            <x v="0"/>
          </reference>
          <reference field="2" count="1" selected="0">
            <x v="4"/>
          </reference>
          <reference field="3" count="1" selected="0">
            <x v="0"/>
          </reference>
        </references>
      </pivotArea>
    </chartFormat>
    <chartFormat chart="1" format="10">
      <pivotArea type="data" outline="0" fieldPosition="0">
        <references count="3">
          <reference field="4294967294" count="1" selected="0">
            <x v="0"/>
          </reference>
          <reference field="2" count="1" selected="0">
            <x v="0"/>
          </reference>
          <reference field="3" count="1" selected="0">
            <x v="1"/>
          </reference>
        </references>
      </pivotArea>
    </chartFormat>
    <chartFormat chart="1" format="11">
      <pivotArea type="data" outline="0" fieldPosition="0">
        <references count="3">
          <reference field="4294967294" count="1" selected="0">
            <x v="0"/>
          </reference>
          <reference field="2" count="1" selected="0">
            <x v="1"/>
          </reference>
          <reference field="3" count="1" selected="0">
            <x v="1"/>
          </reference>
        </references>
      </pivotArea>
    </chartFormat>
    <chartFormat chart="1" format="12">
      <pivotArea type="data" outline="0" fieldPosition="0">
        <references count="3">
          <reference field="4294967294" count="1" selected="0">
            <x v="0"/>
          </reference>
          <reference field="2" count="1" selected="0">
            <x v="2"/>
          </reference>
          <reference field="3" count="1" selected="0">
            <x v="1"/>
          </reference>
        </references>
      </pivotArea>
    </chartFormat>
    <chartFormat chart="1" format="13">
      <pivotArea type="data" outline="0" fieldPosition="0">
        <references count="3">
          <reference field="4294967294" count="1" selected="0">
            <x v="0"/>
          </reference>
          <reference field="2" count="1" selected="0">
            <x v="3"/>
          </reference>
          <reference field="3" count="1" selected="0">
            <x v="1"/>
          </reference>
        </references>
      </pivotArea>
    </chartFormat>
    <chartFormat chart="1" format="14">
      <pivotArea type="data" outline="0" fieldPosition="0">
        <references count="3">
          <reference field="4294967294" count="1" selected="0">
            <x v="0"/>
          </reference>
          <reference field="2" count="1" selected="0">
            <x v="4"/>
          </reference>
          <reference field="3" count="1" selected="0">
            <x v="1"/>
          </reference>
        </references>
      </pivotArea>
    </chartFormat>
    <chartFormat chart="1" format="15">
      <pivotArea type="data" outline="0" fieldPosition="0">
        <references count="3">
          <reference field="4294967294" count="1" selected="0">
            <x v="0"/>
          </reference>
          <reference field="2" count="1" selected="0">
            <x v="0"/>
          </reference>
          <reference field="3" count="1" selected="0">
            <x v="2"/>
          </reference>
        </references>
      </pivotArea>
    </chartFormat>
    <chartFormat chart="1" format="16">
      <pivotArea type="data" outline="0" fieldPosition="0">
        <references count="3">
          <reference field="4294967294" count="1" selected="0">
            <x v="0"/>
          </reference>
          <reference field="2" count="1" selected="0">
            <x v="1"/>
          </reference>
          <reference field="3" count="1" selected="0">
            <x v="2"/>
          </reference>
        </references>
      </pivotArea>
    </chartFormat>
    <chartFormat chart="1" format="17">
      <pivotArea type="data" outline="0" fieldPosition="0">
        <references count="3">
          <reference field="4294967294" count="1" selected="0">
            <x v="0"/>
          </reference>
          <reference field="2" count="1" selected="0">
            <x v="2"/>
          </reference>
          <reference field="3" count="1" selected="0">
            <x v="2"/>
          </reference>
        </references>
      </pivotArea>
    </chartFormat>
    <chartFormat chart="1" format="18">
      <pivotArea type="data" outline="0" fieldPosition="0">
        <references count="3">
          <reference field="4294967294" count="1" selected="0">
            <x v="0"/>
          </reference>
          <reference field="2" count="1" selected="0">
            <x v="3"/>
          </reference>
          <reference field="3" count="1" selected="0">
            <x v="2"/>
          </reference>
        </references>
      </pivotArea>
    </chartFormat>
    <chartFormat chart="1" format="19">
      <pivotArea type="data" outline="0" fieldPosition="0">
        <references count="3">
          <reference field="4294967294" count="1" selected="0">
            <x v="0"/>
          </reference>
          <reference field="2" count="1" selected="0">
            <x v="4"/>
          </reference>
          <reference field="3" count="1" selected="0">
            <x v="2"/>
          </reference>
        </references>
      </pivotArea>
    </chartFormat>
    <chartFormat chart="1" format="20">
      <pivotArea type="data" outline="0" fieldPosition="0">
        <references count="3">
          <reference field="4294967294" count="1" selected="0">
            <x v="0"/>
          </reference>
          <reference field="2" count="1" selected="0">
            <x v="0"/>
          </reference>
          <reference field="3" count="1" selected="0">
            <x v="3"/>
          </reference>
        </references>
      </pivotArea>
    </chartFormat>
    <chartFormat chart="1" format="21">
      <pivotArea type="data" outline="0" fieldPosition="0">
        <references count="3">
          <reference field="4294967294" count="1" selected="0">
            <x v="0"/>
          </reference>
          <reference field="2" count="1" selected="0">
            <x v="1"/>
          </reference>
          <reference field="3" count="1" selected="0">
            <x v="3"/>
          </reference>
        </references>
      </pivotArea>
    </chartFormat>
    <chartFormat chart="1" format="22">
      <pivotArea type="data" outline="0" fieldPosition="0">
        <references count="3">
          <reference field="4294967294" count="1" selected="0">
            <x v="0"/>
          </reference>
          <reference field="2" count="1" selected="0">
            <x v="2"/>
          </reference>
          <reference field="3" count="1" selected="0">
            <x v="3"/>
          </reference>
        </references>
      </pivotArea>
    </chartFormat>
    <chartFormat chart="1" format="23">
      <pivotArea type="data" outline="0" fieldPosition="0">
        <references count="3">
          <reference field="4294967294" count="1" selected="0">
            <x v="0"/>
          </reference>
          <reference field="2" count="1" selected="0">
            <x v="3"/>
          </reference>
          <reference field="3" count="1" selected="0">
            <x v="3"/>
          </reference>
        </references>
      </pivotArea>
    </chartFormat>
    <chartFormat chart="1" format="24">
      <pivotArea type="data" outline="0" fieldPosition="0">
        <references count="3">
          <reference field="4294967294" count="1" selected="0">
            <x v="0"/>
          </reference>
          <reference field="2" count="1" selected="0">
            <x v="4"/>
          </reference>
          <reference field="3" count="1" selected="0">
            <x v="3"/>
          </reference>
        </references>
      </pivotArea>
    </chartFormat>
    <chartFormat chart="1" format="25">
      <pivotArea type="data" outline="0" fieldPosition="0">
        <references count="3">
          <reference field="4294967294" count="1" selected="0">
            <x v="0"/>
          </reference>
          <reference field="2" count="1" selected="0">
            <x v="0"/>
          </reference>
          <reference field="3" count="1" selected="0">
            <x v="4"/>
          </reference>
        </references>
      </pivotArea>
    </chartFormat>
    <chartFormat chart="1" format="26">
      <pivotArea type="data" outline="0" fieldPosition="0">
        <references count="3">
          <reference field="4294967294" count="1" selected="0">
            <x v="0"/>
          </reference>
          <reference field="2" count="1" selected="0">
            <x v="1"/>
          </reference>
          <reference field="3" count="1" selected="0">
            <x v="4"/>
          </reference>
        </references>
      </pivotArea>
    </chartFormat>
    <chartFormat chart="1" format="27">
      <pivotArea type="data" outline="0" fieldPosition="0">
        <references count="3">
          <reference field="4294967294" count="1" selected="0">
            <x v="0"/>
          </reference>
          <reference field="2" count="1" selected="0">
            <x v="2"/>
          </reference>
          <reference field="3" count="1" selected="0">
            <x v="4"/>
          </reference>
        </references>
      </pivotArea>
    </chartFormat>
    <chartFormat chart="1" format="28">
      <pivotArea type="data" outline="0" fieldPosition="0">
        <references count="3">
          <reference field="4294967294" count="1" selected="0">
            <x v="0"/>
          </reference>
          <reference field="2" count="1" selected="0">
            <x v="3"/>
          </reference>
          <reference field="3" count="1" selected="0">
            <x v="4"/>
          </reference>
        </references>
      </pivotArea>
    </chartFormat>
    <chartFormat chart="1" format="29">
      <pivotArea type="data" outline="0" fieldPosition="0">
        <references count="3">
          <reference field="4294967294" count="1" selected="0">
            <x v="0"/>
          </reference>
          <reference field="2" count="1" selected="0">
            <x v="4"/>
          </reference>
          <reference field="3" count="1" selected="0">
            <x v="4"/>
          </reference>
        </references>
      </pivotArea>
    </chartFormat>
    <chartFormat chart="5" format="60" series="1">
      <pivotArea type="data" outline="0" fieldPosition="0">
        <references count="2">
          <reference field="4294967294" count="1" selected="0">
            <x v="0"/>
          </reference>
          <reference field="3" count="1" selected="0">
            <x v="0"/>
          </reference>
        </references>
      </pivotArea>
    </chartFormat>
    <chartFormat chart="5" format="61">
      <pivotArea type="data" outline="0" fieldPosition="0">
        <references count="3">
          <reference field="4294967294" count="1" selected="0">
            <x v="0"/>
          </reference>
          <reference field="2" count="1" selected="0">
            <x v="0"/>
          </reference>
          <reference field="3" count="1" selected="0">
            <x v="0"/>
          </reference>
        </references>
      </pivotArea>
    </chartFormat>
    <chartFormat chart="5" format="62">
      <pivotArea type="data" outline="0" fieldPosition="0">
        <references count="3">
          <reference field="4294967294" count="1" selected="0">
            <x v="0"/>
          </reference>
          <reference field="2" count="1" selected="0">
            <x v="1"/>
          </reference>
          <reference field="3" count="1" selected="0">
            <x v="0"/>
          </reference>
        </references>
      </pivotArea>
    </chartFormat>
    <chartFormat chart="5" format="63">
      <pivotArea type="data" outline="0" fieldPosition="0">
        <references count="3">
          <reference field="4294967294" count="1" selected="0">
            <x v="0"/>
          </reference>
          <reference field="2" count="1" selected="0">
            <x v="2"/>
          </reference>
          <reference field="3" count="1" selected="0">
            <x v="0"/>
          </reference>
        </references>
      </pivotArea>
    </chartFormat>
    <chartFormat chart="5" format="64">
      <pivotArea type="data" outline="0" fieldPosition="0">
        <references count="3">
          <reference field="4294967294" count="1" selected="0">
            <x v="0"/>
          </reference>
          <reference field="2" count="1" selected="0">
            <x v="3"/>
          </reference>
          <reference field="3" count="1" selected="0">
            <x v="0"/>
          </reference>
        </references>
      </pivotArea>
    </chartFormat>
    <chartFormat chart="5" format="65">
      <pivotArea type="data" outline="0" fieldPosition="0">
        <references count="3">
          <reference field="4294967294" count="1" selected="0">
            <x v="0"/>
          </reference>
          <reference field="2" count="1" selected="0">
            <x v="4"/>
          </reference>
          <reference field="3" count="1" selected="0">
            <x v="0"/>
          </reference>
        </references>
      </pivotArea>
    </chartFormat>
    <chartFormat chart="5" format="66" series="1">
      <pivotArea type="data" outline="0" fieldPosition="0">
        <references count="2">
          <reference field="4294967294" count="1" selected="0">
            <x v="0"/>
          </reference>
          <reference field="3" count="1" selected="0">
            <x v="1"/>
          </reference>
        </references>
      </pivotArea>
    </chartFormat>
    <chartFormat chart="5" format="67">
      <pivotArea type="data" outline="0" fieldPosition="0">
        <references count="3">
          <reference field="4294967294" count="1" selected="0">
            <x v="0"/>
          </reference>
          <reference field="2" count="1" selected="0">
            <x v="0"/>
          </reference>
          <reference field="3" count="1" selected="0">
            <x v="1"/>
          </reference>
        </references>
      </pivotArea>
    </chartFormat>
    <chartFormat chart="5" format="68">
      <pivotArea type="data" outline="0" fieldPosition="0">
        <references count="3">
          <reference field="4294967294" count="1" selected="0">
            <x v="0"/>
          </reference>
          <reference field="2" count="1" selected="0">
            <x v="1"/>
          </reference>
          <reference field="3" count="1" selected="0">
            <x v="1"/>
          </reference>
        </references>
      </pivotArea>
    </chartFormat>
    <chartFormat chart="5" format="69">
      <pivotArea type="data" outline="0" fieldPosition="0">
        <references count="3">
          <reference field="4294967294" count="1" selected="0">
            <x v="0"/>
          </reference>
          <reference field="2" count="1" selected="0">
            <x v="2"/>
          </reference>
          <reference field="3" count="1" selected="0">
            <x v="1"/>
          </reference>
        </references>
      </pivotArea>
    </chartFormat>
    <chartFormat chart="5" format="70">
      <pivotArea type="data" outline="0" fieldPosition="0">
        <references count="3">
          <reference field="4294967294" count="1" selected="0">
            <x v="0"/>
          </reference>
          <reference field="2" count="1" selected="0">
            <x v="3"/>
          </reference>
          <reference field="3" count="1" selected="0">
            <x v="1"/>
          </reference>
        </references>
      </pivotArea>
    </chartFormat>
    <chartFormat chart="5" format="71">
      <pivotArea type="data" outline="0" fieldPosition="0">
        <references count="3">
          <reference field="4294967294" count="1" selected="0">
            <x v="0"/>
          </reference>
          <reference field="2" count="1" selected="0">
            <x v="4"/>
          </reference>
          <reference field="3" count="1" selected="0">
            <x v="1"/>
          </reference>
        </references>
      </pivotArea>
    </chartFormat>
    <chartFormat chart="5" format="72" series="1">
      <pivotArea type="data" outline="0" fieldPosition="0">
        <references count="2">
          <reference field="4294967294" count="1" selected="0">
            <x v="0"/>
          </reference>
          <reference field="3" count="1" selected="0">
            <x v="2"/>
          </reference>
        </references>
      </pivotArea>
    </chartFormat>
    <chartFormat chart="5" format="73">
      <pivotArea type="data" outline="0" fieldPosition="0">
        <references count="3">
          <reference field="4294967294" count="1" selected="0">
            <x v="0"/>
          </reference>
          <reference field="2" count="1" selected="0">
            <x v="0"/>
          </reference>
          <reference field="3" count="1" selected="0">
            <x v="2"/>
          </reference>
        </references>
      </pivotArea>
    </chartFormat>
    <chartFormat chart="5" format="74">
      <pivotArea type="data" outline="0" fieldPosition="0">
        <references count="3">
          <reference field="4294967294" count="1" selected="0">
            <x v="0"/>
          </reference>
          <reference field="2" count="1" selected="0">
            <x v="1"/>
          </reference>
          <reference field="3" count="1" selected="0">
            <x v="2"/>
          </reference>
        </references>
      </pivotArea>
    </chartFormat>
    <chartFormat chart="5" format="75">
      <pivotArea type="data" outline="0" fieldPosition="0">
        <references count="3">
          <reference field="4294967294" count="1" selected="0">
            <x v="0"/>
          </reference>
          <reference field="2" count="1" selected="0">
            <x v="2"/>
          </reference>
          <reference field="3" count="1" selected="0">
            <x v="2"/>
          </reference>
        </references>
      </pivotArea>
    </chartFormat>
    <chartFormat chart="5" format="76">
      <pivotArea type="data" outline="0" fieldPosition="0">
        <references count="3">
          <reference field="4294967294" count="1" selected="0">
            <x v="0"/>
          </reference>
          <reference field="2" count="1" selected="0">
            <x v="3"/>
          </reference>
          <reference field="3" count="1" selected="0">
            <x v="2"/>
          </reference>
        </references>
      </pivotArea>
    </chartFormat>
    <chartFormat chart="5" format="77">
      <pivotArea type="data" outline="0" fieldPosition="0">
        <references count="3">
          <reference field="4294967294" count="1" selected="0">
            <x v="0"/>
          </reference>
          <reference field="2" count="1" selected="0">
            <x v="4"/>
          </reference>
          <reference field="3" count="1" selected="0">
            <x v="2"/>
          </reference>
        </references>
      </pivotArea>
    </chartFormat>
    <chartFormat chart="5" format="78" series="1">
      <pivotArea type="data" outline="0" fieldPosition="0">
        <references count="2">
          <reference field="4294967294" count="1" selected="0">
            <x v="0"/>
          </reference>
          <reference field="3" count="1" selected="0">
            <x v="3"/>
          </reference>
        </references>
      </pivotArea>
    </chartFormat>
    <chartFormat chart="5" format="79">
      <pivotArea type="data" outline="0" fieldPosition="0">
        <references count="3">
          <reference field="4294967294" count="1" selected="0">
            <x v="0"/>
          </reference>
          <reference field="2" count="1" selected="0">
            <x v="0"/>
          </reference>
          <reference field="3" count="1" selected="0">
            <x v="3"/>
          </reference>
        </references>
      </pivotArea>
    </chartFormat>
    <chartFormat chart="5" format="80">
      <pivotArea type="data" outline="0" fieldPosition="0">
        <references count="3">
          <reference field="4294967294" count="1" selected="0">
            <x v="0"/>
          </reference>
          <reference field="2" count="1" selected="0">
            <x v="1"/>
          </reference>
          <reference field="3" count="1" selected="0">
            <x v="3"/>
          </reference>
        </references>
      </pivotArea>
    </chartFormat>
    <chartFormat chart="5" format="81">
      <pivotArea type="data" outline="0" fieldPosition="0">
        <references count="3">
          <reference field="4294967294" count="1" selected="0">
            <x v="0"/>
          </reference>
          <reference field="2" count="1" selected="0">
            <x v="2"/>
          </reference>
          <reference field="3" count="1" selected="0">
            <x v="3"/>
          </reference>
        </references>
      </pivotArea>
    </chartFormat>
    <chartFormat chart="5" format="82">
      <pivotArea type="data" outline="0" fieldPosition="0">
        <references count="3">
          <reference field="4294967294" count="1" selected="0">
            <x v="0"/>
          </reference>
          <reference field="2" count="1" selected="0">
            <x v="3"/>
          </reference>
          <reference field="3" count="1" selected="0">
            <x v="3"/>
          </reference>
        </references>
      </pivotArea>
    </chartFormat>
    <chartFormat chart="5" format="83">
      <pivotArea type="data" outline="0" fieldPosition="0">
        <references count="3">
          <reference field="4294967294" count="1" selected="0">
            <x v="0"/>
          </reference>
          <reference field="2" count="1" selected="0">
            <x v="4"/>
          </reference>
          <reference field="3" count="1" selected="0">
            <x v="3"/>
          </reference>
        </references>
      </pivotArea>
    </chartFormat>
    <chartFormat chart="5" format="84" series="1">
      <pivotArea type="data" outline="0" fieldPosition="0">
        <references count="2">
          <reference field="4294967294" count="1" selected="0">
            <x v="0"/>
          </reference>
          <reference field="3" count="1" selected="0">
            <x v="4"/>
          </reference>
        </references>
      </pivotArea>
    </chartFormat>
    <chartFormat chart="5" format="85">
      <pivotArea type="data" outline="0" fieldPosition="0">
        <references count="3">
          <reference field="4294967294" count="1" selected="0">
            <x v="0"/>
          </reference>
          <reference field="2" count="1" selected="0">
            <x v="0"/>
          </reference>
          <reference field="3" count="1" selected="0">
            <x v="4"/>
          </reference>
        </references>
      </pivotArea>
    </chartFormat>
    <chartFormat chart="5" format="86">
      <pivotArea type="data" outline="0" fieldPosition="0">
        <references count="3">
          <reference field="4294967294" count="1" selected="0">
            <x v="0"/>
          </reference>
          <reference field="2" count="1" selected="0">
            <x v="1"/>
          </reference>
          <reference field="3" count="1" selected="0">
            <x v="4"/>
          </reference>
        </references>
      </pivotArea>
    </chartFormat>
    <chartFormat chart="5" format="87">
      <pivotArea type="data" outline="0" fieldPosition="0">
        <references count="3">
          <reference field="4294967294" count="1" selected="0">
            <x v="0"/>
          </reference>
          <reference field="2" count="1" selected="0">
            <x v="2"/>
          </reference>
          <reference field="3" count="1" selected="0">
            <x v="4"/>
          </reference>
        </references>
      </pivotArea>
    </chartFormat>
    <chartFormat chart="5" format="88">
      <pivotArea type="data" outline="0" fieldPosition="0">
        <references count="3">
          <reference field="4294967294" count="1" selected="0">
            <x v="0"/>
          </reference>
          <reference field="2" count="1" selected="0">
            <x v="3"/>
          </reference>
          <reference field="3" count="1" selected="0">
            <x v="4"/>
          </reference>
        </references>
      </pivotArea>
    </chartFormat>
    <chartFormat chart="5" format="89">
      <pivotArea type="data" outline="0" fieldPosition="0">
        <references count="3">
          <reference field="4294967294" count="1" selected="0">
            <x v="0"/>
          </reference>
          <reference field="2" count="1" selected="0">
            <x v="4"/>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73820C-8823-4E83-A13B-8BF1FA7D7769}" sourceName="Region">
  <pivotTables>
    <pivotTable tabId="9" name="PivotTable2"/>
  </pivotTables>
  <data>
    <tabular pivotCacheId="1504040983">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C7E887D-BCF4-48B3-8C3E-DB1CF8202170}" sourceName="Product_Category">
  <pivotTables>
    <pivotTable tabId="9" name="PivotTable2"/>
  </pivotTables>
  <data>
    <tabular pivotCacheId="1504040983">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104118-EDC2-4291-A699-6EF8DB8380D9}" cache="Slicer_Region" caption="Region" rowHeight="247650"/>
  <slicer name="Product_Category" xr10:uid="{8FC50C21-1A45-4CAA-92BA-1DF12E53BE91}" cache="Slicer_Product_Category" caption="Product_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0738B-B9F1-4032-87BB-73181ACB1575}">
  <dimension ref="A1:AB201"/>
  <sheetViews>
    <sheetView tabSelected="1" zoomScale="115" zoomScaleNormal="115" workbookViewId="0">
      <selection activeCell="A187" activeCellId="8" sqref="A109:XFD109 A76:XFD76 A20:XFD20 A17:XFD17 A146:XFD146 A157:XFD157 A162:XFD162 A176:XFD176 A187:XFD187"/>
    </sheetView>
  </sheetViews>
  <sheetFormatPr defaultRowHeight="14.4" x14ac:dyDescent="0.3"/>
  <cols>
    <col min="1" max="1" width="14.5546875" customWidth="1"/>
    <col min="2" max="2" width="15.88671875" customWidth="1"/>
    <col min="4" max="4" width="18.33203125" customWidth="1"/>
    <col min="8" max="8" width="11.6640625" customWidth="1"/>
    <col min="10" max="10" width="11.33203125" customWidth="1"/>
    <col min="11" max="11" width="19.33203125" customWidth="1"/>
    <col min="12" max="12" width="20" customWidth="1"/>
    <col min="13" max="13" width="21.6640625" style="1" customWidth="1"/>
    <col min="14" max="14" width="20.44140625" customWidth="1"/>
    <col min="15" max="15" width="18.77734375" customWidth="1"/>
    <col min="16" max="16" width="16.6640625" customWidth="1"/>
    <col min="17" max="17" width="9.77734375" customWidth="1"/>
    <col min="18" max="18" width="12.6640625" customWidth="1"/>
    <col min="19" max="19" width="12.88671875" customWidth="1"/>
    <col min="20" max="20" width="11.109375" customWidth="1"/>
    <col min="27" max="27" width="12.6640625" customWidth="1"/>
    <col min="28" max="28" width="15.77734375" customWidth="1"/>
  </cols>
  <sheetData>
    <row r="1" spans="1:28" ht="43.8" customHeight="1" x14ac:dyDescent="0.3">
      <c r="A1" s="44" t="s">
        <v>0</v>
      </c>
      <c r="B1" s="44" t="s">
        <v>1</v>
      </c>
      <c r="C1" s="44" t="s">
        <v>2</v>
      </c>
      <c r="D1" s="44" t="s">
        <v>3</v>
      </c>
      <c r="E1" s="44" t="s">
        <v>4</v>
      </c>
      <c r="F1" s="44" t="s">
        <v>5</v>
      </c>
      <c r="G1" s="44" t="s">
        <v>6</v>
      </c>
      <c r="H1" s="44" t="s">
        <v>7</v>
      </c>
      <c r="I1" s="44" t="s">
        <v>8</v>
      </c>
      <c r="J1" s="44" t="s">
        <v>119</v>
      </c>
      <c r="K1" s="44" t="s">
        <v>114</v>
      </c>
      <c r="L1" s="44" t="s">
        <v>117</v>
      </c>
      <c r="M1" s="44" t="s">
        <v>118</v>
      </c>
      <c r="N1" s="44" t="s">
        <v>120</v>
      </c>
      <c r="O1" s="44" t="s">
        <v>121</v>
      </c>
      <c r="P1" s="44" t="s">
        <v>122</v>
      </c>
      <c r="Q1" s="44" t="s">
        <v>125</v>
      </c>
      <c r="R1" s="44" t="s">
        <v>126</v>
      </c>
      <c r="S1" s="44" t="s">
        <v>127</v>
      </c>
      <c r="T1" s="44" t="s">
        <v>128</v>
      </c>
      <c r="U1" s="44" t="s">
        <v>129</v>
      </c>
      <c r="Z1" s="3"/>
      <c r="AA1" s="3"/>
    </row>
    <row r="2" spans="1:28" ht="19.8" customHeight="1" x14ac:dyDescent="0.3">
      <c r="A2" s="38" t="s">
        <v>9</v>
      </c>
      <c r="B2" s="38" t="s">
        <v>10</v>
      </c>
      <c r="C2" s="38" t="s">
        <v>11</v>
      </c>
      <c r="D2" s="38" t="s">
        <v>12</v>
      </c>
      <c r="E2" s="39">
        <v>1036.0899999999999</v>
      </c>
      <c r="F2" s="39">
        <v>4</v>
      </c>
      <c r="G2" s="39">
        <v>0.2</v>
      </c>
      <c r="H2" s="40">
        <v>45392</v>
      </c>
      <c r="I2" s="39">
        <v>331.55</v>
      </c>
      <c r="J2" s="13" t="str" cm="1">
        <f t="array" ref="J2:J200">TEXT(H2:H200,"mmm-yyyy")</f>
        <v>Apr-2024</v>
      </c>
      <c r="K2" s="41">
        <f ca="1">NOW()</f>
        <v>46070.538153703703</v>
      </c>
      <c r="L2" s="13" cm="1">
        <f t="array" aca="1" ref="L2:L201" ca="1">K2:K201 - H2:H201</f>
        <v>678.53815370370285</v>
      </c>
      <c r="M2" s="19" t="str" cm="1">
        <f t="array" aca="1" ref="M2:M201" ca="1">IF(K2:K201-H2:H201&gt;500,"↑", IF(K2:K201-H2:H201&lt;499,"↓", "→"))</f>
        <v>↑</v>
      </c>
      <c r="N2" s="13" t="str" cm="1">
        <f t="array" ref="N2">_xlfn.UNIQUE(_xlfn._xlws.FILTER(B2:B201, E2:E201&gt;1800))</f>
        <v>James Wilson</v>
      </c>
      <c r="O2" s="19" t="str">
        <f>IFERROR(INDEX(I2:I300, MATCH(H2, A2:A300, 0)), "NOT FOUND")</f>
        <v>NOT FOUND</v>
      </c>
      <c r="P2" s="19" t="str">
        <f>IF(SUMIF(B:B,H2,E:E)&gt;500,"High Value","Normal")</f>
        <v>Normal</v>
      </c>
      <c r="Q2" s="42">
        <f>(ROW(A1)-1)*5%</f>
        <v>0</v>
      </c>
      <c r="R2" s="43">
        <f>E2*(1-$Z$1)</f>
        <v>1036.0899999999999</v>
      </c>
      <c r="S2" s="43">
        <f>SUM(R2:R201)</f>
        <v>195217.75999999992</v>
      </c>
      <c r="T2" s="42"/>
      <c r="U2" s="43">
        <f>R201</f>
        <v>928.32</v>
      </c>
      <c r="AA2" s="3"/>
      <c r="AB2" s="4"/>
    </row>
    <row r="3" spans="1:28" ht="19.2" customHeight="1" x14ac:dyDescent="0.3">
      <c r="A3" s="38" t="s">
        <v>13</v>
      </c>
      <c r="B3" s="38" t="s">
        <v>14</v>
      </c>
      <c r="C3" s="38" t="s">
        <v>11</v>
      </c>
      <c r="D3" s="38" t="s">
        <v>15</v>
      </c>
      <c r="E3" s="39">
        <v>1101.28</v>
      </c>
      <c r="F3" s="39">
        <v>3</v>
      </c>
      <c r="G3" s="39">
        <v>0.2</v>
      </c>
      <c r="H3" s="40">
        <v>45393</v>
      </c>
      <c r="I3" s="39">
        <v>440.51</v>
      </c>
      <c r="J3" s="13" t="str">
        <v>Apr-2024</v>
      </c>
      <c r="K3" s="41">
        <f t="shared" ref="K3:K66" ca="1" si="0">NOW()</f>
        <v>46070.538153703703</v>
      </c>
      <c r="L3" s="13">
        <f ca="1"/>
        <v>677.53815370370285</v>
      </c>
      <c r="M3" s="19" t="str">
        <f ca="1"/>
        <v>↑</v>
      </c>
      <c r="N3" s="13"/>
      <c r="O3" s="13"/>
      <c r="P3" s="19" t="str">
        <f t="shared" ref="P3:P66" si="1">IF(SUMIF(B:B,H3,E:E)&gt;500,"High Value","Normal")</f>
        <v>Normal</v>
      </c>
      <c r="Q3" s="42">
        <f t="shared" ref="Q3:Q66" si="2">(ROW(A2)-1)*5%</f>
        <v>0.05</v>
      </c>
      <c r="R3" s="43">
        <f t="shared" ref="R3:R66" si="3">E3*(1-$Z$1)</f>
        <v>1101.28</v>
      </c>
      <c r="S3" s="4"/>
      <c r="T3" s="42">
        <v>0.05</v>
      </c>
      <c r="U3" s="43">
        <f t="dataTable" ref="U3:U8" dt2D="0" dtr="0" r1="Z1"/>
        <v>881.904</v>
      </c>
      <c r="AA3" s="3"/>
      <c r="AB3" s="4"/>
    </row>
    <row r="4" spans="1:28" ht="15" customHeight="1" x14ac:dyDescent="0.3">
      <c r="A4" s="38" t="s">
        <v>16</v>
      </c>
      <c r="B4" s="38" t="s">
        <v>17</v>
      </c>
      <c r="C4" s="38" t="s">
        <v>18</v>
      </c>
      <c r="D4" s="38" t="s">
        <v>12</v>
      </c>
      <c r="E4" s="39">
        <v>713.34</v>
      </c>
      <c r="F4" s="39">
        <v>17</v>
      </c>
      <c r="G4" s="39">
        <v>0</v>
      </c>
      <c r="H4" s="40">
        <v>45396</v>
      </c>
      <c r="I4" s="39">
        <v>285.33999999999997</v>
      </c>
      <c r="J4" s="13" t="str">
        <v>Apr-2024</v>
      </c>
      <c r="K4" s="41">
        <f t="shared" ca="1" si="0"/>
        <v>46070.538153703703</v>
      </c>
      <c r="L4" s="13">
        <f ca="1"/>
        <v>674.53815370370285</v>
      </c>
      <c r="M4" s="19" t="str">
        <f ca="1"/>
        <v>↑</v>
      </c>
      <c r="N4" s="13"/>
      <c r="O4" s="13"/>
      <c r="P4" s="19" t="str">
        <f t="shared" si="1"/>
        <v>Normal</v>
      </c>
      <c r="Q4" s="42">
        <f t="shared" si="2"/>
        <v>0.1</v>
      </c>
      <c r="R4" s="43">
        <f t="shared" si="3"/>
        <v>713.34</v>
      </c>
      <c r="S4" s="4"/>
      <c r="T4" s="42">
        <v>0.1</v>
      </c>
      <c r="U4" s="43">
        <v>835.48800000000006</v>
      </c>
      <c r="AA4" s="3"/>
      <c r="AB4" s="4"/>
    </row>
    <row r="5" spans="1:28" x14ac:dyDescent="0.3">
      <c r="A5" s="38" t="s">
        <v>19</v>
      </c>
      <c r="B5" s="38" t="s">
        <v>14</v>
      </c>
      <c r="C5" s="38" t="s">
        <v>20</v>
      </c>
      <c r="D5" s="38" t="s">
        <v>21</v>
      </c>
      <c r="E5" s="39">
        <v>760.93</v>
      </c>
      <c r="F5" s="39">
        <v>4</v>
      </c>
      <c r="G5" s="39">
        <v>0.15</v>
      </c>
      <c r="H5" s="40">
        <v>45396</v>
      </c>
      <c r="I5" s="39">
        <v>161.69999999999999</v>
      </c>
      <c r="J5" s="13" t="str">
        <v>Apr-2024</v>
      </c>
      <c r="K5" s="41">
        <f t="shared" ca="1" si="0"/>
        <v>46070.538153703703</v>
      </c>
      <c r="L5" s="13">
        <f ca="1"/>
        <v>674.53815370370285</v>
      </c>
      <c r="M5" s="19" t="str">
        <f ca="1"/>
        <v>↑</v>
      </c>
      <c r="N5" s="13"/>
      <c r="O5" s="13"/>
      <c r="P5" s="19" t="str">
        <f t="shared" si="1"/>
        <v>Normal</v>
      </c>
      <c r="Q5" s="42">
        <f t="shared" si="2"/>
        <v>0.15000000000000002</v>
      </c>
      <c r="R5" s="43">
        <f t="shared" si="3"/>
        <v>760.93</v>
      </c>
      <c r="S5" s="4"/>
      <c r="T5" s="42">
        <v>0.15</v>
      </c>
      <c r="U5" s="43">
        <v>789.072</v>
      </c>
      <c r="AA5" s="3"/>
      <c r="AB5" s="4"/>
    </row>
    <row r="6" spans="1:28" x14ac:dyDescent="0.3">
      <c r="A6" s="38" t="s">
        <v>22</v>
      </c>
      <c r="B6" s="38" t="s">
        <v>23</v>
      </c>
      <c r="C6" s="38" t="s">
        <v>24</v>
      </c>
      <c r="D6" s="38" t="s">
        <v>12</v>
      </c>
      <c r="E6" s="39">
        <v>847</v>
      </c>
      <c r="F6" s="39">
        <v>12</v>
      </c>
      <c r="G6" s="39">
        <v>0.2</v>
      </c>
      <c r="H6" s="40">
        <v>45397</v>
      </c>
      <c r="I6" s="39">
        <v>271.04000000000002</v>
      </c>
      <c r="J6" s="13" t="str">
        <v>Apr-2024</v>
      </c>
      <c r="K6" s="41">
        <f t="shared" ca="1" si="0"/>
        <v>46070.538153703703</v>
      </c>
      <c r="L6" s="13">
        <f ca="1"/>
        <v>673.53815370370285</v>
      </c>
      <c r="M6" s="19" t="str">
        <f ca="1"/>
        <v>↑</v>
      </c>
      <c r="N6" s="13"/>
      <c r="O6" s="13"/>
      <c r="P6" s="19" t="str">
        <f t="shared" si="1"/>
        <v>Normal</v>
      </c>
      <c r="Q6" s="42">
        <f t="shared" si="2"/>
        <v>0.2</v>
      </c>
      <c r="R6" s="43">
        <f t="shared" si="3"/>
        <v>847</v>
      </c>
      <c r="S6" s="4"/>
      <c r="T6" s="42">
        <v>0.2</v>
      </c>
      <c r="U6" s="43">
        <v>742.65600000000006</v>
      </c>
      <c r="AA6" s="3"/>
      <c r="AB6" s="4"/>
    </row>
    <row r="7" spans="1:28" x14ac:dyDescent="0.3">
      <c r="A7" s="38" t="s">
        <v>25</v>
      </c>
      <c r="B7" s="38" t="s">
        <v>26</v>
      </c>
      <c r="C7" s="38" t="s">
        <v>24</v>
      </c>
      <c r="D7" s="38" t="s">
        <v>27</v>
      </c>
      <c r="E7" s="39">
        <v>965.64</v>
      </c>
      <c r="F7" s="39">
        <v>8</v>
      </c>
      <c r="G7" s="39">
        <v>0.1</v>
      </c>
      <c r="H7" s="40">
        <v>45398</v>
      </c>
      <c r="I7" s="39">
        <v>304.18</v>
      </c>
      <c r="J7" s="13" t="str">
        <v>Apr-2024</v>
      </c>
      <c r="K7" s="41">
        <f t="shared" ca="1" si="0"/>
        <v>46070.538153703703</v>
      </c>
      <c r="L7" s="13">
        <f ca="1"/>
        <v>672.53815370370285</v>
      </c>
      <c r="M7" s="19" t="str">
        <f ca="1"/>
        <v>↑</v>
      </c>
      <c r="N7" s="13"/>
      <c r="O7" s="13"/>
      <c r="P7" s="19" t="str">
        <f t="shared" si="1"/>
        <v>Normal</v>
      </c>
      <c r="Q7" s="42">
        <f t="shared" si="2"/>
        <v>0.25</v>
      </c>
      <c r="R7" s="43">
        <f t="shared" si="3"/>
        <v>965.64</v>
      </c>
      <c r="S7" s="4"/>
      <c r="T7" s="42">
        <v>0.25</v>
      </c>
      <c r="U7" s="43">
        <v>696.24</v>
      </c>
      <c r="AA7" s="3"/>
      <c r="AB7" s="4"/>
    </row>
    <row r="8" spans="1:28" x14ac:dyDescent="0.3">
      <c r="A8" s="38" t="s">
        <v>28</v>
      </c>
      <c r="B8" s="38" t="s">
        <v>29</v>
      </c>
      <c r="C8" s="38" t="s">
        <v>11</v>
      </c>
      <c r="D8" s="38" t="s">
        <v>21</v>
      </c>
      <c r="E8" s="39">
        <v>1317.53</v>
      </c>
      <c r="F8" s="39">
        <v>12</v>
      </c>
      <c r="G8" s="39">
        <v>0.05</v>
      </c>
      <c r="H8" s="40">
        <v>45398</v>
      </c>
      <c r="I8" s="39">
        <v>312.91000000000003</v>
      </c>
      <c r="J8" s="13" t="str">
        <v>Apr-2024</v>
      </c>
      <c r="K8" s="41">
        <f t="shared" ca="1" si="0"/>
        <v>46070.538153703703</v>
      </c>
      <c r="L8" s="13">
        <f ca="1"/>
        <v>672.53815370370285</v>
      </c>
      <c r="M8" s="19" t="str">
        <f ca="1"/>
        <v>↑</v>
      </c>
      <c r="N8" s="13"/>
      <c r="O8" s="13"/>
      <c r="P8" s="19" t="str">
        <f t="shared" si="1"/>
        <v>Normal</v>
      </c>
      <c r="Q8" s="42">
        <f t="shared" si="2"/>
        <v>0.30000000000000004</v>
      </c>
      <c r="R8" s="43">
        <f t="shared" si="3"/>
        <v>1317.53</v>
      </c>
      <c r="S8" s="4"/>
      <c r="T8" s="42">
        <v>0.3</v>
      </c>
      <c r="U8" s="43">
        <v>649.82399999999996</v>
      </c>
      <c r="AA8" s="3"/>
      <c r="AB8" s="4"/>
    </row>
    <row r="9" spans="1:28" x14ac:dyDescent="0.3">
      <c r="A9" s="38" t="s">
        <v>30</v>
      </c>
      <c r="B9" s="38" t="s">
        <v>31</v>
      </c>
      <c r="C9" s="38" t="s">
        <v>18</v>
      </c>
      <c r="D9" s="38" t="s">
        <v>27</v>
      </c>
      <c r="E9" s="39">
        <v>1074.47</v>
      </c>
      <c r="F9" s="39">
        <v>6</v>
      </c>
      <c r="G9" s="39">
        <v>0.2</v>
      </c>
      <c r="H9" s="40">
        <v>45401</v>
      </c>
      <c r="I9" s="39">
        <v>300.85000000000002</v>
      </c>
      <c r="J9" s="13" t="str">
        <v>Apr-2024</v>
      </c>
      <c r="K9" s="41">
        <f t="shared" ca="1" si="0"/>
        <v>46070.538153703703</v>
      </c>
      <c r="L9" s="13">
        <f ca="1"/>
        <v>669.53815370370285</v>
      </c>
      <c r="M9" s="19" t="str">
        <f ca="1"/>
        <v>↑</v>
      </c>
      <c r="N9" s="13"/>
      <c r="O9" s="13"/>
      <c r="P9" s="19" t="str">
        <f t="shared" si="1"/>
        <v>Normal</v>
      </c>
      <c r="Q9" s="42">
        <f t="shared" si="2"/>
        <v>0.35000000000000003</v>
      </c>
      <c r="R9" s="43">
        <f t="shared" si="3"/>
        <v>1074.47</v>
      </c>
      <c r="S9" s="4"/>
      <c r="T9" s="3"/>
    </row>
    <row r="10" spans="1:28" x14ac:dyDescent="0.3">
      <c r="A10" s="38" t="s">
        <v>32</v>
      </c>
      <c r="B10" s="38" t="s">
        <v>33</v>
      </c>
      <c r="C10" s="38" t="s">
        <v>34</v>
      </c>
      <c r="D10" s="38" t="s">
        <v>12</v>
      </c>
      <c r="E10" s="39">
        <v>501.54</v>
      </c>
      <c r="F10" s="39">
        <v>11</v>
      </c>
      <c r="G10" s="39">
        <v>0.05</v>
      </c>
      <c r="H10" s="40">
        <v>45401</v>
      </c>
      <c r="I10" s="39">
        <v>190.59</v>
      </c>
      <c r="J10" s="13" t="str">
        <v>Apr-2024</v>
      </c>
      <c r="K10" s="41">
        <f t="shared" ca="1" si="0"/>
        <v>46070.538153703703</v>
      </c>
      <c r="L10" s="13">
        <f ca="1"/>
        <v>669.53815370370285</v>
      </c>
      <c r="M10" s="19" t="str">
        <f ca="1"/>
        <v>↑</v>
      </c>
      <c r="N10" s="13"/>
      <c r="O10" s="13"/>
      <c r="P10" s="19" t="str">
        <f t="shared" si="1"/>
        <v>Normal</v>
      </c>
      <c r="Q10" s="42">
        <f t="shared" si="2"/>
        <v>0.4</v>
      </c>
      <c r="R10" s="43">
        <f t="shared" si="3"/>
        <v>501.54</v>
      </c>
      <c r="S10" s="4"/>
      <c r="T10" s="3"/>
    </row>
    <row r="11" spans="1:28" x14ac:dyDescent="0.3">
      <c r="A11" s="38" t="s">
        <v>35</v>
      </c>
      <c r="B11" s="38" t="s">
        <v>36</v>
      </c>
      <c r="C11" s="38" t="s">
        <v>34</v>
      </c>
      <c r="D11" s="38" t="s">
        <v>15</v>
      </c>
      <c r="E11" s="39">
        <v>737.31</v>
      </c>
      <c r="F11" s="39">
        <v>2</v>
      </c>
      <c r="G11" s="39">
        <v>0.05</v>
      </c>
      <c r="H11" s="40">
        <v>45401</v>
      </c>
      <c r="I11" s="39">
        <v>350.22</v>
      </c>
      <c r="J11" s="13" t="str">
        <v>Apr-2024</v>
      </c>
      <c r="K11" s="41">
        <f t="shared" ca="1" si="0"/>
        <v>46070.538153703703</v>
      </c>
      <c r="L11" s="13">
        <f ca="1"/>
        <v>669.53815370370285</v>
      </c>
      <c r="M11" s="19" t="str">
        <f ca="1"/>
        <v>↑</v>
      </c>
      <c r="N11" s="13"/>
      <c r="O11" s="13"/>
      <c r="P11" s="19" t="str">
        <f t="shared" si="1"/>
        <v>Normal</v>
      </c>
      <c r="Q11" s="42">
        <f t="shared" si="2"/>
        <v>0.45</v>
      </c>
      <c r="R11" s="43">
        <f t="shared" si="3"/>
        <v>737.31</v>
      </c>
      <c r="S11" s="4"/>
      <c r="T11" s="3"/>
    </row>
    <row r="12" spans="1:28" s="55" customFormat="1" x14ac:dyDescent="0.3">
      <c r="A12" s="45" t="s">
        <v>37</v>
      </c>
      <c r="B12" s="45" t="s">
        <v>38</v>
      </c>
      <c r="C12" s="45" t="s">
        <v>11</v>
      </c>
      <c r="D12" s="45" t="s">
        <v>39</v>
      </c>
      <c r="E12" s="46">
        <v>1572.82</v>
      </c>
      <c r="F12" s="46">
        <v>6</v>
      </c>
      <c r="G12" s="46">
        <v>0.05</v>
      </c>
      <c r="H12" s="47">
        <v>45402</v>
      </c>
      <c r="I12" s="46">
        <v>672.38</v>
      </c>
      <c r="J12" s="48" t="str">
        <v>Apr-2024</v>
      </c>
      <c r="K12" s="49">
        <f t="shared" ca="1" si="0"/>
        <v>46070.538153703703</v>
      </c>
      <c r="L12" s="48">
        <f ca="1"/>
        <v>668.53815370370285</v>
      </c>
      <c r="M12" s="50" t="str">
        <f ca="1"/>
        <v>↑</v>
      </c>
      <c r="N12" s="48"/>
      <c r="O12" s="48"/>
      <c r="P12" s="50" t="str">
        <f t="shared" si="1"/>
        <v>Normal</v>
      </c>
      <c r="Q12" s="51">
        <f t="shared" si="2"/>
        <v>0.5</v>
      </c>
      <c r="R12" s="52">
        <f t="shared" si="3"/>
        <v>1572.82</v>
      </c>
      <c r="S12" s="53"/>
      <c r="T12" s="54"/>
    </row>
    <row r="13" spans="1:28" x14ac:dyDescent="0.3">
      <c r="A13" s="38" t="s">
        <v>37</v>
      </c>
      <c r="B13" s="38" t="s">
        <v>36</v>
      </c>
      <c r="C13" s="38" t="s">
        <v>34</v>
      </c>
      <c r="D13" s="38" t="s">
        <v>12</v>
      </c>
      <c r="E13" s="39">
        <v>1343.13</v>
      </c>
      <c r="F13" s="39">
        <v>14</v>
      </c>
      <c r="G13" s="39">
        <v>0.15</v>
      </c>
      <c r="H13" s="40">
        <v>45404</v>
      </c>
      <c r="I13" s="39">
        <v>456.66</v>
      </c>
      <c r="J13" s="13" t="str">
        <v>Apr-2024</v>
      </c>
      <c r="K13" s="41">
        <f t="shared" ca="1" si="0"/>
        <v>46070.538153703703</v>
      </c>
      <c r="L13" s="13">
        <f ca="1"/>
        <v>666.53815370370285</v>
      </c>
      <c r="M13" s="19" t="str">
        <f ca="1"/>
        <v>↑</v>
      </c>
      <c r="N13" s="13"/>
      <c r="O13" s="13"/>
      <c r="P13" s="19" t="str">
        <f t="shared" si="1"/>
        <v>Normal</v>
      </c>
      <c r="Q13" s="42">
        <f t="shared" si="2"/>
        <v>0.55000000000000004</v>
      </c>
      <c r="R13" s="43">
        <f t="shared" si="3"/>
        <v>1343.13</v>
      </c>
      <c r="S13" s="4"/>
      <c r="T13" s="3"/>
    </row>
    <row r="14" spans="1:28" x14ac:dyDescent="0.3">
      <c r="A14" s="38" t="s">
        <v>25</v>
      </c>
      <c r="B14" s="38" t="s">
        <v>26</v>
      </c>
      <c r="C14" s="38" t="s">
        <v>34</v>
      </c>
      <c r="D14" s="38" t="s">
        <v>12</v>
      </c>
      <c r="E14" s="39">
        <v>1191.58</v>
      </c>
      <c r="F14" s="39">
        <v>14</v>
      </c>
      <c r="G14" s="39">
        <v>0.05</v>
      </c>
      <c r="H14" s="40">
        <v>45406</v>
      </c>
      <c r="I14" s="39">
        <v>452.8</v>
      </c>
      <c r="J14" s="13" t="str">
        <v>Apr-2024</v>
      </c>
      <c r="K14" s="41">
        <f t="shared" ca="1" si="0"/>
        <v>46070.538153703703</v>
      </c>
      <c r="L14" s="13">
        <f ca="1"/>
        <v>664.53815370370285</v>
      </c>
      <c r="M14" s="19" t="str">
        <f ca="1"/>
        <v>↑</v>
      </c>
      <c r="N14" s="13"/>
      <c r="O14" s="13"/>
      <c r="P14" s="19" t="str">
        <f t="shared" si="1"/>
        <v>Normal</v>
      </c>
      <c r="Q14" s="42">
        <f t="shared" si="2"/>
        <v>0.60000000000000009</v>
      </c>
      <c r="R14" s="43">
        <f t="shared" si="3"/>
        <v>1191.58</v>
      </c>
      <c r="S14" s="4"/>
      <c r="T14" s="3"/>
    </row>
    <row r="15" spans="1:28" x14ac:dyDescent="0.3">
      <c r="A15" s="38" t="s">
        <v>40</v>
      </c>
      <c r="B15" s="38" t="s">
        <v>14</v>
      </c>
      <c r="C15" s="38" t="s">
        <v>11</v>
      </c>
      <c r="D15" s="38" t="s">
        <v>27</v>
      </c>
      <c r="E15" s="39">
        <v>822.28</v>
      </c>
      <c r="F15" s="39">
        <v>7</v>
      </c>
      <c r="G15" s="39">
        <v>0.05</v>
      </c>
      <c r="H15" s="40">
        <v>45406</v>
      </c>
      <c r="I15" s="39">
        <v>273.41000000000003</v>
      </c>
      <c r="J15" s="13" t="str">
        <v>Apr-2024</v>
      </c>
      <c r="K15" s="41">
        <f t="shared" ca="1" si="0"/>
        <v>46070.538153703703</v>
      </c>
      <c r="L15" s="13">
        <f ca="1"/>
        <v>664.53815370370285</v>
      </c>
      <c r="M15" s="19" t="str">
        <f ca="1"/>
        <v>↑</v>
      </c>
      <c r="N15" s="13"/>
      <c r="O15" s="13"/>
      <c r="P15" s="19" t="str">
        <f t="shared" si="1"/>
        <v>Normal</v>
      </c>
      <c r="Q15" s="42">
        <f t="shared" si="2"/>
        <v>0.65</v>
      </c>
      <c r="R15" s="43">
        <f t="shared" si="3"/>
        <v>822.28</v>
      </c>
      <c r="S15" s="4"/>
      <c r="T15" s="3"/>
    </row>
    <row r="16" spans="1:28" x14ac:dyDescent="0.3">
      <c r="A16" s="38" t="s">
        <v>41</v>
      </c>
      <c r="B16" s="38" t="s">
        <v>42</v>
      </c>
      <c r="C16" s="38" t="s">
        <v>24</v>
      </c>
      <c r="D16" s="38" t="s">
        <v>27</v>
      </c>
      <c r="E16" s="39">
        <v>521.66999999999996</v>
      </c>
      <c r="F16" s="39">
        <v>15</v>
      </c>
      <c r="G16" s="39">
        <v>0.15</v>
      </c>
      <c r="H16" s="40">
        <v>45409</v>
      </c>
      <c r="I16" s="39">
        <v>155.19999999999999</v>
      </c>
      <c r="J16" s="13" t="str">
        <v>Apr-2024</v>
      </c>
      <c r="K16" s="41">
        <f t="shared" ca="1" si="0"/>
        <v>46070.538153703703</v>
      </c>
      <c r="L16" s="13">
        <f ca="1"/>
        <v>661.53815370370285</v>
      </c>
      <c r="M16" s="19" t="str">
        <f ca="1"/>
        <v>↑</v>
      </c>
      <c r="N16" s="13"/>
      <c r="O16" s="13"/>
      <c r="P16" s="19" t="str">
        <f t="shared" si="1"/>
        <v>Normal</v>
      </c>
      <c r="Q16" s="42">
        <f t="shared" si="2"/>
        <v>0.70000000000000007</v>
      </c>
      <c r="R16" s="43">
        <f t="shared" si="3"/>
        <v>521.66999999999996</v>
      </c>
      <c r="S16" s="4"/>
      <c r="T16" s="3"/>
    </row>
    <row r="17" spans="1:20" s="66" customFormat="1" x14ac:dyDescent="0.3">
      <c r="A17" s="56" t="s">
        <v>19</v>
      </c>
      <c r="B17" s="56" t="s">
        <v>43</v>
      </c>
      <c r="C17" s="56" t="s">
        <v>20</v>
      </c>
      <c r="D17" s="56" t="s">
        <v>21</v>
      </c>
      <c r="E17" s="57">
        <v>1502.93</v>
      </c>
      <c r="F17" s="57">
        <v>14</v>
      </c>
      <c r="G17" s="57">
        <v>0.2</v>
      </c>
      <c r="H17" s="58">
        <v>45410</v>
      </c>
      <c r="I17" s="57">
        <v>300.58999999999997</v>
      </c>
      <c r="J17" s="59" t="str">
        <v>Apr-2024</v>
      </c>
      <c r="K17" s="60">
        <f t="shared" ca="1" si="0"/>
        <v>46070.538153703703</v>
      </c>
      <c r="L17" s="59">
        <f ca="1"/>
        <v>660.53815370370285</v>
      </c>
      <c r="M17" s="61" t="str">
        <f ca="1"/>
        <v>↑</v>
      </c>
      <c r="N17" s="59"/>
      <c r="O17" s="59"/>
      <c r="P17" s="61" t="str">
        <f t="shared" si="1"/>
        <v>Normal</v>
      </c>
      <c r="Q17" s="62">
        <f t="shared" si="2"/>
        <v>0.75</v>
      </c>
      <c r="R17" s="63">
        <f t="shared" si="3"/>
        <v>1502.93</v>
      </c>
      <c r="S17" s="64"/>
      <c r="T17" s="65"/>
    </row>
    <row r="18" spans="1:20" x14ac:dyDescent="0.3">
      <c r="A18" s="38" t="s">
        <v>44</v>
      </c>
      <c r="B18" s="38" t="s">
        <v>14</v>
      </c>
      <c r="C18" s="38" t="s">
        <v>20</v>
      </c>
      <c r="D18" s="38" t="s">
        <v>12</v>
      </c>
      <c r="E18" s="39">
        <v>877.58</v>
      </c>
      <c r="F18" s="39">
        <v>10</v>
      </c>
      <c r="G18" s="39">
        <v>0.15</v>
      </c>
      <c r="H18" s="40">
        <v>45411</v>
      </c>
      <c r="I18" s="39">
        <v>298.38</v>
      </c>
      <c r="J18" s="13" t="str">
        <v>Apr-2024</v>
      </c>
      <c r="K18" s="41">
        <f t="shared" ca="1" si="0"/>
        <v>46070.538153703703</v>
      </c>
      <c r="L18" s="13">
        <f ca="1"/>
        <v>659.53815370370285</v>
      </c>
      <c r="M18" s="19" t="str">
        <f ca="1"/>
        <v>↑</v>
      </c>
      <c r="N18" s="13"/>
      <c r="O18" s="13"/>
      <c r="P18" s="19" t="str">
        <f t="shared" si="1"/>
        <v>Normal</v>
      </c>
      <c r="Q18" s="42">
        <f t="shared" si="2"/>
        <v>0.8</v>
      </c>
      <c r="R18" s="43">
        <f t="shared" si="3"/>
        <v>877.58</v>
      </c>
      <c r="S18" s="4"/>
      <c r="T18" s="3"/>
    </row>
    <row r="19" spans="1:20" x14ac:dyDescent="0.3">
      <c r="A19" s="38" t="s">
        <v>28</v>
      </c>
      <c r="B19" s="38" t="s">
        <v>45</v>
      </c>
      <c r="C19" s="38" t="s">
        <v>11</v>
      </c>
      <c r="D19" s="38" t="s">
        <v>12</v>
      </c>
      <c r="E19" s="39">
        <v>636.70000000000005</v>
      </c>
      <c r="F19" s="39">
        <v>4</v>
      </c>
      <c r="G19" s="39">
        <v>0.2</v>
      </c>
      <c r="H19" s="40">
        <v>45411</v>
      </c>
      <c r="I19" s="39">
        <v>203.74</v>
      </c>
      <c r="J19" s="13" t="str">
        <v>Apr-2024</v>
      </c>
      <c r="K19" s="41">
        <f t="shared" ca="1" si="0"/>
        <v>46070.538153703703</v>
      </c>
      <c r="L19" s="13">
        <f ca="1"/>
        <v>659.53815370370285</v>
      </c>
      <c r="M19" s="19" t="str">
        <f ca="1"/>
        <v>↑</v>
      </c>
      <c r="N19" s="13"/>
      <c r="O19" s="13"/>
      <c r="P19" s="19" t="str">
        <f t="shared" si="1"/>
        <v>Normal</v>
      </c>
      <c r="Q19" s="42">
        <f t="shared" si="2"/>
        <v>0.85000000000000009</v>
      </c>
      <c r="R19" s="43">
        <f t="shared" si="3"/>
        <v>636.70000000000005</v>
      </c>
      <c r="S19" s="4"/>
      <c r="T19" s="3"/>
    </row>
    <row r="20" spans="1:20" s="66" customFormat="1" x14ac:dyDescent="0.3">
      <c r="A20" s="56" t="s">
        <v>46</v>
      </c>
      <c r="B20" s="56" t="s">
        <v>47</v>
      </c>
      <c r="C20" s="56" t="s">
        <v>11</v>
      </c>
      <c r="D20" s="56" t="s">
        <v>12</v>
      </c>
      <c r="E20" s="57">
        <v>1506.14</v>
      </c>
      <c r="F20" s="57">
        <v>13</v>
      </c>
      <c r="G20" s="57">
        <v>0.2</v>
      </c>
      <c r="H20" s="58">
        <v>45412</v>
      </c>
      <c r="I20" s="57">
        <v>481.96</v>
      </c>
      <c r="J20" s="59" t="str">
        <v>Apr-2024</v>
      </c>
      <c r="K20" s="60">
        <f t="shared" ca="1" si="0"/>
        <v>46070.538153703703</v>
      </c>
      <c r="L20" s="59">
        <f ca="1"/>
        <v>658.53815370370285</v>
      </c>
      <c r="M20" s="61" t="str">
        <f ca="1"/>
        <v>↑</v>
      </c>
      <c r="N20" s="59"/>
      <c r="O20" s="59"/>
      <c r="P20" s="61" t="str">
        <f t="shared" si="1"/>
        <v>Normal</v>
      </c>
      <c r="Q20" s="62">
        <f t="shared" si="2"/>
        <v>0.9</v>
      </c>
      <c r="R20" s="63">
        <f t="shared" si="3"/>
        <v>1506.14</v>
      </c>
      <c r="S20" s="64"/>
      <c r="T20" s="65"/>
    </row>
    <row r="21" spans="1:20" x14ac:dyDescent="0.3">
      <c r="A21" s="38" t="s">
        <v>30</v>
      </c>
      <c r="B21" s="38" t="s">
        <v>31</v>
      </c>
      <c r="C21" s="38" t="s">
        <v>34</v>
      </c>
      <c r="D21" s="38" t="s">
        <v>21</v>
      </c>
      <c r="E21" s="39">
        <v>645.02</v>
      </c>
      <c r="F21" s="39">
        <v>4</v>
      </c>
      <c r="G21" s="39">
        <v>0</v>
      </c>
      <c r="H21" s="40">
        <v>45414</v>
      </c>
      <c r="I21" s="39">
        <v>161.26</v>
      </c>
      <c r="J21" s="13" t="str">
        <v>May-2024</v>
      </c>
      <c r="K21" s="41">
        <f t="shared" ca="1" si="0"/>
        <v>46070.538153703703</v>
      </c>
      <c r="L21" s="13">
        <f ca="1"/>
        <v>656.53815370370285</v>
      </c>
      <c r="M21" s="19" t="str">
        <f ca="1"/>
        <v>↑</v>
      </c>
      <c r="N21" s="13"/>
      <c r="O21" s="13"/>
      <c r="P21" s="19" t="str">
        <f t="shared" si="1"/>
        <v>Normal</v>
      </c>
      <c r="Q21" s="42">
        <f t="shared" si="2"/>
        <v>0.95000000000000007</v>
      </c>
      <c r="R21" s="43">
        <f t="shared" si="3"/>
        <v>645.02</v>
      </c>
      <c r="S21" s="4"/>
      <c r="T21" s="3"/>
    </row>
    <row r="22" spans="1:20" x14ac:dyDescent="0.3">
      <c r="A22" s="38" t="s">
        <v>25</v>
      </c>
      <c r="B22" s="38" t="s">
        <v>48</v>
      </c>
      <c r="C22" s="38" t="s">
        <v>20</v>
      </c>
      <c r="D22" s="38" t="s">
        <v>15</v>
      </c>
      <c r="E22" s="39">
        <v>953.3</v>
      </c>
      <c r="F22" s="39">
        <v>11</v>
      </c>
      <c r="G22" s="39">
        <v>0</v>
      </c>
      <c r="H22" s="40">
        <v>45415</v>
      </c>
      <c r="I22" s="39">
        <v>476.65</v>
      </c>
      <c r="J22" s="13" t="str">
        <v>May-2024</v>
      </c>
      <c r="K22" s="41">
        <f t="shared" ca="1" si="0"/>
        <v>46070.538153703703</v>
      </c>
      <c r="L22" s="13">
        <f ca="1"/>
        <v>655.53815370370285</v>
      </c>
      <c r="M22" s="19" t="str">
        <f ca="1"/>
        <v>↑</v>
      </c>
      <c r="N22" s="13"/>
      <c r="O22" s="13"/>
      <c r="P22" s="19" t="str">
        <f t="shared" si="1"/>
        <v>Normal</v>
      </c>
      <c r="Q22" s="42">
        <f t="shared" si="2"/>
        <v>1</v>
      </c>
      <c r="R22" s="43">
        <f t="shared" si="3"/>
        <v>953.3</v>
      </c>
      <c r="S22" s="4"/>
      <c r="T22" s="3"/>
    </row>
    <row r="23" spans="1:20" x14ac:dyDescent="0.3">
      <c r="A23" s="38" t="s">
        <v>49</v>
      </c>
      <c r="B23" s="38" t="s">
        <v>14</v>
      </c>
      <c r="C23" s="38" t="s">
        <v>24</v>
      </c>
      <c r="D23" s="38" t="s">
        <v>21</v>
      </c>
      <c r="E23" s="39">
        <v>388.56</v>
      </c>
      <c r="F23" s="39">
        <v>14</v>
      </c>
      <c r="G23" s="39">
        <v>0.15</v>
      </c>
      <c r="H23" s="40">
        <v>45416</v>
      </c>
      <c r="I23" s="39">
        <v>82.57</v>
      </c>
      <c r="J23" s="13" t="str">
        <v>May-2024</v>
      </c>
      <c r="K23" s="41">
        <f t="shared" ca="1" si="0"/>
        <v>46070.538153703703</v>
      </c>
      <c r="L23" s="13">
        <f ca="1"/>
        <v>654.53815370370285</v>
      </c>
      <c r="M23" s="19" t="str">
        <f ca="1"/>
        <v>↑</v>
      </c>
      <c r="N23" s="13"/>
      <c r="O23" s="13"/>
      <c r="P23" s="19" t="str">
        <f t="shared" si="1"/>
        <v>Normal</v>
      </c>
      <c r="Q23" s="42">
        <f t="shared" si="2"/>
        <v>1.05</v>
      </c>
      <c r="R23" s="43">
        <f t="shared" si="3"/>
        <v>388.56</v>
      </c>
      <c r="S23" s="4"/>
      <c r="T23" s="3"/>
    </row>
    <row r="24" spans="1:20" x14ac:dyDescent="0.3">
      <c r="A24" s="38" t="s">
        <v>9</v>
      </c>
      <c r="B24" s="38" t="s">
        <v>31</v>
      </c>
      <c r="C24" s="38" t="s">
        <v>11</v>
      </c>
      <c r="D24" s="38" t="s">
        <v>12</v>
      </c>
      <c r="E24" s="39">
        <v>743.17</v>
      </c>
      <c r="F24" s="39">
        <v>9</v>
      </c>
      <c r="G24" s="39">
        <v>0</v>
      </c>
      <c r="H24" s="40">
        <v>45416</v>
      </c>
      <c r="I24" s="39">
        <v>297.27</v>
      </c>
      <c r="J24" s="13" t="str">
        <v>May-2024</v>
      </c>
      <c r="K24" s="41">
        <f t="shared" ca="1" si="0"/>
        <v>46070.538153703703</v>
      </c>
      <c r="L24" s="13">
        <f ca="1"/>
        <v>654.53815370370285</v>
      </c>
      <c r="M24" s="19" t="str">
        <f ca="1"/>
        <v>↑</v>
      </c>
      <c r="N24" s="13"/>
      <c r="O24" s="13"/>
      <c r="P24" s="19" t="str">
        <f t="shared" si="1"/>
        <v>Normal</v>
      </c>
      <c r="Q24" s="42">
        <f t="shared" si="2"/>
        <v>1.1000000000000001</v>
      </c>
      <c r="R24" s="43">
        <f t="shared" si="3"/>
        <v>743.17</v>
      </c>
      <c r="S24" s="4"/>
      <c r="T24" s="3"/>
    </row>
    <row r="25" spans="1:20" x14ac:dyDescent="0.3">
      <c r="A25" s="38" t="s">
        <v>40</v>
      </c>
      <c r="B25" s="38" t="s">
        <v>31</v>
      </c>
      <c r="C25" s="38" t="s">
        <v>34</v>
      </c>
      <c r="D25" s="38" t="s">
        <v>21</v>
      </c>
      <c r="E25" s="39">
        <v>706.37</v>
      </c>
      <c r="F25" s="39">
        <v>6</v>
      </c>
      <c r="G25" s="39">
        <v>0</v>
      </c>
      <c r="H25" s="40">
        <v>45416</v>
      </c>
      <c r="I25" s="39">
        <v>176.59</v>
      </c>
      <c r="J25" s="13" t="str">
        <v>May-2024</v>
      </c>
      <c r="K25" s="41">
        <f t="shared" ca="1" si="0"/>
        <v>46070.538153703703</v>
      </c>
      <c r="L25" s="13">
        <f ca="1"/>
        <v>654.53815370370285</v>
      </c>
      <c r="M25" s="19" t="str">
        <f ca="1"/>
        <v>↑</v>
      </c>
      <c r="N25" s="13"/>
      <c r="O25" s="13"/>
      <c r="P25" s="19" t="str">
        <f t="shared" si="1"/>
        <v>Normal</v>
      </c>
      <c r="Q25" s="42">
        <f t="shared" si="2"/>
        <v>1.1500000000000001</v>
      </c>
      <c r="R25" s="43">
        <f t="shared" si="3"/>
        <v>706.37</v>
      </c>
      <c r="S25" s="4"/>
      <c r="T25" s="3"/>
    </row>
    <row r="26" spans="1:20" x14ac:dyDescent="0.3">
      <c r="A26" s="38" t="s">
        <v>13</v>
      </c>
      <c r="B26" s="38" t="s">
        <v>31</v>
      </c>
      <c r="C26" s="38" t="s">
        <v>34</v>
      </c>
      <c r="D26" s="38" t="s">
        <v>39</v>
      </c>
      <c r="E26" s="39">
        <v>925.31</v>
      </c>
      <c r="F26" s="39">
        <v>8</v>
      </c>
      <c r="G26" s="39">
        <v>0.1</v>
      </c>
      <c r="H26" s="40">
        <v>45418</v>
      </c>
      <c r="I26" s="39">
        <v>374.75</v>
      </c>
      <c r="J26" s="13" t="str">
        <v>May-2024</v>
      </c>
      <c r="K26" s="41">
        <f t="shared" ca="1" si="0"/>
        <v>46070.538153703703</v>
      </c>
      <c r="L26" s="13">
        <f ca="1"/>
        <v>652.53815370370285</v>
      </c>
      <c r="M26" s="19" t="str">
        <f ca="1"/>
        <v>↑</v>
      </c>
      <c r="N26" s="13"/>
      <c r="O26" s="13"/>
      <c r="P26" s="19" t="str">
        <f t="shared" si="1"/>
        <v>Normal</v>
      </c>
      <c r="Q26" s="42">
        <f t="shared" si="2"/>
        <v>1.2000000000000002</v>
      </c>
      <c r="R26" s="43">
        <f t="shared" si="3"/>
        <v>925.31</v>
      </c>
      <c r="S26" s="4"/>
      <c r="T26" s="3"/>
    </row>
    <row r="27" spans="1:20" x14ac:dyDescent="0.3">
      <c r="A27" s="38" t="s">
        <v>35</v>
      </c>
      <c r="B27" s="38" t="s">
        <v>50</v>
      </c>
      <c r="C27" s="38" t="s">
        <v>20</v>
      </c>
      <c r="D27" s="38" t="s">
        <v>21</v>
      </c>
      <c r="E27" s="39">
        <v>1173.1199999999999</v>
      </c>
      <c r="F27" s="39">
        <v>18</v>
      </c>
      <c r="G27" s="39">
        <v>0</v>
      </c>
      <c r="H27" s="40">
        <v>45418</v>
      </c>
      <c r="I27" s="39">
        <v>293.27999999999997</v>
      </c>
      <c r="J27" s="13" t="str">
        <v>May-2024</v>
      </c>
      <c r="K27" s="41">
        <f t="shared" ca="1" si="0"/>
        <v>46070.538153703703</v>
      </c>
      <c r="L27" s="13">
        <f ca="1"/>
        <v>652.53815370370285</v>
      </c>
      <c r="M27" s="19" t="str">
        <f ca="1"/>
        <v>↑</v>
      </c>
      <c r="N27" s="13"/>
      <c r="O27" s="13"/>
      <c r="P27" s="19" t="str">
        <f t="shared" si="1"/>
        <v>Normal</v>
      </c>
      <c r="Q27" s="42">
        <f t="shared" si="2"/>
        <v>1.25</v>
      </c>
      <c r="R27" s="43">
        <f t="shared" si="3"/>
        <v>1173.1199999999999</v>
      </c>
      <c r="S27" s="4"/>
      <c r="T27" s="3"/>
    </row>
    <row r="28" spans="1:20" x14ac:dyDescent="0.3">
      <c r="A28" s="38" t="s">
        <v>22</v>
      </c>
      <c r="B28" s="38" t="s">
        <v>51</v>
      </c>
      <c r="C28" s="38" t="s">
        <v>24</v>
      </c>
      <c r="D28" s="38" t="s">
        <v>27</v>
      </c>
      <c r="E28" s="39">
        <v>675.54</v>
      </c>
      <c r="F28" s="39">
        <v>17</v>
      </c>
      <c r="G28" s="39">
        <v>0</v>
      </c>
      <c r="H28" s="40">
        <v>45420</v>
      </c>
      <c r="I28" s="39">
        <v>236.44</v>
      </c>
      <c r="J28" s="13" t="str">
        <v>May-2024</v>
      </c>
      <c r="K28" s="41">
        <f t="shared" ca="1" si="0"/>
        <v>46070.538153703703</v>
      </c>
      <c r="L28" s="13">
        <f ca="1"/>
        <v>650.53815370370285</v>
      </c>
      <c r="M28" s="19" t="str">
        <f ca="1"/>
        <v>↑</v>
      </c>
      <c r="N28" s="13"/>
      <c r="O28" s="13"/>
      <c r="P28" s="19" t="str">
        <f t="shared" si="1"/>
        <v>Normal</v>
      </c>
      <c r="Q28" s="42">
        <f t="shared" si="2"/>
        <v>1.3</v>
      </c>
      <c r="R28" s="43">
        <f t="shared" si="3"/>
        <v>675.54</v>
      </c>
      <c r="S28" s="4"/>
      <c r="T28" s="3"/>
    </row>
    <row r="29" spans="1:20" x14ac:dyDescent="0.3">
      <c r="A29" s="38" t="s">
        <v>25</v>
      </c>
      <c r="B29" s="38" t="s">
        <v>14</v>
      </c>
      <c r="C29" s="38" t="s">
        <v>34</v>
      </c>
      <c r="D29" s="38" t="s">
        <v>12</v>
      </c>
      <c r="E29" s="39">
        <v>939.09</v>
      </c>
      <c r="F29" s="39">
        <v>2</v>
      </c>
      <c r="G29" s="39">
        <v>0.05</v>
      </c>
      <c r="H29" s="40">
        <v>45422</v>
      </c>
      <c r="I29" s="39">
        <v>356.85</v>
      </c>
      <c r="J29" s="13" t="str">
        <v>May-2024</v>
      </c>
      <c r="K29" s="41">
        <f t="shared" ca="1" si="0"/>
        <v>46070.538153703703</v>
      </c>
      <c r="L29" s="13">
        <f ca="1"/>
        <v>648.53815370370285</v>
      </c>
      <c r="M29" s="19" t="str">
        <f ca="1"/>
        <v>↑</v>
      </c>
      <c r="N29" s="13"/>
      <c r="O29" s="13"/>
      <c r="P29" s="19" t="str">
        <f t="shared" si="1"/>
        <v>Normal</v>
      </c>
      <c r="Q29" s="42">
        <f t="shared" si="2"/>
        <v>1.35</v>
      </c>
      <c r="R29" s="43">
        <f t="shared" si="3"/>
        <v>939.09</v>
      </c>
      <c r="S29" s="4"/>
      <c r="T29" s="3"/>
    </row>
    <row r="30" spans="1:20" x14ac:dyDescent="0.3">
      <c r="A30" s="38" t="s">
        <v>52</v>
      </c>
      <c r="B30" s="38" t="s">
        <v>53</v>
      </c>
      <c r="C30" s="38" t="s">
        <v>18</v>
      </c>
      <c r="D30" s="38" t="s">
        <v>39</v>
      </c>
      <c r="E30" s="39">
        <v>983.34</v>
      </c>
      <c r="F30" s="39">
        <v>19</v>
      </c>
      <c r="G30" s="39">
        <v>0.1</v>
      </c>
      <c r="H30" s="40">
        <v>45426</v>
      </c>
      <c r="I30" s="39">
        <v>398.25</v>
      </c>
      <c r="J30" s="13" t="str">
        <v>May-2024</v>
      </c>
      <c r="K30" s="41">
        <f t="shared" ca="1" si="0"/>
        <v>46070.538153703703</v>
      </c>
      <c r="L30" s="13">
        <f ca="1"/>
        <v>644.53815370370285</v>
      </c>
      <c r="M30" s="19" t="str">
        <f ca="1"/>
        <v>↑</v>
      </c>
      <c r="N30" s="13"/>
      <c r="O30" s="13"/>
      <c r="P30" s="19" t="str">
        <f t="shared" si="1"/>
        <v>Normal</v>
      </c>
      <c r="Q30" s="42">
        <f t="shared" si="2"/>
        <v>1.4000000000000001</v>
      </c>
      <c r="R30" s="43">
        <f t="shared" si="3"/>
        <v>983.34</v>
      </c>
      <c r="S30" s="4"/>
      <c r="T30" s="3"/>
    </row>
    <row r="31" spans="1:20" x14ac:dyDescent="0.3">
      <c r="A31" s="38" t="s">
        <v>52</v>
      </c>
      <c r="B31" s="38" t="s">
        <v>23</v>
      </c>
      <c r="C31" s="38" t="s">
        <v>20</v>
      </c>
      <c r="D31" s="38" t="s">
        <v>21</v>
      </c>
      <c r="E31" s="39">
        <v>801.21</v>
      </c>
      <c r="F31" s="39">
        <v>3</v>
      </c>
      <c r="G31" s="39">
        <v>0.2</v>
      </c>
      <c r="H31" s="40">
        <v>45426</v>
      </c>
      <c r="I31" s="39">
        <v>160.24</v>
      </c>
      <c r="J31" s="13" t="str">
        <v>May-2024</v>
      </c>
      <c r="K31" s="41">
        <f t="shared" ca="1" si="0"/>
        <v>46070.538153703703</v>
      </c>
      <c r="L31" s="13">
        <f ca="1"/>
        <v>644.53815370370285</v>
      </c>
      <c r="M31" s="19" t="str">
        <f ca="1"/>
        <v>↑</v>
      </c>
      <c r="N31" s="13"/>
      <c r="O31" s="13"/>
      <c r="P31" s="19" t="str">
        <f t="shared" si="1"/>
        <v>Normal</v>
      </c>
      <c r="Q31" s="42">
        <f t="shared" si="2"/>
        <v>1.4500000000000002</v>
      </c>
      <c r="R31" s="43">
        <f t="shared" si="3"/>
        <v>801.21</v>
      </c>
      <c r="S31" s="4"/>
      <c r="T31" s="3"/>
    </row>
    <row r="32" spans="1:20" x14ac:dyDescent="0.3">
      <c r="A32" s="38" t="s">
        <v>54</v>
      </c>
      <c r="B32" s="38" t="s">
        <v>55</v>
      </c>
      <c r="C32" s="38" t="s">
        <v>24</v>
      </c>
      <c r="D32" s="38" t="s">
        <v>21</v>
      </c>
      <c r="E32" s="39">
        <v>1450.71</v>
      </c>
      <c r="F32" s="39">
        <v>5</v>
      </c>
      <c r="G32" s="39">
        <v>0.1</v>
      </c>
      <c r="H32" s="40">
        <v>45427</v>
      </c>
      <c r="I32" s="39">
        <v>326.41000000000003</v>
      </c>
      <c r="J32" s="13" t="str">
        <v>May-2024</v>
      </c>
      <c r="K32" s="41">
        <f t="shared" ca="1" si="0"/>
        <v>46070.538153703703</v>
      </c>
      <c r="L32" s="13">
        <f ca="1"/>
        <v>643.53815370370285</v>
      </c>
      <c r="M32" s="19" t="str">
        <f ca="1"/>
        <v>↑</v>
      </c>
      <c r="N32" s="13"/>
      <c r="O32" s="13"/>
      <c r="P32" s="19" t="str">
        <f t="shared" si="1"/>
        <v>Normal</v>
      </c>
      <c r="Q32" s="42">
        <f t="shared" si="2"/>
        <v>1.5</v>
      </c>
      <c r="R32" s="43">
        <f t="shared" si="3"/>
        <v>1450.71</v>
      </c>
      <c r="S32" s="4"/>
      <c r="T32" s="3"/>
    </row>
    <row r="33" spans="1:20" x14ac:dyDescent="0.3">
      <c r="A33" s="38" t="s">
        <v>49</v>
      </c>
      <c r="B33" s="38" t="s">
        <v>56</v>
      </c>
      <c r="C33" s="38" t="s">
        <v>34</v>
      </c>
      <c r="D33" s="38" t="s">
        <v>12</v>
      </c>
      <c r="E33" s="39">
        <v>1023.21</v>
      </c>
      <c r="F33" s="39">
        <v>18</v>
      </c>
      <c r="G33" s="39">
        <v>0.05</v>
      </c>
      <c r="H33" s="40">
        <v>45428</v>
      </c>
      <c r="I33" s="39">
        <v>388.82</v>
      </c>
      <c r="J33" s="13" t="str">
        <v>May-2024</v>
      </c>
      <c r="K33" s="41">
        <f t="shared" ca="1" si="0"/>
        <v>46070.538153703703</v>
      </c>
      <c r="L33" s="13">
        <f ca="1"/>
        <v>642.53815370370285</v>
      </c>
      <c r="M33" s="19" t="str">
        <f ca="1"/>
        <v>↑</v>
      </c>
      <c r="N33" s="13"/>
      <c r="O33" s="13"/>
      <c r="P33" s="19" t="str">
        <f t="shared" si="1"/>
        <v>Normal</v>
      </c>
      <c r="Q33" s="42">
        <f t="shared" si="2"/>
        <v>1.55</v>
      </c>
      <c r="R33" s="43">
        <f t="shared" si="3"/>
        <v>1023.21</v>
      </c>
      <c r="S33" s="4"/>
      <c r="T33" s="3"/>
    </row>
    <row r="34" spans="1:20" x14ac:dyDescent="0.3">
      <c r="A34" s="38" t="s">
        <v>28</v>
      </c>
      <c r="B34" s="38" t="s">
        <v>47</v>
      </c>
      <c r="C34" s="38" t="s">
        <v>11</v>
      </c>
      <c r="D34" s="38" t="s">
        <v>27</v>
      </c>
      <c r="E34" s="39">
        <v>853.72</v>
      </c>
      <c r="F34" s="39">
        <v>5</v>
      </c>
      <c r="G34" s="39">
        <v>0.15</v>
      </c>
      <c r="H34" s="40">
        <v>45428</v>
      </c>
      <c r="I34" s="39">
        <v>253.98</v>
      </c>
      <c r="J34" s="13" t="str">
        <v>May-2024</v>
      </c>
      <c r="K34" s="41">
        <f t="shared" ca="1" si="0"/>
        <v>46070.538153703703</v>
      </c>
      <c r="L34" s="13">
        <f ca="1"/>
        <v>642.53815370370285</v>
      </c>
      <c r="M34" s="19" t="str">
        <f ca="1"/>
        <v>↑</v>
      </c>
      <c r="N34" s="13"/>
      <c r="O34" s="13"/>
      <c r="P34" s="19" t="str">
        <f t="shared" si="1"/>
        <v>Normal</v>
      </c>
      <c r="Q34" s="42">
        <f t="shared" si="2"/>
        <v>1.6</v>
      </c>
      <c r="R34" s="43">
        <f t="shared" si="3"/>
        <v>853.72</v>
      </c>
      <c r="S34" s="4"/>
      <c r="T34" s="3"/>
    </row>
    <row r="35" spans="1:20" x14ac:dyDescent="0.3">
      <c r="A35" s="38" t="s">
        <v>57</v>
      </c>
      <c r="B35" s="38" t="s">
        <v>43</v>
      </c>
      <c r="C35" s="38" t="s">
        <v>20</v>
      </c>
      <c r="D35" s="38" t="s">
        <v>21</v>
      </c>
      <c r="E35" s="39">
        <v>967.89</v>
      </c>
      <c r="F35" s="39">
        <v>10</v>
      </c>
      <c r="G35" s="39">
        <v>0.1</v>
      </c>
      <c r="H35" s="40">
        <v>45429</v>
      </c>
      <c r="I35" s="39">
        <v>217.78</v>
      </c>
      <c r="J35" s="13" t="str">
        <v>May-2024</v>
      </c>
      <c r="K35" s="41">
        <f t="shared" ca="1" si="0"/>
        <v>46070.538153703703</v>
      </c>
      <c r="L35" s="13">
        <f ca="1"/>
        <v>641.53815370370285</v>
      </c>
      <c r="M35" s="19" t="str">
        <f ca="1"/>
        <v>↑</v>
      </c>
      <c r="N35" s="13"/>
      <c r="O35" s="13"/>
      <c r="P35" s="19" t="str">
        <f t="shared" si="1"/>
        <v>Normal</v>
      </c>
      <c r="Q35" s="42">
        <f t="shared" si="2"/>
        <v>1.6500000000000001</v>
      </c>
      <c r="R35" s="43">
        <f t="shared" si="3"/>
        <v>967.89</v>
      </c>
      <c r="S35" s="4"/>
      <c r="T35" s="3"/>
    </row>
    <row r="36" spans="1:20" x14ac:dyDescent="0.3">
      <c r="A36" s="38" t="s">
        <v>58</v>
      </c>
      <c r="B36" s="38" t="s">
        <v>53</v>
      </c>
      <c r="C36" s="38" t="s">
        <v>24</v>
      </c>
      <c r="D36" s="38" t="s">
        <v>39</v>
      </c>
      <c r="E36" s="39">
        <v>1200.9000000000001</v>
      </c>
      <c r="F36" s="39">
        <v>14</v>
      </c>
      <c r="G36" s="39">
        <v>0.05</v>
      </c>
      <c r="H36" s="40">
        <v>45429</v>
      </c>
      <c r="I36" s="39">
        <v>513.38</v>
      </c>
      <c r="J36" s="13" t="str">
        <v>May-2024</v>
      </c>
      <c r="K36" s="41">
        <f t="shared" ca="1" si="0"/>
        <v>46070.538153703703</v>
      </c>
      <c r="L36" s="13">
        <f ca="1"/>
        <v>641.53815370370285</v>
      </c>
      <c r="M36" s="19" t="str">
        <f ca="1"/>
        <v>↑</v>
      </c>
      <c r="N36" s="13"/>
      <c r="O36" s="13"/>
      <c r="P36" s="19" t="str">
        <f t="shared" si="1"/>
        <v>Normal</v>
      </c>
      <c r="Q36" s="42">
        <f t="shared" si="2"/>
        <v>1.7000000000000002</v>
      </c>
      <c r="R36" s="43">
        <f t="shared" si="3"/>
        <v>1200.9000000000001</v>
      </c>
      <c r="S36" s="4"/>
      <c r="T36" s="3"/>
    </row>
    <row r="37" spans="1:20" x14ac:dyDescent="0.3">
      <c r="A37" s="38" t="s">
        <v>13</v>
      </c>
      <c r="B37" s="38" t="s">
        <v>26</v>
      </c>
      <c r="C37" s="38" t="s">
        <v>11</v>
      </c>
      <c r="D37" s="38" t="s">
        <v>12</v>
      </c>
      <c r="E37" s="39">
        <v>472.38</v>
      </c>
      <c r="F37" s="39">
        <v>12</v>
      </c>
      <c r="G37" s="39">
        <v>0.2</v>
      </c>
      <c r="H37" s="40">
        <v>45429</v>
      </c>
      <c r="I37" s="39">
        <v>151.16</v>
      </c>
      <c r="J37" s="13" t="str">
        <v>May-2024</v>
      </c>
      <c r="K37" s="41">
        <f t="shared" ca="1" si="0"/>
        <v>46070.538153703703</v>
      </c>
      <c r="L37" s="13">
        <f ca="1"/>
        <v>641.53815370370285</v>
      </c>
      <c r="M37" s="19" t="str">
        <f ca="1"/>
        <v>↑</v>
      </c>
      <c r="N37" s="13"/>
      <c r="O37" s="13"/>
      <c r="P37" s="19" t="str">
        <f t="shared" si="1"/>
        <v>Normal</v>
      </c>
      <c r="Q37" s="42">
        <f t="shared" si="2"/>
        <v>1.75</v>
      </c>
      <c r="R37" s="43">
        <f t="shared" si="3"/>
        <v>472.38</v>
      </c>
      <c r="S37" s="4"/>
      <c r="T37" s="3"/>
    </row>
    <row r="38" spans="1:20" x14ac:dyDescent="0.3">
      <c r="A38" s="38" t="s">
        <v>9</v>
      </c>
      <c r="B38" s="38" t="s">
        <v>55</v>
      </c>
      <c r="C38" s="38" t="s">
        <v>18</v>
      </c>
      <c r="D38" s="38" t="s">
        <v>39</v>
      </c>
      <c r="E38" s="39">
        <v>840.92</v>
      </c>
      <c r="F38" s="39">
        <v>9</v>
      </c>
      <c r="G38" s="39">
        <v>0.05</v>
      </c>
      <c r="H38" s="40">
        <v>45429</v>
      </c>
      <c r="I38" s="39">
        <v>359.49</v>
      </c>
      <c r="J38" s="13" t="str">
        <v>May-2024</v>
      </c>
      <c r="K38" s="41">
        <f t="shared" ca="1" si="0"/>
        <v>46070.538153703703</v>
      </c>
      <c r="L38" s="13">
        <f ca="1"/>
        <v>641.53815370370285</v>
      </c>
      <c r="M38" s="19" t="str">
        <f ca="1"/>
        <v>↑</v>
      </c>
      <c r="N38" s="13"/>
      <c r="O38" s="13"/>
      <c r="P38" s="19" t="str">
        <f t="shared" si="1"/>
        <v>Normal</v>
      </c>
      <c r="Q38" s="42">
        <f t="shared" si="2"/>
        <v>1.8</v>
      </c>
      <c r="R38" s="43">
        <f t="shared" si="3"/>
        <v>840.92</v>
      </c>
      <c r="S38" s="4"/>
      <c r="T38" s="3"/>
    </row>
    <row r="39" spans="1:20" x14ac:dyDescent="0.3">
      <c r="A39" s="38" t="s">
        <v>52</v>
      </c>
      <c r="B39" s="38" t="s">
        <v>48</v>
      </c>
      <c r="C39" s="38" t="s">
        <v>34</v>
      </c>
      <c r="D39" s="38" t="s">
        <v>27</v>
      </c>
      <c r="E39" s="39">
        <v>1410.06</v>
      </c>
      <c r="F39" s="39">
        <v>11</v>
      </c>
      <c r="G39" s="39">
        <v>0.05</v>
      </c>
      <c r="H39" s="40">
        <v>45434</v>
      </c>
      <c r="I39" s="39">
        <v>468.84</v>
      </c>
      <c r="J39" s="13" t="str">
        <v>May-2024</v>
      </c>
      <c r="K39" s="41">
        <f t="shared" ca="1" si="0"/>
        <v>46070.538153703703</v>
      </c>
      <c r="L39" s="13">
        <f ca="1"/>
        <v>636.53815370370285</v>
      </c>
      <c r="M39" s="19" t="str">
        <f ca="1"/>
        <v>↑</v>
      </c>
      <c r="N39" s="13"/>
      <c r="O39" s="13"/>
      <c r="P39" s="19" t="str">
        <f t="shared" si="1"/>
        <v>Normal</v>
      </c>
      <c r="Q39" s="42">
        <f t="shared" si="2"/>
        <v>1.85</v>
      </c>
      <c r="R39" s="43">
        <f t="shared" si="3"/>
        <v>1410.06</v>
      </c>
      <c r="S39" s="4"/>
      <c r="T39" s="3"/>
    </row>
    <row r="40" spans="1:20" x14ac:dyDescent="0.3">
      <c r="A40" s="38" t="s">
        <v>44</v>
      </c>
      <c r="B40" s="38" t="s">
        <v>59</v>
      </c>
      <c r="C40" s="38" t="s">
        <v>34</v>
      </c>
      <c r="D40" s="38" t="s">
        <v>27</v>
      </c>
      <c r="E40" s="39">
        <v>773.09</v>
      </c>
      <c r="F40" s="39">
        <v>13</v>
      </c>
      <c r="G40" s="39">
        <v>0.15</v>
      </c>
      <c r="H40" s="40">
        <v>45434</v>
      </c>
      <c r="I40" s="39">
        <v>229.99</v>
      </c>
      <c r="J40" s="13" t="str">
        <v>May-2024</v>
      </c>
      <c r="K40" s="41">
        <f t="shared" ca="1" si="0"/>
        <v>46070.538153703703</v>
      </c>
      <c r="L40" s="13">
        <f ca="1"/>
        <v>636.53815370370285</v>
      </c>
      <c r="M40" s="19" t="str">
        <f ca="1"/>
        <v>↑</v>
      </c>
      <c r="N40" s="13"/>
      <c r="O40" s="13"/>
      <c r="P40" s="19" t="str">
        <f t="shared" si="1"/>
        <v>Normal</v>
      </c>
      <c r="Q40" s="42">
        <f t="shared" si="2"/>
        <v>1.9000000000000001</v>
      </c>
      <c r="R40" s="43">
        <f t="shared" si="3"/>
        <v>773.09</v>
      </c>
      <c r="S40" s="4"/>
      <c r="T40" s="3"/>
    </row>
    <row r="41" spans="1:20" x14ac:dyDescent="0.3">
      <c r="A41" s="38" t="s">
        <v>60</v>
      </c>
      <c r="B41" s="38" t="s">
        <v>61</v>
      </c>
      <c r="C41" s="38" t="s">
        <v>18</v>
      </c>
      <c r="D41" s="38" t="s">
        <v>12</v>
      </c>
      <c r="E41" s="39">
        <v>580.42999999999995</v>
      </c>
      <c r="F41" s="39">
        <v>19</v>
      </c>
      <c r="G41" s="39">
        <v>0.15</v>
      </c>
      <c r="H41" s="40">
        <v>45435</v>
      </c>
      <c r="I41" s="39">
        <v>197.35</v>
      </c>
      <c r="J41" s="13" t="str">
        <v>May-2024</v>
      </c>
      <c r="K41" s="41">
        <f t="shared" ca="1" si="0"/>
        <v>46070.538153703703</v>
      </c>
      <c r="L41" s="13">
        <f ca="1"/>
        <v>635.53815370370285</v>
      </c>
      <c r="M41" s="19" t="str">
        <f ca="1"/>
        <v>↑</v>
      </c>
      <c r="N41" s="13"/>
      <c r="O41" s="13"/>
      <c r="P41" s="19" t="str">
        <f t="shared" si="1"/>
        <v>Normal</v>
      </c>
      <c r="Q41" s="42">
        <f t="shared" si="2"/>
        <v>1.9500000000000002</v>
      </c>
      <c r="R41" s="43">
        <f t="shared" si="3"/>
        <v>580.42999999999995</v>
      </c>
      <c r="S41" s="4"/>
      <c r="T41" s="3"/>
    </row>
    <row r="42" spans="1:20" x14ac:dyDescent="0.3">
      <c r="A42" s="38" t="s">
        <v>19</v>
      </c>
      <c r="B42" s="38" t="s">
        <v>42</v>
      </c>
      <c r="C42" s="38" t="s">
        <v>20</v>
      </c>
      <c r="D42" s="38" t="s">
        <v>12</v>
      </c>
      <c r="E42" s="39">
        <v>1151.21</v>
      </c>
      <c r="F42" s="39">
        <v>15</v>
      </c>
      <c r="G42" s="39">
        <v>0.1</v>
      </c>
      <c r="H42" s="40">
        <v>45445</v>
      </c>
      <c r="I42" s="39">
        <v>414.44</v>
      </c>
      <c r="J42" s="13" t="str">
        <v>Jun-2024</v>
      </c>
      <c r="K42" s="41">
        <f t="shared" ca="1" si="0"/>
        <v>46070.538153703703</v>
      </c>
      <c r="L42" s="13">
        <f ca="1"/>
        <v>625.53815370370285</v>
      </c>
      <c r="M42" s="19" t="str">
        <f ca="1"/>
        <v>↑</v>
      </c>
      <c r="N42" s="13"/>
      <c r="O42" s="13"/>
      <c r="P42" s="19" t="str">
        <f t="shared" si="1"/>
        <v>Normal</v>
      </c>
      <c r="Q42" s="42">
        <f t="shared" si="2"/>
        <v>2</v>
      </c>
      <c r="R42" s="43">
        <f t="shared" si="3"/>
        <v>1151.21</v>
      </c>
      <c r="S42" s="4"/>
      <c r="T42" s="3"/>
    </row>
    <row r="43" spans="1:20" x14ac:dyDescent="0.3">
      <c r="A43" s="38" t="s">
        <v>52</v>
      </c>
      <c r="B43" s="38" t="s">
        <v>23</v>
      </c>
      <c r="C43" s="38" t="s">
        <v>34</v>
      </c>
      <c r="D43" s="38" t="s">
        <v>39</v>
      </c>
      <c r="E43" s="39">
        <v>1025.98</v>
      </c>
      <c r="F43" s="39">
        <v>5</v>
      </c>
      <c r="G43" s="39">
        <v>0.2</v>
      </c>
      <c r="H43" s="40">
        <v>45447</v>
      </c>
      <c r="I43" s="39">
        <v>369.35</v>
      </c>
      <c r="J43" s="13" t="str">
        <v>Jun-2024</v>
      </c>
      <c r="K43" s="41">
        <f t="shared" ca="1" si="0"/>
        <v>46070.538153703703</v>
      </c>
      <c r="L43" s="13">
        <f ca="1"/>
        <v>623.53815370370285</v>
      </c>
      <c r="M43" s="19" t="str">
        <f ca="1"/>
        <v>↑</v>
      </c>
      <c r="N43" s="13"/>
      <c r="O43" s="13"/>
      <c r="P43" s="19" t="str">
        <f t="shared" si="1"/>
        <v>Normal</v>
      </c>
      <c r="Q43" s="42">
        <f t="shared" si="2"/>
        <v>2.0500000000000003</v>
      </c>
      <c r="R43" s="43">
        <f t="shared" si="3"/>
        <v>1025.98</v>
      </c>
      <c r="S43" s="4"/>
      <c r="T43" s="3"/>
    </row>
    <row r="44" spans="1:20" x14ac:dyDescent="0.3">
      <c r="A44" s="38" t="s">
        <v>40</v>
      </c>
      <c r="B44" s="38" t="s">
        <v>56</v>
      </c>
      <c r="C44" s="38" t="s">
        <v>18</v>
      </c>
      <c r="D44" s="38" t="s">
        <v>39</v>
      </c>
      <c r="E44" s="39">
        <v>556.41999999999996</v>
      </c>
      <c r="F44" s="39">
        <v>11</v>
      </c>
      <c r="G44" s="39">
        <v>0.15</v>
      </c>
      <c r="H44" s="40">
        <v>45447</v>
      </c>
      <c r="I44" s="39">
        <v>212.83</v>
      </c>
      <c r="J44" s="13" t="str">
        <v>Jun-2024</v>
      </c>
      <c r="K44" s="41">
        <f t="shared" ca="1" si="0"/>
        <v>46070.538153703703</v>
      </c>
      <c r="L44" s="13">
        <f ca="1"/>
        <v>623.53815370370285</v>
      </c>
      <c r="M44" s="19" t="str">
        <f ca="1"/>
        <v>↑</v>
      </c>
      <c r="N44" s="13"/>
      <c r="O44" s="13"/>
      <c r="P44" s="19" t="str">
        <f t="shared" si="1"/>
        <v>Normal</v>
      </c>
      <c r="Q44" s="42">
        <f t="shared" si="2"/>
        <v>2.1</v>
      </c>
      <c r="R44" s="43">
        <f t="shared" si="3"/>
        <v>556.41999999999996</v>
      </c>
      <c r="S44" s="4"/>
      <c r="T44" s="3"/>
    </row>
    <row r="45" spans="1:20" x14ac:dyDescent="0.3">
      <c r="A45" s="38" t="s">
        <v>57</v>
      </c>
      <c r="B45" s="38" t="s">
        <v>23</v>
      </c>
      <c r="C45" s="38" t="s">
        <v>34</v>
      </c>
      <c r="D45" s="38" t="s">
        <v>12</v>
      </c>
      <c r="E45" s="39">
        <v>840.85</v>
      </c>
      <c r="F45" s="39">
        <v>19</v>
      </c>
      <c r="G45" s="39">
        <v>0.1</v>
      </c>
      <c r="H45" s="40">
        <v>45448</v>
      </c>
      <c r="I45" s="39">
        <v>302.70999999999998</v>
      </c>
      <c r="J45" s="13" t="str">
        <v>Jun-2024</v>
      </c>
      <c r="K45" s="41">
        <f t="shared" ca="1" si="0"/>
        <v>46070.538153703703</v>
      </c>
      <c r="L45" s="13">
        <f ca="1"/>
        <v>622.53815370370285</v>
      </c>
      <c r="M45" s="19" t="str">
        <f ca="1"/>
        <v>↑</v>
      </c>
      <c r="N45" s="13"/>
      <c r="O45" s="13"/>
      <c r="P45" s="19" t="str">
        <f t="shared" si="1"/>
        <v>Normal</v>
      </c>
      <c r="Q45" s="42">
        <f t="shared" si="2"/>
        <v>2.15</v>
      </c>
      <c r="R45" s="43">
        <f t="shared" si="3"/>
        <v>840.85</v>
      </c>
      <c r="S45" s="4"/>
      <c r="T45" s="3"/>
    </row>
    <row r="46" spans="1:20" x14ac:dyDescent="0.3">
      <c r="A46" s="38" t="s">
        <v>30</v>
      </c>
      <c r="B46" s="38" t="s">
        <v>61</v>
      </c>
      <c r="C46" s="38" t="s">
        <v>24</v>
      </c>
      <c r="D46" s="38" t="s">
        <v>27</v>
      </c>
      <c r="E46" s="39">
        <v>1227.25</v>
      </c>
      <c r="F46" s="39">
        <v>12</v>
      </c>
      <c r="G46" s="39">
        <v>0.15</v>
      </c>
      <c r="H46" s="40">
        <v>45448</v>
      </c>
      <c r="I46" s="39">
        <v>365.11</v>
      </c>
      <c r="J46" s="13" t="str">
        <v>Jun-2024</v>
      </c>
      <c r="K46" s="41">
        <f t="shared" ca="1" si="0"/>
        <v>46070.538153703703</v>
      </c>
      <c r="L46" s="13">
        <f ca="1"/>
        <v>622.53815370370285</v>
      </c>
      <c r="M46" s="19" t="str">
        <f ca="1"/>
        <v>↑</v>
      </c>
      <c r="N46" s="13"/>
      <c r="O46" s="13"/>
      <c r="P46" s="19" t="str">
        <f t="shared" si="1"/>
        <v>Normal</v>
      </c>
      <c r="Q46" s="42">
        <f t="shared" si="2"/>
        <v>2.2000000000000002</v>
      </c>
      <c r="R46" s="43">
        <f t="shared" si="3"/>
        <v>1227.25</v>
      </c>
      <c r="S46" s="4"/>
      <c r="T46" s="3"/>
    </row>
    <row r="47" spans="1:20" x14ac:dyDescent="0.3">
      <c r="A47" s="38" t="s">
        <v>16</v>
      </c>
      <c r="B47" s="38" t="s">
        <v>62</v>
      </c>
      <c r="C47" s="38" t="s">
        <v>34</v>
      </c>
      <c r="D47" s="38" t="s">
        <v>21</v>
      </c>
      <c r="E47" s="39">
        <v>856.7</v>
      </c>
      <c r="F47" s="39">
        <v>2</v>
      </c>
      <c r="G47" s="39">
        <v>0</v>
      </c>
      <c r="H47" s="40">
        <v>45449</v>
      </c>
      <c r="I47" s="39">
        <v>214.18</v>
      </c>
      <c r="J47" s="13" t="str">
        <v>Jun-2024</v>
      </c>
      <c r="K47" s="41">
        <f t="shared" ca="1" si="0"/>
        <v>46070.538153703703</v>
      </c>
      <c r="L47" s="13">
        <f ca="1"/>
        <v>621.53815370370285</v>
      </c>
      <c r="M47" s="19" t="str">
        <f ca="1"/>
        <v>↑</v>
      </c>
      <c r="N47" s="13"/>
      <c r="O47" s="13"/>
      <c r="P47" s="19" t="str">
        <f t="shared" si="1"/>
        <v>Normal</v>
      </c>
      <c r="Q47" s="42">
        <f t="shared" si="2"/>
        <v>2.25</v>
      </c>
      <c r="R47" s="43">
        <f t="shared" si="3"/>
        <v>856.7</v>
      </c>
      <c r="S47" s="4"/>
      <c r="T47" s="3"/>
    </row>
    <row r="48" spans="1:20" x14ac:dyDescent="0.3">
      <c r="A48" s="38" t="s">
        <v>54</v>
      </c>
      <c r="B48" s="38" t="s">
        <v>56</v>
      </c>
      <c r="C48" s="38" t="s">
        <v>34</v>
      </c>
      <c r="D48" s="38" t="s">
        <v>39</v>
      </c>
      <c r="E48" s="39">
        <v>1225.42</v>
      </c>
      <c r="F48" s="39">
        <v>8</v>
      </c>
      <c r="G48" s="39">
        <v>0.15</v>
      </c>
      <c r="H48" s="40">
        <v>45449</v>
      </c>
      <c r="I48" s="39">
        <v>468.72</v>
      </c>
      <c r="J48" s="13" t="str">
        <v>Jun-2024</v>
      </c>
      <c r="K48" s="41">
        <f t="shared" ca="1" si="0"/>
        <v>46070.538153703703</v>
      </c>
      <c r="L48" s="13">
        <f ca="1"/>
        <v>621.53815370370285</v>
      </c>
      <c r="M48" s="19" t="str">
        <f ca="1"/>
        <v>↑</v>
      </c>
      <c r="N48" s="13"/>
      <c r="O48" s="13"/>
      <c r="P48" s="19" t="str">
        <f t="shared" si="1"/>
        <v>Normal</v>
      </c>
      <c r="Q48" s="42">
        <f t="shared" si="2"/>
        <v>2.3000000000000003</v>
      </c>
      <c r="R48" s="43">
        <f t="shared" si="3"/>
        <v>1225.42</v>
      </c>
      <c r="S48" s="4"/>
      <c r="T48" s="3"/>
    </row>
    <row r="49" spans="1:20" x14ac:dyDescent="0.3">
      <c r="A49" s="38" t="s">
        <v>63</v>
      </c>
      <c r="B49" s="38" t="s">
        <v>31</v>
      </c>
      <c r="C49" s="38" t="s">
        <v>24</v>
      </c>
      <c r="D49" s="38" t="s">
        <v>39</v>
      </c>
      <c r="E49" s="39">
        <v>1001.57</v>
      </c>
      <c r="F49" s="39">
        <v>12</v>
      </c>
      <c r="G49" s="39">
        <v>0</v>
      </c>
      <c r="H49" s="40">
        <v>45450</v>
      </c>
      <c r="I49" s="39">
        <v>450.71</v>
      </c>
      <c r="J49" s="13" t="str">
        <v>Jun-2024</v>
      </c>
      <c r="K49" s="41">
        <f t="shared" ca="1" si="0"/>
        <v>46070.538153703703</v>
      </c>
      <c r="L49" s="13">
        <f ca="1"/>
        <v>620.53815370370285</v>
      </c>
      <c r="M49" s="19" t="str">
        <f ca="1"/>
        <v>↑</v>
      </c>
      <c r="N49" s="13"/>
      <c r="O49" s="13"/>
      <c r="P49" s="19" t="str">
        <f t="shared" si="1"/>
        <v>Normal</v>
      </c>
      <c r="Q49" s="42">
        <f t="shared" si="2"/>
        <v>2.35</v>
      </c>
      <c r="R49" s="43">
        <f t="shared" si="3"/>
        <v>1001.57</v>
      </c>
      <c r="S49" s="4"/>
      <c r="T49" s="3"/>
    </row>
    <row r="50" spans="1:20" x14ac:dyDescent="0.3">
      <c r="A50" s="38" t="s">
        <v>57</v>
      </c>
      <c r="B50" s="38" t="s">
        <v>26</v>
      </c>
      <c r="C50" s="38" t="s">
        <v>18</v>
      </c>
      <c r="D50" s="38" t="s">
        <v>27</v>
      </c>
      <c r="E50" s="39">
        <v>1186.8499999999999</v>
      </c>
      <c r="F50" s="39">
        <v>19</v>
      </c>
      <c r="G50" s="39">
        <v>0.2</v>
      </c>
      <c r="H50" s="40">
        <v>45451</v>
      </c>
      <c r="I50" s="39">
        <v>332.32</v>
      </c>
      <c r="J50" s="13" t="str">
        <v>Jun-2024</v>
      </c>
      <c r="K50" s="41">
        <f t="shared" ca="1" si="0"/>
        <v>46070.538153703703</v>
      </c>
      <c r="L50" s="13">
        <f ca="1"/>
        <v>619.53815370370285</v>
      </c>
      <c r="M50" s="19" t="str">
        <f ca="1"/>
        <v>↑</v>
      </c>
      <c r="N50" s="13"/>
      <c r="O50" s="13"/>
      <c r="P50" s="19" t="str">
        <f t="shared" si="1"/>
        <v>Normal</v>
      </c>
      <c r="Q50" s="42">
        <f t="shared" si="2"/>
        <v>2.4000000000000004</v>
      </c>
      <c r="R50" s="43">
        <f t="shared" si="3"/>
        <v>1186.8499999999999</v>
      </c>
      <c r="S50" s="4"/>
      <c r="T50" s="3"/>
    </row>
    <row r="51" spans="1:20" x14ac:dyDescent="0.3">
      <c r="A51" s="38" t="s">
        <v>44</v>
      </c>
      <c r="B51" s="38" t="s">
        <v>51</v>
      </c>
      <c r="C51" s="38" t="s">
        <v>20</v>
      </c>
      <c r="D51" s="38" t="s">
        <v>21</v>
      </c>
      <c r="E51" s="39">
        <v>775.45</v>
      </c>
      <c r="F51" s="39">
        <v>6</v>
      </c>
      <c r="G51" s="39">
        <v>0.1</v>
      </c>
      <c r="H51" s="40">
        <v>45457</v>
      </c>
      <c r="I51" s="39">
        <v>174.48</v>
      </c>
      <c r="J51" s="13" t="str">
        <v>Jun-2024</v>
      </c>
      <c r="K51" s="41">
        <f t="shared" ca="1" si="0"/>
        <v>46070.538153703703</v>
      </c>
      <c r="L51" s="13">
        <f ca="1"/>
        <v>613.53815370370285</v>
      </c>
      <c r="M51" s="19" t="str">
        <f ca="1"/>
        <v>↑</v>
      </c>
      <c r="N51" s="13"/>
      <c r="O51" s="13"/>
      <c r="P51" s="19" t="str">
        <f t="shared" si="1"/>
        <v>Normal</v>
      </c>
      <c r="Q51" s="42">
        <f t="shared" si="2"/>
        <v>2.4500000000000002</v>
      </c>
      <c r="R51" s="43">
        <f t="shared" si="3"/>
        <v>775.45</v>
      </c>
      <c r="S51" s="4"/>
      <c r="T51" s="3"/>
    </row>
    <row r="52" spans="1:20" x14ac:dyDescent="0.3">
      <c r="A52" s="38" t="s">
        <v>25</v>
      </c>
      <c r="B52" s="38" t="s">
        <v>33</v>
      </c>
      <c r="C52" s="38" t="s">
        <v>20</v>
      </c>
      <c r="D52" s="38" t="s">
        <v>21</v>
      </c>
      <c r="E52" s="39">
        <v>1021.47</v>
      </c>
      <c r="F52" s="39">
        <v>6</v>
      </c>
      <c r="G52" s="39">
        <v>0.05</v>
      </c>
      <c r="H52" s="40">
        <v>45461</v>
      </c>
      <c r="I52" s="39">
        <v>242.6</v>
      </c>
      <c r="J52" s="13" t="str">
        <v>Jun-2024</v>
      </c>
      <c r="K52" s="41">
        <f t="shared" ca="1" si="0"/>
        <v>46070.538153703703</v>
      </c>
      <c r="L52" s="13">
        <f ca="1"/>
        <v>609.53815370370285</v>
      </c>
      <c r="M52" s="19" t="str">
        <f ca="1"/>
        <v>↑</v>
      </c>
      <c r="N52" s="13"/>
      <c r="O52" s="13"/>
      <c r="P52" s="19" t="str">
        <f t="shared" si="1"/>
        <v>Normal</v>
      </c>
      <c r="Q52" s="42">
        <f t="shared" si="2"/>
        <v>2.5</v>
      </c>
      <c r="R52" s="43">
        <f t="shared" si="3"/>
        <v>1021.47</v>
      </c>
      <c r="S52" s="4"/>
      <c r="T52" s="3"/>
    </row>
    <row r="53" spans="1:20" x14ac:dyDescent="0.3">
      <c r="A53" s="38" t="s">
        <v>58</v>
      </c>
      <c r="B53" s="38" t="s">
        <v>23</v>
      </c>
      <c r="C53" s="38" t="s">
        <v>20</v>
      </c>
      <c r="D53" s="38" t="s">
        <v>15</v>
      </c>
      <c r="E53" s="39">
        <v>1226.6199999999999</v>
      </c>
      <c r="F53" s="39">
        <v>7</v>
      </c>
      <c r="G53" s="39">
        <v>0.1</v>
      </c>
      <c r="H53" s="40">
        <v>45463</v>
      </c>
      <c r="I53" s="39">
        <v>551.98</v>
      </c>
      <c r="J53" s="13" t="str">
        <v>Jun-2024</v>
      </c>
      <c r="K53" s="41">
        <f t="shared" ca="1" si="0"/>
        <v>46070.538153703703</v>
      </c>
      <c r="L53" s="13">
        <f ca="1"/>
        <v>607.53815370370285</v>
      </c>
      <c r="M53" s="19" t="str">
        <f ca="1"/>
        <v>↑</v>
      </c>
      <c r="N53" s="13"/>
      <c r="O53" s="13"/>
      <c r="P53" s="19" t="str">
        <f t="shared" si="1"/>
        <v>Normal</v>
      </c>
      <c r="Q53" s="42">
        <f t="shared" si="2"/>
        <v>2.5500000000000003</v>
      </c>
      <c r="R53" s="43">
        <f t="shared" si="3"/>
        <v>1226.6199999999999</v>
      </c>
      <c r="S53" s="4"/>
      <c r="T53" s="3"/>
    </row>
    <row r="54" spans="1:20" x14ac:dyDescent="0.3">
      <c r="A54" s="38" t="s">
        <v>22</v>
      </c>
      <c r="B54" s="38" t="s">
        <v>64</v>
      </c>
      <c r="C54" s="38" t="s">
        <v>20</v>
      </c>
      <c r="D54" s="38" t="s">
        <v>27</v>
      </c>
      <c r="E54" s="39">
        <v>1086.93</v>
      </c>
      <c r="F54" s="39">
        <v>2</v>
      </c>
      <c r="G54" s="39">
        <v>0</v>
      </c>
      <c r="H54" s="40">
        <v>45464</v>
      </c>
      <c r="I54" s="39">
        <v>380.43</v>
      </c>
      <c r="J54" s="13" t="str">
        <v>Jun-2024</v>
      </c>
      <c r="K54" s="41">
        <f t="shared" ca="1" si="0"/>
        <v>46070.538153703703</v>
      </c>
      <c r="L54" s="13">
        <f ca="1"/>
        <v>606.53815370370285</v>
      </c>
      <c r="M54" s="19" t="str">
        <f ca="1"/>
        <v>↑</v>
      </c>
      <c r="N54" s="13"/>
      <c r="O54" s="13"/>
      <c r="P54" s="19" t="str">
        <f t="shared" si="1"/>
        <v>Normal</v>
      </c>
      <c r="Q54" s="42">
        <f t="shared" si="2"/>
        <v>2.6</v>
      </c>
      <c r="R54" s="43">
        <f t="shared" si="3"/>
        <v>1086.93</v>
      </c>
      <c r="S54" s="4"/>
      <c r="T54" s="3"/>
    </row>
    <row r="55" spans="1:20" x14ac:dyDescent="0.3">
      <c r="A55" s="38" t="s">
        <v>65</v>
      </c>
      <c r="B55" s="38" t="s">
        <v>48</v>
      </c>
      <c r="C55" s="38" t="s">
        <v>11</v>
      </c>
      <c r="D55" s="38" t="s">
        <v>12</v>
      </c>
      <c r="E55" s="39">
        <v>942.9</v>
      </c>
      <c r="F55" s="39">
        <v>18</v>
      </c>
      <c r="G55" s="39">
        <v>0.1</v>
      </c>
      <c r="H55" s="40">
        <v>45466</v>
      </c>
      <c r="I55" s="39">
        <v>339.44</v>
      </c>
      <c r="J55" s="13" t="str">
        <v>Jun-2024</v>
      </c>
      <c r="K55" s="41">
        <f t="shared" ca="1" si="0"/>
        <v>46070.538153703703</v>
      </c>
      <c r="L55" s="13">
        <f ca="1"/>
        <v>604.53815370370285</v>
      </c>
      <c r="M55" s="19" t="str">
        <f ca="1"/>
        <v>↑</v>
      </c>
      <c r="N55" s="13"/>
      <c r="O55" s="13"/>
      <c r="P55" s="19" t="str">
        <f t="shared" si="1"/>
        <v>Normal</v>
      </c>
      <c r="Q55" s="42">
        <f t="shared" si="2"/>
        <v>2.6500000000000004</v>
      </c>
      <c r="R55" s="43">
        <f t="shared" si="3"/>
        <v>942.9</v>
      </c>
      <c r="S55" s="4"/>
      <c r="T55" s="3"/>
    </row>
    <row r="56" spans="1:20" x14ac:dyDescent="0.3">
      <c r="A56" s="38" t="s">
        <v>32</v>
      </c>
      <c r="B56" s="38" t="s">
        <v>38</v>
      </c>
      <c r="C56" s="38" t="s">
        <v>24</v>
      </c>
      <c r="D56" s="38" t="s">
        <v>21</v>
      </c>
      <c r="E56" s="39">
        <v>818.8</v>
      </c>
      <c r="F56" s="39">
        <v>15</v>
      </c>
      <c r="G56" s="39">
        <v>0.15</v>
      </c>
      <c r="H56" s="40">
        <v>45468</v>
      </c>
      <c r="I56" s="39">
        <v>173.99</v>
      </c>
      <c r="J56" s="13" t="str">
        <v>Jun-2024</v>
      </c>
      <c r="K56" s="41">
        <f t="shared" ca="1" si="0"/>
        <v>46070.538153703703</v>
      </c>
      <c r="L56" s="13">
        <f ca="1"/>
        <v>602.53815370370285</v>
      </c>
      <c r="M56" s="19" t="str">
        <f ca="1"/>
        <v>↑</v>
      </c>
      <c r="N56" s="13"/>
      <c r="O56" s="13"/>
      <c r="P56" s="19" t="str">
        <f t="shared" si="1"/>
        <v>Normal</v>
      </c>
      <c r="Q56" s="42">
        <f t="shared" si="2"/>
        <v>2.7</v>
      </c>
      <c r="R56" s="43">
        <f t="shared" si="3"/>
        <v>818.8</v>
      </c>
      <c r="S56" s="4"/>
      <c r="T56" s="3"/>
    </row>
    <row r="57" spans="1:20" x14ac:dyDescent="0.3">
      <c r="A57" s="38" t="s">
        <v>19</v>
      </c>
      <c r="B57" s="38" t="s">
        <v>14</v>
      </c>
      <c r="C57" s="38" t="s">
        <v>20</v>
      </c>
      <c r="D57" s="38" t="s">
        <v>27</v>
      </c>
      <c r="E57" s="39">
        <v>919.04</v>
      </c>
      <c r="F57" s="39">
        <v>10</v>
      </c>
      <c r="G57" s="39">
        <v>0.2</v>
      </c>
      <c r="H57" s="40">
        <v>45468</v>
      </c>
      <c r="I57" s="39">
        <v>257.33</v>
      </c>
      <c r="J57" s="13" t="str">
        <v>Jun-2024</v>
      </c>
      <c r="K57" s="41">
        <f t="shared" ca="1" si="0"/>
        <v>46070.538153703703</v>
      </c>
      <c r="L57" s="13">
        <f ca="1"/>
        <v>602.53815370370285</v>
      </c>
      <c r="M57" s="19" t="str">
        <f ca="1"/>
        <v>↑</v>
      </c>
      <c r="N57" s="13"/>
      <c r="O57" s="13"/>
      <c r="P57" s="19" t="str">
        <f t="shared" si="1"/>
        <v>Normal</v>
      </c>
      <c r="Q57" s="42">
        <f t="shared" si="2"/>
        <v>2.75</v>
      </c>
      <c r="R57" s="43">
        <f t="shared" si="3"/>
        <v>919.04</v>
      </c>
      <c r="S57" s="4"/>
      <c r="T57" s="3"/>
    </row>
    <row r="58" spans="1:20" x14ac:dyDescent="0.3">
      <c r="A58" s="38" t="s">
        <v>22</v>
      </c>
      <c r="B58" s="38" t="s">
        <v>66</v>
      </c>
      <c r="C58" s="38" t="s">
        <v>34</v>
      </c>
      <c r="D58" s="38" t="s">
        <v>12</v>
      </c>
      <c r="E58" s="39">
        <v>973.26</v>
      </c>
      <c r="F58" s="39">
        <v>11</v>
      </c>
      <c r="G58" s="39">
        <v>0</v>
      </c>
      <c r="H58" s="40">
        <v>45470</v>
      </c>
      <c r="I58" s="39">
        <v>389.3</v>
      </c>
      <c r="J58" s="13" t="str">
        <v>Jun-2024</v>
      </c>
      <c r="K58" s="41">
        <f t="shared" ca="1" si="0"/>
        <v>46070.538153703703</v>
      </c>
      <c r="L58" s="13">
        <f ca="1"/>
        <v>600.53815370370285</v>
      </c>
      <c r="M58" s="19" t="str">
        <f ca="1"/>
        <v>↑</v>
      </c>
      <c r="N58" s="13"/>
      <c r="O58" s="13"/>
      <c r="P58" s="19" t="str">
        <f t="shared" si="1"/>
        <v>Normal</v>
      </c>
      <c r="Q58" s="42">
        <f t="shared" si="2"/>
        <v>2.8000000000000003</v>
      </c>
      <c r="R58" s="43">
        <f t="shared" si="3"/>
        <v>973.26</v>
      </c>
      <c r="S58" s="4"/>
      <c r="T58" s="3"/>
    </row>
    <row r="59" spans="1:20" x14ac:dyDescent="0.3">
      <c r="A59" s="38" t="s">
        <v>41</v>
      </c>
      <c r="B59" s="38" t="s">
        <v>64</v>
      </c>
      <c r="C59" s="38" t="s">
        <v>24</v>
      </c>
      <c r="D59" s="38" t="s">
        <v>21</v>
      </c>
      <c r="E59" s="39">
        <v>741.61</v>
      </c>
      <c r="F59" s="39">
        <v>1</v>
      </c>
      <c r="G59" s="39">
        <v>0.2</v>
      </c>
      <c r="H59" s="40">
        <v>45471</v>
      </c>
      <c r="I59" s="39">
        <v>148.32</v>
      </c>
      <c r="J59" s="13" t="str">
        <v>Jun-2024</v>
      </c>
      <c r="K59" s="41">
        <f t="shared" ca="1" si="0"/>
        <v>46070.538153703703</v>
      </c>
      <c r="L59" s="13">
        <f ca="1"/>
        <v>599.53815370370285</v>
      </c>
      <c r="M59" s="19" t="str">
        <f ca="1"/>
        <v>↑</v>
      </c>
      <c r="N59" s="13"/>
      <c r="O59" s="13"/>
      <c r="P59" s="19" t="str">
        <f t="shared" si="1"/>
        <v>Normal</v>
      </c>
      <c r="Q59" s="42">
        <f t="shared" si="2"/>
        <v>2.85</v>
      </c>
      <c r="R59" s="43">
        <f t="shared" si="3"/>
        <v>741.61</v>
      </c>
      <c r="S59" s="4"/>
      <c r="T59" s="3"/>
    </row>
    <row r="60" spans="1:20" x14ac:dyDescent="0.3">
      <c r="A60" s="38" t="s">
        <v>67</v>
      </c>
      <c r="B60" s="38" t="s">
        <v>38</v>
      </c>
      <c r="C60" s="38" t="s">
        <v>24</v>
      </c>
      <c r="D60" s="38" t="s">
        <v>12</v>
      </c>
      <c r="E60" s="39">
        <v>1248.82</v>
      </c>
      <c r="F60" s="39">
        <v>2</v>
      </c>
      <c r="G60" s="39">
        <v>0.1</v>
      </c>
      <c r="H60" s="40">
        <v>45473</v>
      </c>
      <c r="I60" s="39">
        <v>449.58</v>
      </c>
      <c r="J60" s="13" t="str">
        <v>Jun-2024</v>
      </c>
      <c r="K60" s="41">
        <f t="shared" ca="1" si="0"/>
        <v>46070.538153703703</v>
      </c>
      <c r="L60" s="13">
        <f ca="1"/>
        <v>597.53815370370285</v>
      </c>
      <c r="M60" s="19" t="str">
        <f ca="1"/>
        <v>↑</v>
      </c>
      <c r="N60" s="13"/>
      <c r="O60" s="13"/>
      <c r="P60" s="19" t="str">
        <f t="shared" si="1"/>
        <v>Normal</v>
      </c>
      <c r="Q60" s="42">
        <f t="shared" si="2"/>
        <v>2.9000000000000004</v>
      </c>
      <c r="R60" s="43">
        <f t="shared" si="3"/>
        <v>1248.82</v>
      </c>
      <c r="S60" s="4"/>
      <c r="T60" s="3"/>
    </row>
    <row r="61" spans="1:20" x14ac:dyDescent="0.3">
      <c r="A61" s="38" t="s">
        <v>13</v>
      </c>
      <c r="B61" s="38" t="s">
        <v>59</v>
      </c>
      <c r="C61" s="38" t="s">
        <v>11</v>
      </c>
      <c r="D61" s="38" t="s">
        <v>15</v>
      </c>
      <c r="E61" s="39">
        <v>1360.36</v>
      </c>
      <c r="F61" s="39">
        <v>17</v>
      </c>
      <c r="G61" s="39">
        <v>0</v>
      </c>
      <c r="H61" s="40">
        <v>45473</v>
      </c>
      <c r="I61" s="39">
        <v>680.18</v>
      </c>
      <c r="J61" s="13" t="str">
        <v>Jun-2024</v>
      </c>
      <c r="K61" s="41">
        <f t="shared" ca="1" si="0"/>
        <v>46070.538153703703</v>
      </c>
      <c r="L61" s="13">
        <f ca="1"/>
        <v>597.53815370370285</v>
      </c>
      <c r="M61" s="19" t="str">
        <f ca="1"/>
        <v>↑</v>
      </c>
      <c r="N61" s="13"/>
      <c r="O61" s="13"/>
      <c r="P61" s="19" t="str">
        <f t="shared" si="1"/>
        <v>Normal</v>
      </c>
      <c r="Q61" s="42">
        <f t="shared" si="2"/>
        <v>2.95</v>
      </c>
      <c r="R61" s="43">
        <f t="shared" si="3"/>
        <v>1360.36</v>
      </c>
      <c r="S61" s="4"/>
      <c r="T61" s="3"/>
    </row>
    <row r="62" spans="1:20" x14ac:dyDescent="0.3">
      <c r="A62" s="38" t="s">
        <v>57</v>
      </c>
      <c r="B62" s="38" t="s">
        <v>31</v>
      </c>
      <c r="C62" s="38" t="s">
        <v>18</v>
      </c>
      <c r="D62" s="38" t="s">
        <v>12</v>
      </c>
      <c r="E62" s="39">
        <v>1383.3</v>
      </c>
      <c r="F62" s="39">
        <v>8</v>
      </c>
      <c r="G62" s="39">
        <v>0.1</v>
      </c>
      <c r="H62" s="40">
        <v>45478</v>
      </c>
      <c r="I62" s="39">
        <v>497.99</v>
      </c>
      <c r="J62" s="13" t="str">
        <v>Jul-2024</v>
      </c>
      <c r="K62" s="41">
        <f t="shared" ca="1" si="0"/>
        <v>46070.538153703703</v>
      </c>
      <c r="L62" s="13">
        <f ca="1"/>
        <v>592.53815370370285</v>
      </c>
      <c r="M62" s="19" t="str">
        <f ca="1"/>
        <v>↑</v>
      </c>
      <c r="N62" s="13"/>
      <c r="O62" s="13"/>
      <c r="P62" s="19" t="str">
        <f t="shared" si="1"/>
        <v>Normal</v>
      </c>
      <c r="Q62" s="42">
        <f t="shared" si="2"/>
        <v>3</v>
      </c>
      <c r="R62" s="43">
        <f t="shared" si="3"/>
        <v>1383.3</v>
      </c>
      <c r="S62" s="4"/>
      <c r="T62" s="3"/>
    </row>
    <row r="63" spans="1:20" x14ac:dyDescent="0.3">
      <c r="A63" s="38" t="s">
        <v>35</v>
      </c>
      <c r="B63" s="38" t="s">
        <v>55</v>
      </c>
      <c r="C63" s="38" t="s">
        <v>34</v>
      </c>
      <c r="D63" s="38" t="s">
        <v>39</v>
      </c>
      <c r="E63" s="39">
        <v>488.99</v>
      </c>
      <c r="F63" s="39">
        <v>9</v>
      </c>
      <c r="G63" s="39">
        <v>0</v>
      </c>
      <c r="H63" s="40">
        <v>45479</v>
      </c>
      <c r="I63" s="39">
        <v>220.05</v>
      </c>
      <c r="J63" s="13" t="str">
        <v>Jul-2024</v>
      </c>
      <c r="K63" s="41">
        <f t="shared" ca="1" si="0"/>
        <v>46070.538153703703</v>
      </c>
      <c r="L63" s="13">
        <f ca="1"/>
        <v>591.53815370370285</v>
      </c>
      <c r="M63" s="19" t="str">
        <f ca="1"/>
        <v>↑</v>
      </c>
      <c r="N63" s="13"/>
      <c r="O63" s="13"/>
      <c r="P63" s="19" t="str">
        <f t="shared" si="1"/>
        <v>Normal</v>
      </c>
      <c r="Q63" s="42">
        <f t="shared" si="2"/>
        <v>3.0500000000000003</v>
      </c>
      <c r="R63" s="43">
        <f t="shared" si="3"/>
        <v>488.99</v>
      </c>
      <c r="S63" s="4"/>
      <c r="T63" s="3"/>
    </row>
    <row r="64" spans="1:20" x14ac:dyDescent="0.3">
      <c r="A64" s="38" t="s">
        <v>30</v>
      </c>
      <c r="B64" s="38" t="s">
        <v>31</v>
      </c>
      <c r="C64" s="38" t="s">
        <v>18</v>
      </c>
      <c r="D64" s="38" t="s">
        <v>27</v>
      </c>
      <c r="E64" s="39">
        <v>933.71</v>
      </c>
      <c r="F64" s="39">
        <v>17</v>
      </c>
      <c r="G64" s="39">
        <v>0.1</v>
      </c>
      <c r="H64" s="40">
        <v>45481</v>
      </c>
      <c r="I64" s="39">
        <v>294.12</v>
      </c>
      <c r="J64" s="13" t="str">
        <v>Jul-2024</v>
      </c>
      <c r="K64" s="41">
        <f t="shared" ca="1" si="0"/>
        <v>46070.538153703703</v>
      </c>
      <c r="L64" s="13">
        <f ca="1"/>
        <v>589.53815370370285</v>
      </c>
      <c r="M64" s="19" t="str">
        <f ca="1"/>
        <v>↑</v>
      </c>
      <c r="N64" s="13"/>
      <c r="O64" s="13"/>
      <c r="P64" s="19" t="str">
        <f t="shared" si="1"/>
        <v>Normal</v>
      </c>
      <c r="Q64" s="42">
        <f t="shared" si="2"/>
        <v>3.1</v>
      </c>
      <c r="R64" s="43">
        <f t="shared" si="3"/>
        <v>933.71</v>
      </c>
      <c r="S64" s="4"/>
      <c r="T64" s="3"/>
    </row>
    <row r="65" spans="1:20" x14ac:dyDescent="0.3">
      <c r="A65" s="38" t="s">
        <v>67</v>
      </c>
      <c r="B65" s="38" t="s">
        <v>10</v>
      </c>
      <c r="C65" s="38" t="s">
        <v>11</v>
      </c>
      <c r="D65" s="38" t="s">
        <v>21</v>
      </c>
      <c r="E65" s="39">
        <v>1005.53</v>
      </c>
      <c r="F65" s="39">
        <v>17</v>
      </c>
      <c r="G65" s="39">
        <v>0.2</v>
      </c>
      <c r="H65" s="40">
        <v>45481</v>
      </c>
      <c r="I65" s="39">
        <v>201.11</v>
      </c>
      <c r="J65" s="13" t="str">
        <v>Jul-2024</v>
      </c>
      <c r="K65" s="41">
        <f t="shared" ca="1" si="0"/>
        <v>46070.538153703703</v>
      </c>
      <c r="L65" s="13">
        <f ca="1"/>
        <v>589.53815370370285</v>
      </c>
      <c r="M65" s="19" t="str">
        <f ca="1"/>
        <v>↑</v>
      </c>
      <c r="N65" s="13"/>
      <c r="O65" s="13"/>
      <c r="P65" s="19" t="str">
        <f t="shared" si="1"/>
        <v>Normal</v>
      </c>
      <c r="Q65" s="42">
        <f t="shared" si="2"/>
        <v>3.1500000000000004</v>
      </c>
      <c r="R65" s="43">
        <f t="shared" si="3"/>
        <v>1005.53</v>
      </c>
      <c r="S65" s="4"/>
      <c r="T65" s="3"/>
    </row>
    <row r="66" spans="1:20" x14ac:dyDescent="0.3">
      <c r="A66" s="38" t="s">
        <v>41</v>
      </c>
      <c r="B66" s="38" t="s">
        <v>61</v>
      </c>
      <c r="C66" s="38" t="s">
        <v>20</v>
      </c>
      <c r="D66" s="38" t="s">
        <v>21</v>
      </c>
      <c r="E66" s="39">
        <v>1100.0999999999999</v>
      </c>
      <c r="F66" s="39">
        <v>5</v>
      </c>
      <c r="G66" s="39">
        <v>0.05</v>
      </c>
      <c r="H66" s="40">
        <v>45482</v>
      </c>
      <c r="I66" s="39">
        <v>261.27</v>
      </c>
      <c r="J66" s="13" t="str">
        <v>Jul-2024</v>
      </c>
      <c r="K66" s="41">
        <f t="shared" ca="1" si="0"/>
        <v>46070.538153703703</v>
      </c>
      <c r="L66" s="13">
        <f ca="1"/>
        <v>588.53815370370285</v>
      </c>
      <c r="M66" s="19" t="str">
        <f ca="1"/>
        <v>↑</v>
      </c>
      <c r="N66" s="13"/>
      <c r="O66" s="13"/>
      <c r="P66" s="19" t="str">
        <f t="shared" si="1"/>
        <v>Normal</v>
      </c>
      <c r="Q66" s="42">
        <f t="shared" si="2"/>
        <v>3.2</v>
      </c>
      <c r="R66" s="43">
        <f t="shared" si="3"/>
        <v>1100.0999999999999</v>
      </c>
      <c r="S66" s="4"/>
      <c r="T66" s="3"/>
    </row>
    <row r="67" spans="1:20" x14ac:dyDescent="0.3">
      <c r="A67" s="38" t="s">
        <v>67</v>
      </c>
      <c r="B67" s="38" t="s">
        <v>23</v>
      </c>
      <c r="C67" s="38" t="s">
        <v>24</v>
      </c>
      <c r="D67" s="38" t="s">
        <v>27</v>
      </c>
      <c r="E67" s="39">
        <v>1034.7</v>
      </c>
      <c r="F67" s="39">
        <v>15</v>
      </c>
      <c r="G67" s="39">
        <v>0.15</v>
      </c>
      <c r="H67" s="40">
        <v>45487</v>
      </c>
      <c r="I67" s="39">
        <v>307.82</v>
      </c>
      <c r="J67" s="13" t="str">
        <v>Jul-2024</v>
      </c>
      <c r="K67" s="41">
        <f t="shared" ref="K67:K130" ca="1" si="4">NOW()</f>
        <v>46070.538153703703</v>
      </c>
      <c r="L67" s="13">
        <f ca="1"/>
        <v>583.53815370370285</v>
      </c>
      <c r="M67" s="19" t="str">
        <f ca="1"/>
        <v>↑</v>
      </c>
      <c r="N67" s="13"/>
      <c r="O67" s="13"/>
      <c r="P67" s="19" t="str">
        <f t="shared" ref="P67:P130" si="5">IF(SUMIF(B:B,H67,E:E)&gt;500,"High Value","Normal")</f>
        <v>Normal</v>
      </c>
      <c r="Q67" s="42">
        <f t="shared" ref="Q67:Q130" si="6">(ROW(A66)-1)*5%</f>
        <v>3.25</v>
      </c>
      <c r="R67" s="43">
        <f t="shared" ref="R67:R130" si="7">E67*(1-$Z$1)</f>
        <v>1034.7</v>
      </c>
      <c r="S67" s="4"/>
      <c r="T67" s="3"/>
    </row>
    <row r="68" spans="1:20" x14ac:dyDescent="0.3">
      <c r="A68" s="38" t="s">
        <v>65</v>
      </c>
      <c r="B68" s="38" t="s">
        <v>31</v>
      </c>
      <c r="C68" s="38" t="s">
        <v>20</v>
      </c>
      <c r="D68" s="38" t="s">
        <v>12</v>
      </c>
      <c r="E68" s="39">
        <v>876.44</v>
      </c>
      <c r="F68" s="39">
        <v>12</v>
      </c>
      <c r="G68" s="39">
        <v>0.05</v>
      </c>
      <c r="H68" s="40">
        <v>45488</v>
      </c>
      <c r="I68" s="39">
        <v>333.05</v>
      </c>
      <c r="J68" s="13" t="str">
        <v>Jul-2024</v>
      </c>
      <c r="K68" s="41">
        <f t="shared" ca="1" si="4"/>
        <v>46070.538153703703</v>
      </c>
      <c r="L68" s="13">
        <f ca="1"/>
        <v>582.53815370370285</v>
      </c>
      <c r="M68" s="19" t="str">
        <f ca="1"/>
        <v>↑</v>
      </c>
      <c r="N68" s="13"/>
      <c r="O68" s="13"/>
      <c r="P68" s="19" t="str">
        <f t="shared" si="5"/>
        <v>Normal</v>
      </c>
      <c r="Q68" s="42">
        <f t="shared" si="6"/>
        <v>3.3000000000000003</v>
      </c>
      <c r="R68" s="43">
        <f t="shared" si="7"/>
        <v>876.44</v>
      </c>
      <c r="S68" s="4"/>
      <c r="T68" s="3"/>
    </row>
    <row r="69" spans="1:20" x14ac:dyDescent="0.3">
      <c r="A69" s="38" t="s">
        <v>68</v>
      </c>
      <c r="B69" s="38" t="s">
        <v>55</v>
      </c>
      <c r="C69" s="38" t="s">
        <v>11</v>
      </c>
      <c r="D69" s="38" t="s">
        <v>27</v>
      </c>
      <c r="E69" s="39">
        <v>1371.34</v>
      </c>
      <c r="F69" s="39">
        <v>5</v>
      </c>
      <c r="G69" s="39">
        <v>0.05</v>
      </c>
      <c r="H69" s="40">
        <v>45488</v>
      </c>
      <c r="I69" s="39">
        <v>455.97</v>
      </c>
      <c r="J69" s="13" t="str">
        <v>Jul-2024</v>
      </c>
      <c r="K69" s="41">
        <f t="shared" ca="1" si="4"/>
        <v>46070.538153703703</v>
      </c>
      <c r="L69" s="13">
        <f ca="1"/>
        <v>582.53815370370285</v>
      </c>
      <c r="M69" s="19" t="str">
        <f ca="1"/>
        <v>↑</v>
      </c>
      <c r="N69" s="13"/>
      <c r="O69" s="13"/>
      <c r="P69" s="19" t="str">
        <f t="shared" si="5"/>
        <v>Normal</v>
      </c>
      <c r="Q69" s="42">
        <f t="shared" si="6"/>
        <v>3.35</v>
      </c>
      <c r="R69" s="43">
        <f t="shared" si="7"/>
        <v>1371.34</v>
      </c>
      <c r="S69" s="4"/>
      <c r="T69" s="3"/>
    </row>
    <row r="70" spans="1:20" x14ac:dyDescent="0.3">
      <c r="A70" s="38" t="s">
        <v>57</v>
      </c>
      <c r="B70" s="38" t="s">
        <v>47</v>
      </c>
      <c r="C70" s="38" t="s">
        <v>24</v>
      </c>
      <c r="D70" s="38" t="s">
        <v>21</v>
      </c>
      <c r="E70" s="39">
        <v>1020.26</v>
      </c>
      <c r="F70" s="39">
        <v>11</v>
      </c>
      <c r="G70" s="39">
        <v>0.05</v>
      </c>
      <c r="H70" s="40">
        <v>45494</v>
      </c>
      <c r="I70" s="39">
        <v>242.31</v>
      </c>
      <c r="J70" s="13" t="str">
        <v>Jul-2024</v>
      </c>
      <c r="K70" s="41">
        <f t="shared" ca="1" si="4"/>
        <v>46070.538153703703</v>
      </c>
      <c r="L70" s="13">
        <f ca="1"/>
        <v>576.53815370370285</v>
      </c>
      <c r="M70" s="19" t="str">
        <f ca="1"/>
        <v>↑</v>
      </c>
      <c r="N70" s="13"/>
      <c r="O70" s="13"/>
      <c r="P70" s="19" t="str">
        <f t="shared" si="5"/>
        <v>Normal</v>
      </c>
      <c r="Q70" s="42">
        <f t="shared" si="6"/>
        <v>3.4000000000000004</v>
      </c>
      <c r="R70" s="43">
        <f t="shared" si="7"/>
        <v>1020.26</v>
      </c>
      <c r="S70" s="4"/>
      <c r="T70" s="3"/>
    </row>
    <row r="71" spans="1:20" x14ac:dyDescent="0.3">
      <c r="A71" s="38" t="s">
        <v>44</v>
      </c>
      <c r="B71" s="38" t="s">
        <v>10</v>
      </c>
      <c r="C71" s="38" t="s">
        <v>34</v>
      </c>
      <c r="D71" s="38" t="s">
        <v>39</v>
      </c>
      <c r="E71" s="39">
        <v>804.81</v>
      </c>
      <c r="F71" s="39">
        <v>1</v>
      </c>
      <c r="G71" s="39">
        <v>0.05</v>
      </c>
      <c r="H71" s="40">
        <v>45502</v>
      </c>
      <c r="I71" s="39">
        <v>344.06</v>
      </c>
      <c r="J71" s="13" t="str">
        <v>Jul-2024</v>
      </c>
      <c r="K71" s="41">
        <f t="shared" ca="1" si="4"/>
        <v>46070.538153703703</v>
      </c>
      <c r="L71" s="13">
        <f ca="1"/>
        <v>568.53815370370285</v>
      </c>
      <c r="M71" s="19" t="str">
        <f ca="1"/>
        <v>↑</v>
      </c>
      <c r="N71" s="13"/>
      <c r="O71" s="13"/>
      <c r="P71" s="19" t="str">
        <f t="shared" si="5"/>
        <v>Normal</v>
      </c>
      <c r="Q71" s="42">
        <f t="shared" si="6"/>
        <v>3.45</v>
      </c>
      <c r="R71" s="43">
        <f t="shared" si="7"/>
        <v>804.81</v>
      </c>
      <c r="S71" s="4"/>
      <c r="T71" s="3"/>
    </row>
    <row r="72" spans="1:20" x14ac:dyDescent="0.3">
      <c r="A72" s="38" t="s">
        <v>22</v>
      </c>
      <c r="B72" s="38" t="s">
        <v>55</v>
      </c>
      <c r="C72" s="38" t="s">
        <v>34</v>
      </c>
      <c r="D72" s="38" t="s">
        <v>21</v>
      </c>
      <c r="E72" s="39">
        <v>608.66</v>
      </c>
      <c r="F72" s="39">
        <v>1</v>
      </c>
      <c r="G72" s="39">
        <v>0.05</v>
      </c>
      <c r="H72" s="40">
        <v>45503</v>
      </c>
      <c r="I72" s="39">
        <v>144.56</v>
      </c>
      <c r="J72" s="13" t="str">
        <v>Jul-2024</v>
      </c>
      <c r="K72" s="41">
        <f t="shared" ca="1" si="4"/>
        <v>46070.538153703703</v>
      </c>
      <c r="L72" s="13">
        <f ca="1"/>
        <v>567.53815370370285</v>
      </c>
      <c r="M72" s="19" t="str">
        <f ca="1"/>
        <v>↑</v>
      </c>
      <c r="N72" s="13"/>
      <c r="O72" s="13"/>
      <c r="P72" s="19" t="str">
        <f t="shared" si="5"/>
        <v>Normal</v>
      </c>
      <c r="Q72" s="42">
        <f t="shared" si="6"/>
        <v>3.5</v>
      </c>
      <c r="R72" s="43">
        <f t="shared" si="7"/>
        <v>608.66</v>
      </c>
      <c r="S72" s="4"/>
      <c r="T72" s="3"/>
    </row>
    <row r="73" spans="1:20" x14ac:dyDescent="0.3">
      <c r="A73" s="38" t="s">
        <v>68</v>
      </c>
      <c r="B73" s="38" t="s">
        <v>69</v>
      </c>
      <c r="C73" s="38" t="s">
        <v>20</v>
      </c>
      <c r="D73" s="38" t="s">
        <v>39</v>
      </c>
      <c r="E73" s="39">
        <v>981.2</v>
      </c>
      <c r="F73" s="39">
        <v>19</v>
      </c>
      <c r="G73" s="39">
        <v>0</v>
      </c>
      <c r="H73" s="40">
        <v>45504</v>
      </c>
      <c r="I73" s="39">
        <v>441.54</v>
      </c>
      <c r="J73" s="13" t="str">
        <v>Jul-2024</v>
      </c>
      <c r="K73" s="41">
        <f t="shared" ca="1" si="4"/>
        <v>46070.538153703703</v>
      </c>
      <c r="L73" s="13">
        <f ca="1"/>
        <v>566.53815370370285</v>
      </c>
      <c r="M73" s="19" t="str">
        <f ca="1"/>
        <v>↑</v>
      </c>
      <c r="N73" s="13"/>
      <c r="O73" s="13"/>
      <c r="P73" s="19" t="str">
        <f t="shared" si="5"/>
        <v>Normal</v>
      </c>
      <c r="Q73" s="42">
        <f t="shared" si="6"/>
        <v>3.5500000000000003</v>
      </c>
      <c r="R73" s="43">
        <f t="shared" si="7"/>
        <v>981.2</v>
      </c>
      <c r="S73" s="4"/>
      <c r="T73" s="3"/>
    </row>
    <row r="74" spans="1:20" x14ac:dyDescent="0.3">
      <c r="A74" s="38" t="s">
        <v>70</v>
      </c>
      <c r="B74" s="38" t="s">
        <v>55</v>
      </c>
      <c r="C74" s="38" t="s">
        <v>18</v>
      </c>
      <c r="D74" s="38" t="s">
        <v>21</v>
      </c>
      <c r="E74" s="39">
        <v>539.77</v>
      </c>
      <c r="F74" s="39">
        <v>10</v>
      </c>
      <c r="G74" s="39">
        <v>0.15</v>
      </c>
      <c r="H74" s="40">
        <v>45509</v>
      </c>
      <c r="I74" s="39">
        <v>114.7</v>
      </c>
      <c r="J74" s="13" t="str">
        <v>Aug-2024</v>
      </c>
      <c r="K74" s="41">
        <f t="shared" ca="1" si="4"/>
        <v>46070.538153703703</v>
      </c>
      <c r="L74" s="13">
        <f ca="1"/>
        <v>561.53815370370285</v>
      </c>
      <c r="M74" s="19" t="str">
        <f ca="1"/>
        <v>↑</v>
      </c>
      <c r="N74" s="13"/>
      <c r="O74" s="13"/>
      <c r="P74" s="19" t="str">
        <f t="shared" si="5"/>
        <v>Normal</v>
      </c>
      <c r="Q74" s="42">
        <f t="shared" si="6"/>
        <v>3.6</v>
      </c>
      <c r="R74" s="43">
        <f t="shared" si="7"/>
        <v>539.77</v>
      </c>
      <c r="S74" s="4"/>
      <c r="T74" s="3"/>
    </row>
    <row r="75" spans="1:20" x14ac:dyDescent="0.3">
      <c r="A75" s="38" t="s">
        <v>13</v>
      </c>
      <c r="B75" s="38" t="s">
        <v>71</v>
      </c>
      <c r="C75" s="38" t="s">
        <v>20</v>
      </c>
      <c r="D75" s="38" t="s">
        <v>12</v>
      </c>
      <c r="E75" s="39">
        <v>804.45</v>
      </c>
      <c r="F75" s="39">
        <v>5</v>
      </c>
      <c r="G75" s="39">
        <v>0.2</v>
      </c>
      <c r="H75" s="40">
        <v>45509</v>
      </c>
      <c r="I75" s="39">
        <v>257.42</v>
      </c>
      <c r="J75" s="13" t="str">
        <v>Aug-2024</v>
      </c>
      <c r="K75" s="41">
        <f t="shared" ca="1" si="4"/>
        <v>46070.538153703703</v>
      </c>
      <c r="L75" s="13">
        <f ca="1"/>
        <v>561.53815370370285</v>
      </c>
      <c r="M75" s="19" t="str">
        <f ca="1"/>
        <v>↑</v>
      </c>
      <c r="N75" s="13"/>
      <c r="O75" s="13"/>
      <c r="P75" s="19" t="str">
        <f t="shared" si="5"/>
        <v>Normal</v>
      </c>
      <c r="Q75" s="42">
        <f t="shared" si="6"/>
        <v>3.6500000000000004</v>
      </c>
      <c r="R75" s="43">
        <f t="shared" si="7"/>
        <v>804.45</v>
      </c>
      <c r="S75" s="4"/>
      <c r="T75" s="3"/>
    </row>
    <row r="76" spans="1:20" s="66" customFormat="1" x14ac:dyDescent="0.3">
      <c r="A76" s="56" t="s">
        <v>70</v>
      </c>
      <c r="B76" s="56" t="s">
        <v>38</v>
      </c>
      <c r="C76" s="56" t="s">
        <v>11</v>
      </c>
      <c r="D76" s="56" t="s">
        <v>21</v>
      </c>
      <c r="E76" s="57">
        <v>1526.6</v>
      </c>
      <c r="F76" s="57">
        <v>13</v>
      </c>
      <c r="G76" s="57">
        <v>0.2</v>
      </c>
      <c r="H76" s="58">
        <v>45512</v>
      </c>
      <c r="I76" s="57">
        <v>305.32</v>
      </c>
      <c r="J76" s="59" t="str">
        <v>Aug-2024</v>
      </c>
      <c r="K76" s="60">
        <f t="shared" ca="1" si="4"/>
        <v>46070.538153703703</v>
      </c>
      <c r="L76" s="59">
        <f ca="1"/>
        <v>558.53815370370285</v>
      </c>
      <c r="M76" s="61" t="str">
        <f ca="1"/>
        <v>↑</v>
      </c>
      <c r="N76" s="59"/>
      <c r="O76" s="59"/>
      <c r="P76" s="61" t="str">
        <f t="shared" si="5"/>
        <v>Normal</v>
      </c>
      <c r="Q76" s="62">
        <f t="shared" si="6"/>
        <v>3.7</v>
      </c>
      <c r="R76" s="63">
        <f t="shared" si="7"/>
        <v>1526.6</v>
      </c>
      <c r="S76" s="64"/>
      <c r="T76" s="65"/>
    </row>
    <row r="77" spans="1:20" x14ac:dyDescent="0.3">
      <c r="A77" s="38" t="s">
        <v>13</v>
      </c>
      <c r="B77" s="38" t="s">
        <v>29</v>
      </c>
      <c r="C77" s="38" t="s">
        <v>11</v>
      </c>
      <c r="D77" s="38" t="s">
        <v>21</v>
      </c>
      <c r="E77" s="39">
        <v>1215.26</v>
      </c>
      <c r="F77" s="39">
        <v>5</v>
      </c>
      <c r="G77" s="39">
        <v>0.15</v>
      </c>
      <c r="H77" s="40">
        <v>45513</v>
      </c>
      <c r="I77" s="39">
        <v>258.24</v>
      </c>
      <c r="J77" s="13" t="str">
        <v>Aug-2024</v>
      </c>
      <c r="K77" s="41">
        <f t="shared" ca="1" si="4"/>
        <v>46070.538153703703</v>
      </c>
      <c r="L77" s="13">
        <f ca="1"/>
        <v>557.53815370370285</v>
      </c>
      <c r="M77" s="19" t="str">
        <f ca="1"/>
        <v>↑</v>
      </c>
      <c r="N77" s="13"/>
      <c r="O77" s="13"/>
      <c r="P77" s="19" t="str">
        <f t="shared" si="5"/>
        <v>Normal</v>
      </c>
      <c r="Q77" s="42">
        <f t="shared" si="6"/>
        <v>3.75</v>
      </c>
      <c r="R77" s="43">
        <f t="shared" si="7"/>
        <v>1215.26</v>
      </c>
      <c r="S77" s="4"/>
      <c r="T77" s="3"/>
    </row>
    <row r="78" spans="1:20" x14ac:dyDescent="0.3">
      <c r="A78" s="38" t="s">
        <v>19</v>
      </c>
      <c r="B78" s="38" t="s">
        <v>53</v>
      </c>
      <c r="C78" s="38" t="s">
        <v>34</v>
      </c>
      <c r="D78" s="38" t="s">
        <v>27</v>
      </c>
      <c r="E78" s="39">
        <v>1261.3399999999999</v>
      </c>
      <c r="F78" s="39">
        <v>3</v>
      </c>
      <c r="G78" s="39">
        <v>0</v>
      </c>
      <c r="H78" s="40">
        <v>45519</v>
      </c>
      <c r="I78" s="39">
        <v>441.47</v>
      </c>
      <c r="J78" s="13" t="str">
        <v>Aug-2024</v>
      </c>
      <c r="K78" s="41">
        <f t="shared" ca="1" si="4"/>
        <v>46070.538153703703</v>
      </c>
      <c r="L78" s="13">
        <f ca="1"/>
        <v>551.53815370370285</v>
      </c>
      <c r="M78" s="19" t="str">
        <f ca="1"/>
        <v>↑</v>
      </c>
      <c r="N78" s="13"/>
      <c r="O78" s="13"/>
      <c r="P78" s="19" t="str">
        <f t="shared" si="5"/>
        <v>Normal</v>
      </c>
      <c r="Q78" s="42">
        <f t="shared" si="6"/>
        <v>3.8000000000000003</v>
      </c>
      <c r="R78" s="43">
        <f t="shared" si="7"/>
        <v>1261.3399999999999</v>
      </c>
      <c r="S78" s="4"/>
      <c r="T78" s="3"/>
    </row>
    <row r="79" spans="1:20" x14ac:dyDescent="0.3">
      <c r="A79" s="38" t="s">
        <v>72</v>
      </c>
      <c r="B79" s="38" t="s">
        <v>45</v>
      </c>
      <c r="C79" s="38" t="s">
        <v>24</v>
      </c>
      <c r="D79" s="38" t="s">
        <v>27</v>
      </c>
      <c r="E79" s="39">
        <v>518.07000000000005</v>
      </c>
      <c r="F79" s="39">
        <v>7</v>
      </c>
      <c r="G79" s="39">
        <v>0.05</v>
      </c>
      <c r="H79" s="40">
        <v>45522</v>
      </c>
      <c r="I79" s="39">
        <v>172.26</v>
      </c>
      <c r="J79" s="13" t="str">
        <v>Aug-2024</v>
      </c>
      <c r="K79" s="41">
        <f t="shared" ca="1" si="4"/>
        <v>46070.538153703703</v>
      </c>
      <c r="L79" s="13">
        <f ca="1"/>
        <v>548.53815370370285</v>
      </c>
      <c r="M79" s="19" t="str">
        <f ca="1"/>
        <v>↑</v>
      </c>
      <c r="N79" s="13"/>
      <c r="O79" s="13"/>
      <c r="P79" s="19" t="str">
        <f t="shared" si="5"/>
        <v>Normal</v>
      </c>
      <c r="Q79" s="42">
        <f t="shared" si="6"/>
        <v>3.85</v>
      </c>
      <c r="R79" s="43">
        <f t="shared" si="7"/>
        <v>518.07000000000005</v>
      </c>
      <c r="S79" s="4"/>
      <c r="T79" s="3"/>
    </row>
    <row r="80" spans="1:20" x14ac:dyDescent="0.3">
      <c r="A80" s="38" t="s">
        <v>30</v>
      </c>
      <c r="B80" s="38" t="s">
        <v>29</v>
      </c>
      <c r="C80" s="38" t="s">
        <v>11</v>
      </c>
      <c r="D80" s="38" t="s">
        <v>39</v>
      </c>
      <c r="E80" s="39">
        <v>1111.3399999999999</v>
      </c>
      <c r="F80" s="39">
        <v>1</v>
      </c>
      <c r="G80" s="39">
        <v>0</v>
      </c>
      <c r="H80" s="40">
        <v>45523</v>
      </c>
      <c r="I80" s="39">
        <v>500.1</v>
      </c>
      <c r="J80" s="13" t="str">
        <v>Aug-2024</v>
      </c>
      <c r="K80" s="41">
        <f t="shared" ca="1" si="4"/>
        <v>46070.538153703703</v>
      </c>
      <c r="L80" s="13">
        <f ca="1"/>
        <v>547.53815370370285</v>
      </c>
      <c r="M80" s="19" t="str">
        <f ca="1"/>
        <v>↑</v>
      </c>
      <c r="N80" s="13"/>
      <c r="O80" s="13"/>
      <c r="P80" s="19" t="str">
        <f t="shared" si="5"/>
        <v>Normal</v>
      </c>
      <c r="Q80" s="42">
        <f t="shared" si="6"/>
        <v>3.9000000000000004</v>
      </c>
      <c r="R80" s="43">
        <f t="shared" si="7"/>
        <v>1111.3399999999999</v>
      </c>
      <c r="S80" s="4"/>
      <c r="T80" s="3"/>
    </row>
    <row r="81" spans="1:20" x14ac:dyDescent="0.3">
      <c r="A81" s="38" t="s">
        <v>22</v>
      </c>
      <c r="B81" s="38" t="s">
        <v>31</v>
      </c>
      <c r="C81" s="38" t="s">
        <v>18</v>
      </c>
      <c r="D81" s="38" t="s">
        <v>15</v>
      </c>
      <c r="E81" s="39">
        <v>1291.47</v>
      </c>
      <c r="F81" s="39">
        <v>18</v>
      </c>
      <c r="G81" s="39">
        <v>0.1</v>
      </c>
      <c r="H81" s="40">
        <v>45526</v>
      </c>
      <c r="I81" s="39">
        <v>581.16</v>
      </c>
      <c r="J81" s="13" t="str">
        <v>Aug-2024</v>
      </c>
      <c r="K81" s="41">
        <f t="shared" ca="1" si="4"/>
        <v>46070.538153703703</v>
      </c>
      <c r="L81" s="13">
        <f ca="1"/>
        <v>544.53815370370285</v>
      </c>
      <c r="M81" s="19" t="str">
        <f ca="1"/>
        <v>↑</v>
      </c>
      <c r="N81" s="13"/>
      <c r="O81" s="13"/>
      <c r="P81" s="19" t="str">
        <f t="shared" si="5"/>
        <v>Normal</v>
      </c>
      <c r="Q81" s="42">
        <f t="shared" si="6"/>
        <v>3.95</v>
      </c>
      <c r="R81" s="43">
        <f t="shared" si="7"/>
        <v>1291.47</v>
      </c>
      <c r="S81" s="4"/>
      <c r="T81" s="3"/>
    </row>
    <row r="82" spans="1:20" x14ac:dyDescent="0.3">
      <c r="A82" s="38" t="s">
        <v>25</v>
      </c>
      <c r="B82" s="38" t="s">
        <v>55</v>
      </c>
      <c r="C82" s="38" t="s">
        <v>24</v>
      </c>
      <c r="D82" s="38" t="s">
        <v>12</v>
      </c>
      <c r="E82" s="39">
        <v>679.71</v>
      </c>
      <c r="F82" s="39">
        <v>19</v>
      </c>
      <c r="G82" s="39">
        <v>0</v>
      </c>
      <c r="H82" s="40">
        <v>45534</v>
      </c>
      <c r="I82" s="39">
        <v>271.88</v>
      </c>
      <c r="J82" s="13" t="str">
        <v>Aug-2024</v>
      </c>
      <c r="K82" s="41">
        <f t="shared" ca="1" si="4"/>
        <v>46070.538153703703</v>
      </c>
      <c r="L82" s="13">
        <f ca="1"/>
        <v>536.53815370370285</v>
      </c>
      <c r="M82" s="19" t="str">
        <f ca="1"/>
        <v>↑</v>
      </c>
      <c r="N82" s="13"/>
      <c r="O82" s="13"/>
      <c r="P82" s="19" t="str">
        <f t="shared" si="5"/>
        <v>Normal</v>
      </c>
      <c r="Q82" s="42">
        <f t="shared" si="6"/>
        <v>4</v>
      </c>
      <c r="R82" s="43">
        <f t="shared" si="7"/>
        <v>679.71</v>
      </c>
      <c r="S82" s="4"/>
      <c r="T82" s="3"/>
    </row>
    <row r="83" spans="1:20" x14ac:dyDescent="0.3">
      <c r="A83" s="38" t="s">
        <v>68</v>
      </c>
      <c r="B83" s="38" t="s">
        <v>33</v>
      </c>
      <c r="C83" s="38" t="s">
        <v>18</v>
      </c>
      <c r="D83" s="38" t="s">
        <v>27</v>
      </c>
      <c r="E83" s="39">
        <v>1143.69</v>
      </c>
      <c r="F83" s="39">
        <v>17</v>
      </c>
      <c r="G83" s="39">
        <v>0</v>
      </c>
      <c r="H83" s="40">
        <v>45534</v>
      </c>
      <c r="I83" s="39">
        <v>400.29</v>
      </c>
      <c r="J83" s="13" t="str">
        <v>Aug-2024</v>
      </c>
      <c r="K83" s="41">
        <f t="shared" ca="1" si="4"/>
        <v>46070.538153703703</v>
      </c>
      <c r="L83" s="13">
        <f ca="1"/>
        <v>536.53815370370285</v>
      </c>
      <c r="M83" s="19" t="str">
        <f ca="1"/>
        <v>↑</v>
      </c>
      <c r="N83" s="13"/>
      <c r="O83" s="13"/>
      <c r="P83" s="19" t="str">
        <f t="shared" si="5"/>
        <v>Normal</v>
      </c>
      <c r="Q83" s="42">
        <f t="shared" si="6"/>
        <v>4.05</v>
      </c>
      <c r="R83" s="43">
        <f t="shared" si="7"/>
        <v>1143.69</v>
      </c>
      <c r="S83" s="4"/>
      <c r="T83" s="3"/>
    </row>
    <row r="84" spans="1:20" x14ac:dyDescent="0.3">
      <c r="A84" s="38" t="s">
        <v>52</v>
      </c>
      <c r="B84" s="38" t="s">
        <v>50</v>
      </c>
      <c r="C84" s="38" t="s">
        <v>34</v>
      </c>
      <c r="D84" s="38" t="s">
        <v>21</v>
      </c>
      <c r="E84" s="39">
        <v>790.08</v>
      </c>
      <c r="F84" s="39">
        <v>7</v>
      </c>
      <c r="G84" s="39">
        <v>0.1</v>
      </c>
      <c r="H84" s="40">
        <v>45536</v>
      </c>
      <c r="I84" s="39">
        <v>177.77</v>
      </c>
      <c r="J84" s="13" t="str">
        <v>Sep-2024</v>
      </c>
      <c r="K84" s="41">
        <f t="shared" ca="1" si="4"/>
        <v>46070.538153703703</v>
      </c>
      <c r="L84" s="13">
        <f ca="1"/>
        <v>534.53815370370285</v>
      </c>
      <c r="M84" s="19" t="str">
        <f ca="1"/>
        <v>↑</v>
      </c>
      <c r="N84" s="13"/>
      <c r="O84" s="13"/>
      <c r="P84" s="19" t="str">
        <f t="shared" si="5"/>
        <v>Normal</v>
      </c>
      <c r="Q84" s="42">
        <f t="shared" si="6"/>
        <v>4.1000000000000005</v>
      </c>
      <c r="R84" s="43">
        <f t="shared" si="7"/>
        <v>790.08</v>
      </c>
      <c r="S84" s="4"/>
      <c r="T84" s="3"/>
    </row>
    <row r="85" spans="1:20" x14ac:dyDescent="0.3">
      <c r="A85" s="38" t="s">
        <v>19</v>
      </c>
      <c r="B85" s="38" t="s">
        <v>48</v>
      </c>
      <c r="C85" s="38" t="s">
        <v>34</v>
      </c>
      <c r="D85" s="38" t="s">
        <v>12</v>
      </c>
      <c r="E85" s="39">
        <v>1070.68</v>
      </c>
      <c r="F85" s="39">
        <v>7</v>
      </c>
      <c r="G85" s="39">
        <v>0.05</v>
      </c>
      <c r="H85" s="40">
        <v>45536</v>
      </c>
      <c r="I85" s="39">
        <v>406.86</v>
      </c>
      <c r="J85" s="13" t="str">
        <v>Sep-2024</v>
      </c>
      <c r="K85" s="41">
        <f t="shared" ca="1" si="4"/>
        <v>46070.538153703703</v>
      </c>
      <c r="L85" s="13">
        <f ca="1"/>
        <v>534.53815370370285</v>
      </c>
      <c r="M85" s="19" t="str">
        <f ca="1"/>
        <v>↑</v>
      </c>
      <c r="N85" s="13"/>
      <c r="O85" s="13"/>
      <c r="P85" s="19" t="str">
        <f t="shared" si="5"/>
        <v>Normal</v>
      </c>
      <c r="Q85" s="42">
        <f t="shared" si="6"/>
        <v>4.1500000000000004</v>
      </c>
      <c r="R85" s="43">
        <f t="shared" si="7"/>
        <v>1070.68</v>
      </c>
      <c r="S85" s="4"/>
      <c r="T85" s="3"/>
    </row>
    <row r="86" spans="1:20" x14ac:dyDescent="0.3">
      <c r="A86" s="38" t="s">
        <v>58</v>
      </c>
      <c r="B86" s="38" t="s">
        <v>36</v>
      </c>
      <c r="C86" s="38" t="s">
        <v>11</v>
      </c>
      <c r="D86" s="38" t="s">
        <v>15</v>
      </c>
      <c r="E86" s="39">
        <v>1168.8900000000001</v>
      </c>
      <c r="F86" s="39">
        <v>4</v>
      </c>
      <c r="G86" s="39">
        <v>0.1</v>
      </c>
      <c r="H86" s="40">
        <v>45544</v>
      </c>
      <c r="I86" s="39">
        <v>526</v>
      </c>
      <c r="J86" s="13" t="str">
        <v>Sep-2024</v>
      </c>
      <c r="K86" s="41">
        <f t="shared" ca="1" si="4"/>
        <v>46070.538153703703</v>
      </c>
      <c r="L86" s="13">
        <f ca="1"/>
        <v>526.53815370370285</v>
      </c>
      <c r="M86" s="19" t="str">
        <f ca="1"/>
        <v>↑</v>
      </c>
      <c r="N86" s="13"/>
      <c r="O86" s="13"/>
      <c r="P86" s="19" t="str">
        <f t="shared" si="5"/>
        <v>Normal</v>
      </c>
      <c r="Q86" s="42">
        <f t="shared" si="6"/>
        <v>4.2</v>
      </c>
      <c r="R86" s="43">
        <f t="shared" si="7"/>
        <v>1168.8900000000001</v>
      </c>
      <c r="S86" s="4"/>
      <c r="T86" s="3"/>
    </row>
    <row r="87" spans="1:20" x14ac:dyDescent="0.3">
      <c r="A87" s="38" t="s">
        <v>67</v>
      </c>
      <c r="B87" s="38" t="s">
        <v>10</v>
      </c>
      <c r="C87" s="38" t="s">
        <v>20</v>
      </c>
      <c r="D87" s="38" t="s">
        <v>21</v>
      </c>
      <c r="E87" s="39">
        <v>1335.87</v>
      </c>
      <c r="F87" s="39">
        <v>17</v>
      </c>
      <c r="G87" s="39">
        <v>0</v>
      </c>
      <c r="H87" s="40">
        <v>45544</v>
      </c>
      <c r="I87" s="39">
        <v>333.97</v>
      </c>
      <c r="J87" s="13" t="str">
        <v>Sep-2024</v>
      </c>
      <c r="K87" s="41">
        <f t="shared" ca="1" si="4"/>
        <v>46070.538153703703</v>
      </c>
      <c r="L87" s="13">
        <f ca="1"/>
        <v>526.53815370370285</v>
      </c>
      <c r="M87" s="19" t="str">
        <f ca="1"/>
        <v>↑</v>
      </c>
      <c r="N87" s="13"/>
      <c r="O87" s="13"/>
      <c r="P87" s="19" t="str">
        <f t="shared" si="5"/>
        <v>Normal</v>
      </c>
      <c r="Q87" s="42">
        <f t="shared" si="6"/>
        <v>4.25</v>
      </c>
      <c r="R87" s="43">
        <f t="shared" si="7"/>
        <v>1335.87</v>
      </c>
      <c r="S87" s="4"/>
      <c r="T87" s="3"/>
    </row>
    <row r="88" spans="1:20" x14ac:dyDescent="0.3">
      <c r="A88" s="38" t="s">
        <v>40</v>
      </c>
      <c r="B88" s="38" t="s">
        <v>55</v>
      </c>
      <c r="C88" s="38" t="s">
        <v>18</v>
      </c>
      <c r="D88" s="38" t="s">
        <v>27</v>
      </c>
      <c r="E88" s="39">
        <v>873.7</v>
      </c>
      <c r="F88" s="39">
        <v>9</v>
      </c>
      <c r="G88" s="39">
        <v>0</v>
      </c>
      <c r="H88" s="40">
        <v>45546</v>
      </c>
      <c r="I88" s="39">
        <v>305.8</v>
      </c>
      <c r="J88" s="13" t="str">
        <v>Sep-2024</v>
      </c>
      <c r="K88" s="41">
        <f t="shared" ca="1" si="4"/>
        <v>46070.538153703703</v>
      </c>
      <c r="L88" s="13">
        <f ca="1"/>
        <v>524.53815370370285</v>
      </c>
      <c r="M88" s="19" t="str">
        <f ca="1"/>
        <v>↑</v>
      </c>
      <c r="N88" s="13"/>
      <c r="O88" s="13"/>
      <c r="P88" s="19" t="str">
        <f t="shared" si="5"/>
        <v>Normal</v>
      </c>
      <c r="Q88" s="42">
        <f t="shared" si="6"/>
        <v>4.3</v>
      </c>
      <c r="R88" s="43">
        <f t="shared" si="7"/>
        <v>873.7</v>
      </c>
      <c r="S88" s="4"/>
      <c r="T88" s="3"/>
    </row>
    <row r="89" spans="1:20" x14ac:dyDescent="0.3">
      <c r="A89" s="38" t="s">
        <v>72</v>
      </c>
      <c r="B89" s="38" t="s">
        <v>64</v>
      </c>
      <c r="C89" s="38" t="s">
        <v>11</v>
      </c>
      <c r="D89" s="38" t="s">
        <v>39</v>
      </c>
      <c r="E89" s="39">
        <v>1443.98</v>
      </c>
      <c r="F89" s="39">
        <v>19</v>
      </c>
      <c r="G89" s="39">
        <v>0</v>
      </c>
      <c r="H89" s="40">
        <v>45547</v>
      </c>
      <c r="I89" s="39">
        <v>649.79</v>
      </c>
      <c r="J89" s="13" t="str">
        <v>Sep-2024</v>
      </c>
      <c r="K89" s="41">
        <f t="shared" ca="1" si="4"/>
        <v>46070.538153703703</v>
      </c>
      <c r="L89" s="13">
        <f ca="1"/>
        <v>523.53815370370285</v>
      </c>
      <c r="M89" s="19" t="str">
        <f ca="1"/>
        <v>↑</v>
      </c>
      <c r="N89" s="13"/>
      <c r="O89" s="13"/>
      <c r="P89" s="19" t="str">
        <f t="shared" si="5"/>
        <v>Normal</v>
      </c>
      <c r="Q89" s="42">
        <f t="shared" si="6"/>
        <v>4.3500000000000005</v>
      </c>
      <c r="R89" s="43">
        <f t="shared" si="7"/>
        <v>1443.98</v>
      </c>
      <c r="S89" s="4"/>
      <c r="T89" s="3"/>
    </row>
    <row r="90" spans="1:20" x14ac:dyDescent="0.3">
      <c r="A90" s="38" t="s">
        <v>40</v>
      </c>
      <c r="B90" s="38" t="s">
        <v>23</v>
      </c>
      <c r="C90" s="38" t="s">
        <v>18</v>
      </c>
      <c r="D90" s="38" t="s">
        <v>39</v>
      </c>
      <c r="E90" s="39">
        <v>1154.33</v>
      </c>
      <c r="F90" s="39">
        <v>11</v>
      </c>
      <c r="G90" s="39">
        <v>0.15</v>
      </c>
      <c r="H90" s="40">
        <v>45549</v>
      </c>
      <c r="I90" s="39">
        <v>441.53</v>
      </c>
      <c r="J90" s="13" t="str">
        <v>Sep-2024</v>
      </c>
      <c r="K90" s="41">
        <f t="shared" ca="1" si="4"/>
        <v>46070.538153703703</v>
      </c>
      <c r="L90" s="13">
        <f ca="1"/>
        <v>521.53815370370285</v>
      </c>
      <c r="M90" s="19" t="str">
        <f ca="1"/>
        <v>↑</v>
      </c>
      <c r="N90" s="13"/>
      <c r="O90" s="13"/>
      <c r="P90" s="19" t="str">
        <f t="shared" si="5"/>
        <v>Normal</v>
      </c>
      <c r="Q90" s="42">
        <f t="shared" si="6"/>
        <v>4.4000000000000004</v>
      </c>
      <c r="R90" s="43">
        <f t="shared" si="7"/>
        <v>1154.33</v>
      </c>
      <c r="S90" s="4"/>
      <c r="T90" s="3"/>
    </row>
    <row r="91" spans="1:20" x14ac:dyDescent="0.3">
      <c r="A91" s="38" t="s">
        <v>49</v>
      </c>
      <c r="B91" s="38" t="s">
        <v>50</v>
      </c>
      <c r="C91" s="38" t="s">
        <v>20</v>
      </c>
      <c r="D91" s="38" t="s">
        <v>12</v>
      </c>
      <c r="E91" s="39">
        <v>1264.49</v>
      </c>
      <c r="F91" s="39">
        <v>16</v>
      </c>
      <c r="G91" s="39">
        <v>0.05</v>
      </c>
      <c r="H91" s="40">
        <v>45549</v>
      </c>
      <c r="I91" s="39">
        <v>480.51</v>
      </c>
      <c r="J91" s="13" t="str">
        <v>Sep-2024</v>
      </c>
      <c r="K91" s="41">
        <f t="shared" ca="1" si="4"/>
        <v>46070.538153703703</v>
      </c>
      <c r="L91" s="13">
        <f ca="1"/>
        <v>521.53815370370285</v>
      </c>
      <c r="M91" s="19" t="str">
        <f ca="1"/>
        <v>↑</v>
      </c>
      <c r="N91" s="13"/>
      <c r="O91" s="13"/>
      <c r="P91" s="19" t="str">
        <f t="shared" si="5"/>
        <v>Normal</v>
      </c>
      <c r="Q91" s="42">
        <f t="shared" si="6"/>
        <v>4.45</v>
      </c>
      <c r="R91" s="43">
        <f t="shared" si="7"/>
        <v>1264.49</v>
      </c>
      <c r="S91" s="4"/>
      <c r="T91" s="3"/>
    </row>
    <row r="92" spans="1:20" x14ac:dyDescent="0.3">
      <c r="A92" s="38" t="s">
        <v>25</v>
      </c>
      <c r="B92" s="38" t="s">
        <v>66</v>
      </c>
      <c r="C92" s="38" t="s">
        <v>11</v>
      </c>
      <c r="D92" s="38" t="s">
        <v>27</v>
      </c>
      <c r="E92" s="39">
        <v>1101.55</v>
      </c>
      <c r="F92" s="39">
        <v>4</v>
      </c>
      <c r="G92" s="39">
        <v>0.1</v>
      </c>
      <c r="H92" s="40">
        <v>45551</v>
      </c>
      <c r="I92" s="39">
        <v>346.99</v>
      </c>
      <c r="J92" s="13" t="str">
        <v>Sep-2024</v>
      </c>
      <c r="K92" s="41">
        <f t="shared" ca="1" si="4"/>
        <v>46070.538153703703</v>
      </c>
      <c r="L92" s="13">
        <f ca="1"/>
        <v>519.53815370370285</v>
      </c>
      <c r="M92" s="19" t="str">
        <f ca="1"/>
        <v>↑</v>
      </c>
      <c r="N92" s="13"/>
      <c r="O92" s="13"/>
      <c r="P92" s="19" t="str">
        <f t="shared" si="5"/>
        <v>Normal</v>
      </c>
      <c r="Q92" s="42">
        <f t="shared" si="6"/>
        <v>4.5</v>
      </c>
      <c r="R92" s="43">
        <f t="shared" si="7"/>
        <v>1101.55</v>
      </c>
      <c r="S92" s="4"/>
      <c r="T92" s="3"/>
    </row>
    <row r="93" spans="1:20" x14ac:dyDescent="0.3">
      <c r="A93" s="38" t="s">
        <v>73</v>
      </c>
      <c r="B93" s="38" t="s">
        <v>14</v>
      </c>
      <c r="C93" s="38" t="s">
        <v>20</v>
      </c>
      <c r="D93" s="38" t="s">
        <v>27</v>
      </c>
      <c r="E93" s="39">
        <v>727.73</v>
      </c>
      <c r="F93" s="39">
        <v>1</v>
      </c>
      <c r="G93" s="39">
        <v>0.1</v>
      </c>
      <c r="H93" s="40">
        <v>45552</v>
      </c>
      <c r="I93" s="39">
        <v>229.23</v>
      </c>
      <c r="J93" s="13" t="str">
        <v>Sep-2024</v>
      </c>
      <c r="K93" s="41">
        <f t="shared" ca="1" si="4"/>
        <v>46070.538153703703</v>
      </c>
      <c r="L93" s="13">
        <f ca="1"/>
        <v>518.53815370370285</v>
      </c>
      <c r="M93" s="19" t="str">
        <f ca="1"/>
        <v>↑</v>
      </c>
      <c r="N93" s="13"/>
      <c r="O93" s="13"/>
      <c r="P93" s="19" t="str">
        <f t="shared" si="5"/>
        <v>Normal</v>
      </c>
      <c r="Q93" s="42">
        <f t="shared" si="6"/>
        <v>4.55</v>
      </c>
      <c r="R93" s="43">
        <f t="shared" si="7"/>
        <v>727.73</v>
      </c>
      <c r="S93" s="4"/>
      <c r="T93" s="3"/>
    </row>
    <row r="94" spans="1:20" x14ac:dyDescent="0.3">
      <c r="A94" s="38" t="s">
        <v>74</v>
      </c>
      <c r="B94" s="38" t="s">
        <v>38</v>
      </c>
      <c r="C94" s="38" t="s">
        <v>18</v>
      </c>
      <c r="D94" s="38" t="s">
        <v>39</v>
      </c>
      <c r="E94" s="39">
        <v>875.41</v>
      </c>
      <c r="F94" s="39">
        <v>13</v>
      </c>
      <c r="G94" s="39">
        <v>0.15</v>
      </c>
      <c r="H94" s="40">
        <v>45552</v>
      </c>
      <c r="I94" s="39">
        <v>334.84</v>
      </c>
      <c r="J94" s="13" t="str">
        <v>Sep-2024</v>
      </c>
      <c r="K94" s="41">
        <f t="shared" ca="1" si="4"/>
        <v>46070.538153703703</v>
      </c>
      <c r="L94" s="13">
        <f ca="1"/>
        <v>518.53815370370285</v>
      </c>
      <c r="M94" s="19" t="str">
        <f ca="1"/>
        <v>↑</v>
      </c>
      <c r="N94" s="13"/>
      <c r="O94" s="13"/>
      <c r="P94" s="19" t="str">
        <f t="shared" si="5"/>
        <v>Normal</v>
      </c>
      <c r="Q94" s="42">
        <f t="shared" si="6"/>
        <v>4.6000000000000005</v>
      </c>
      <c r="R94" s="43">
        <f t="shared" si="7"/>
        <v>875.41</v>
      </c>
      <c r="S94" s="4"/>
      <c r="T94" s="3"/>
    </row>
    <row r="95" spans="1:20" x14ac:dyDescent="0.3">
      <c r="A95" s="38" t="s">
        <v>67</v>
      </c>
      <c r="B95" s="38" t="s">
        <v>23</v>
      </c>
      <c r="C95" s="38" t="s">
        <v>11</v>
      </c>
      <c r="D95" s="38" t="s">
        <v>21</v>
      </c>
      <c r="E95" s="39">
        <v>1158.94</v>
      </c>
      <c r="F95" s="39">
        <v>19</v>
      </c>
      <c r="G95" s="39">
        <v>0.2</v>
      </c>
      <c r="H95" s="40">
        <v>45553</v>
      </c>
      <c r="I95" s="39">
        <v>231.79</v>
      </c>
      <c r="J95" s="13" t="str">
        <v>Sep-2024</v>
      </c>
      <c r="K95" s="41">
        <f t="shared" ca="1" si="4"/>
        <v>46070.538153703703</v>
      </c>
      <c r="L95" s="13">
        <f ca="1"/>
        <v>517.53815370370285</v>
      </c>
      <c r="M95" s="19" t="str">
        <f ca="1"/>
        <v>↑</v>
      </c>
      <c r="N95" s="13"/>
      <c r="O95" s="13"/>
      <c r="P95" s="19" t="str">
        <f t="shared" si="5"/>
        <v>Normal</v>
      </c>
      <c r="Q95" s="42">
        <f t="shared" si="6"/>
        <v>4.6500000000000004</v>
      </c>
      <c r="R95" s="43">
        <f t="shared" si="7"/>
        <v>1158.94</v>
      </c>
      <c r="S95" s="4"/>
      <c r="T95" s="3"/>
    </row>
    <row r="96" spans="1:20" x14ac:dyDescent="0.3">
      <c r="A96" s="38" t="s">
        <v>75</v>
      </c>
      <c r="B96" s="38" t="s">
        <v>47</v>
      </c>
      <c r="C96" s="38" t="s">
        <v>20</v>
      </c>
      <c r="D96" s="38" t="s">
        <v>12</v>
      </c>
      <c r="E96" s="39">
        <v>966.3</v>
      </c>
      <c r="F96" s="39">
        <v>2</v>
      </c>
      <c r="G96" s="39">
        <v>0.15</v>
      </c>
      <c r="H96" s="40">
        <v>45557</v>
      </c>
      <c r="I96" s="39">
        <v>328.54</v>
      </c>
      <c r="J96" s="13" t="str">
        <v>Sep-2024</v>
      </c>
      <c r="K96" s="41">
        <f t="shared" ca="1" si="4"/>
        <v>46070.538153703703</v>
      </c>
      <c r="L96" s="13">
        <f ca="1"/>
        <v>513.53815370370285</v>
      </c>
      <c r="M96" s="19" t="str">
        <f ca="1"/>
        <v>↑</v>
      </c>
      <c r="N96" s="13"/>
      <c r="O96" s="13"/>
      <c r="P96" s="19" t="str">
        <f t="shared" si="5"/>
        <v>Normal</v>
      </c>
      <c r="Q96" s="42">
        <f t="shared" si="6"/>
        <v>4.7</v>
      </c>
      <c r="R96" s="43">
        <f t="shared" si="7"/>
        <v>966.3</v>
      </c>
      <c r="S96" s="4"/>
      <c r="T96" s="3"/>
    </row>
    <row r="97" spans="1:20" x14ac:dyDescent="0.3">
      <c r="A97" s="38" t="s">
        <v>68</v>
      </c>
      <c r="B97" s="38" t="s">
        <v>17</v>
      </c>
      <c r="C97" s="38" t="s">
        <v>20</v>
      </c>
      <c r="D97" s="38" t="s">
        <v>12</v>
      </c>
      <c r="E97" s="39">
        <v>917.48</v>
      </c>
      <c r="F97" s="39">
        <v>6</v>
      </c>
      <c r="G97" s="39">
        <v>0</v>
      </c>
      <c r="H97" s="40">
        <v>45558</v>
      </c>
      <c r="I97" s="39">
        <v>366.99</v>
      </c>
      <c r="J97" s="13" t="str">
        <v>Sep-2024</v>
      </c>
      <c r="K97" s="41">
        <f t="shared" ca="1" si="4"/>
        <v>46070.538153703703</v>
      </c>
      <c r="L97" s="13">
        <f ca="1"/>
        <v>512.53815370370285</v>
      </c>
      <c r="M97" s="19" t="str">
        <f ca="1"/>
        <v>↑</v>
      </c>
      <c r="N97" s="13"/>
      <c r="O97" s="13"/>
      <c r="P97" s="19" t="str">
        <f t="shared" si="5"/>
        <v>Normal</v>
      </c>
      <c r="Q97" s="42">
        <f t="shared" si="6"/>
        <v>4.75</v>
      </c>
      <c r="R97" s="43">
        <f t="shared" si="7"/>
        <v>917.48</v>
      </c>
      <c r="S97" s="4"/>
      <c r="T97" s="3"/>
    </row>
    <row r="98" spans="1:20" x14ac:dyDescent="0.3">
      <c r="A98" s="38" t="s">
        <v>41</v>
      </c>
      <c r="B98" s="38" t="s">
        <v>61</v>
      </c>
      <c r="C98" s="38" t="s">
        <v>11</v>
      </c>
      <c r="D98" s="38" t="s">
        <v>27</v>
      </c>
      <c r="E98" s="39">
        <v>1172.97</v>
      </c>
      <c r="F98" s="39">
        <v>7</v>
      </c>
      <c r="G98" s="39">
        <v>0.15</v>
      </c>
      <c r="H98" s="40">
        <v>45559</v>
      </c>
      <c r="I98" s="39">
        <v>348.96</v>
      </c>
      <c r="J98" s="13" t="str">
        <v>Sep-2024</v>
      </c>
      <c r="K98" s="41">
        <f t="shared" ca="1" si="4"/>
        <v>46070.538153703703</v>
      </c>
      <c r="L98" s="13">
        <f ca="1"/>
        <v>511.53815370370285</v>
      </c>
      <c r="M98" s="19" t="str">
        <f ca="1"/>
        <v>↑</v>
      </c>
      <c r="N98" s="13"/>
      <c r="O98" s="13"/>
      <c r="P98" s="19" t="str">
        <f t="shared" si="5"/>
        <v>Normal</v>
      </c>
      <c r="Q98" s="42">
        <f t="shared" si="6"/>
        <v>4.8000000000000007</v>
      </c>
      <c r="R98" s="43">
        <f t="shared" si="7"/>
        <v>1172.97</v>
      </c>
      <c r="S98" s="4"/>
      <c r="T98" s="3"/>
    </row>
    <row r="99" spans="1:20" x14ac:dyDescent="0.3">
      <c r="A99" s="38" t="s">
        <v>57</v>
      </c>
      <c r="B99" s="38" t="s">
        <v>23</v>
      </c>
      <c r="C99" s="38" t="s">
        <v>24</v>
      </c>
      <c r="D99" s="38" t="s">
        <v>15</v>
      </c>
      <c r="E99" s="39">
        <v>1205.82</v>
      </c>
      <c r="F99" s="39">
        <v>11</v>
      </c>
      <c r="G99" s="39">
        <v>0.1</v>
      </c>
      <c r="H99" s="40">
        <v>45559</v>
      </c>
      <c r="I99" s="39">
        <v>542.62</v>
      </c>
      <c r="J99" s="13" t="str">
        <v>Sep-2024</v>
      </c>
      <c r="K99" s="41">
        <f t="shared" ca="1" si="4"/>
        <v>46070.538153703703</v>
      </c>
      <c r="L99" s="13">
        <f ca="1"/>
        <v>511.53815370370285</v>
      </c>
      <c r="M99" s="19" t="str">
        <f ca="1"/>
        <v>↑</v>
      </c>
      <c r="N99" s="13"/>
      <c r="O99" s="13"/>
      <c r="P99" s="19" t="str">
        <f t="shared" si="5"/>
        <v>Normal</v>
      </c>
      <c r="Q99" s="42">
        <f t="shared" si="6"/>
        <v>4.8500000000000005</v>
      </c>
      <c r="R99" s="43">
        <f t="shared" si="7"/>
        <v>1205.82</v>
      </c>
      <c r="S99" s="4"/>
      <c r="T99" s="3"/>
    </row>
    <row r="100" spans="1:20" x14ac:dyDescent="0.3">
      <c r="A100" s="38" t="s">
        <v>16</v>
      </c>
      <c r="B100" s="38" t="s">
        <v>64</v>
      </c>
      <c r="C100" s="38" t="s">
        <v>11</v>
      </c>
      <c r="D100" s="38" t="s">
        <v>39</v>
      </c>
      <c r="E100" s="39">
        <v>826.93</v>
      </c>
      <c r="F100" s="39">
        <v>10</v>
      </c>
      <c r="G100" s="39">
        <v>0.2</v>
      </c>
      <c r="H100" s="40">
        <v>45564</v>
      </c>
      <c r="I100" s="39">
        <v>297.69</v>
      </c>
      <c r="J100" s="13" t="str">
        <v>Sep-2024</v>
      </c>
      <c r="K100" s="41">
        <f t="shared" ca="1" si="4"/>
        <v>46070.538153703703</v>
      </c>
      <c r="L100" s="13">
        <f ca="1"/>
        <v>506.53815370370285</v>
      </c>
      <c r="M100" s="19" t="str">
        <f ca="1"/>
        <v>↑</v>
      </c>
      <c r="N100" s="13"/>
      <c r="O100" s="13"/>
      <c r="P100" s="19" t="str">
        <f t="shared" si="5"/>
        <v>Normal</v>
      </c>
      <c r="Q100" s="42">
        <f t="shared" si="6"/>
        <v>4.9000000000000004</v>
      </c>
      <c r="R100" s="43">
        <f t="shared" si="7"/>
        <v>826.93</v>
      </c>
      <c r="S100" s="4"/>
      <c r="T100" s="3"/>
    </row>
    <row r="101" spans="1:20" x14ac:dyDescent="0.3">
      <c r="A101" s="38" t="s">
        <v>67</v>
      </c>
      <c r="B101" s="38" t="s">
        <v>23</v>
      </c>
      <c r="C101" s="38" t="s">
        <v>34</v>
      </c>
      <c r="D101" s="38" t="s">
        <v>15</v>
      </c>
      <c r="E101" s="39">
        <v>902.19</v>
      </c>
      <c r="F101" s="39">
        <v>12</v>
      </c>
      <c r="G101" s="39">
        <v>0</v>
      </c>
      <c r="H101" s="40">
        <v>45564</v>
      </c>
      <c r="I101" s="39">
        <v>451.1</v>
      </c>
      <c r="J101" s="13" t="str">
        <v>Sep-2024</v>
      </c>
      <c r="K101" s="41">
        <f t="shared" ca="1" si="4"/>
        <v>46070.538153703703</v>
      </c>
      <c r="L101" s="13">
        <f ca="1"/>
        <v>506.53815370370285</v>
      </c>
      <c r="M101" s="19" t="str">
        <f ca="1"/>
        <v>↑</v>
      </c>
      <c r="N101" s="13"/>
      <c r="O101" s="13"/>
      <c r="P101" s="19" t="str">
        <f t="shared" si="5"/>
        <v>Normal</v>
      </c>
      <c r="Q101" s="42">
        <f t="shared" si="6"/>
        <v>4.95</v>
      </c>
      <c r="R101" s="43">
        <f t="shared" si="7"/>
        <v>902.19</v>
      </c>
      <c r="S101" s="4"/>
      <c r="T101" s="3"/>
    </row>
    <row r="102" spans="1:20" x14ac:dyDescent="0.3">
      <c r="A102" s="38" t="s">
        <v>74</v>
      </c>
      <c r="B102" s="38" t="s">
        <v>38</v>
      </c>
      <c r="C102" s="38" t="s">
        <v>24</v>
      </c>
      <c r="D102" s="38" t="s">
        <v>12</v>
      </c>
      <c r="E102" s="39">
        <v>585.97</v>
      </c>
      <c r="F102" s="39">
        <v>17</v>
      </c>
      <c r="G102" s="39">
        <v>0.1</v>
      </c>
      <c r="H102" s="40">
        <v>45565</v>
      </c>
      <c r="I102" s="39">
        <v>210.95</v>
      </c>
      <c r="J102" s="13" t="str">
        <v>Sep-2024</v>
      </c>
      <c r="K102" s="41">
        <f t="shared" ca="1" si="4"/>
        <v>46070.538153703703</v>
      </c>
      <c r="L102" s="13">
        <f ca="1"/>
        <v>505.53815370370285</v>
      </c>
      <c r="M102" s="19" t="str">
        <f ca="1"/>
        <v>↑</v>
      </c>
      <c r="N102" s="13"/>
      <c r="O102" s="13"/>
      <c r="P102" s="19" t="str">
        <f t="shared" si="5"/>
        <v>Normal</v>
      </c>
      <c r="Q102" s="42">
        <f t="shared" si="6"/>
        <v>5</v>
      </c>
      <c r="R102" s="43">
        <f t="shared" si="7"/>
        <v>585.97</v>
      </c>
      <c r="S102" s="4"/>
      <c r="T102" s="3"/>
    </row>
    <row r="103" spans="1:20" x14ac:dyDescent="0.3">
      <c r="A103" s="38" t="s">
        <v>60</v>
      </c>
      <c r="B103" s="38" t="s">
        <v>26</v>
      </c>
      <c r="C103" s="38" t="s">
        <v>24</v>
      </c>
      <c r="D103" s="38" t="s">
        <v>15</v>
      </c>
      <c r="E103" s="39">
        <v>990.19</v>
      </c>
      <c r="F103" s="39">
        <v>8</v>
      </c>
      <c r="G103" s="39">
        <v>0.1</v>
      </c>
      <c r="H103" s="40">
        <v>45565</v>
      </c>
      <c r="I103" s="39">
        <v>445.59</v>
      </c>
      <c r="J103" s="13" t="str">
        <v>Sep-2024</v>
      </c>
      <c r="K103" s="41">
        <f t="shared" ca="1" si="4"/>
        <v>46070.538153703703</v>
      </c>
      <c r="L103" s="13">
        <f ca="1"/>
        <v>505.53815370370285</v>
      </c>
      <c r="M103" s="19" t="str">
        <f ca="1"/>
        <v>↑</v>
      </c>
      <c r="N103" s="13"/>
      <c r="O103" s="13"/>
      <c r="P103" s="19" t="str">
        <f t="shared" si="5"/>
        <v>Normal</v>
      </c>
      <c r="Q103" s="42">
        <f t="shared" si="6"/>
        <v>5.0500000000000007</v>
      </c>
      <c r="R103" s="43">
        <f t="shared" si="7"/>
        <v>990.19</v>
      </c>
      <c r="S103" s="4"/>
      <c r="T103" s="3"/>
    </row>
    <row r="104" spans="1:20" x14ac:dyDescent="0.3">
      <c r="A104" s="38" t="s">
        <v>44</v>
      </c>
      <c r="B104" s="38" t="s">
        <v>56</v>
      </c>
      <c r="C104" s="38" t="s">
        <v>34</v>
      </c>
      <c r="D104" s="38" t="s">
        <v>21</v>
      </c>
      <c r="E104" s="39">
        <v>1014.09</v>
      </c>
      <c r="F104" s="39">
        <v>13</v>
      </c>
      <c r="G104" s="39">
        <v>0.2</v>
      </c>
      <c r="H104" s="40">
        <v>45567</v>
      </c>
      <c r="I104" s="39">
        <v>202.82</v>
      </c>
      <c r="J104" s="13" t="str">
        <v>Oct-2024</v>
      </c>
      <c r="K104" s="41">
        <f t="shared" ca="1" si="4"/>
        <v>46070.538153703703</v>
      </c>
      <c r="L104" s="13">
        <f ca="1"/>
        <v>503.53815370370285</v>
      </c>
      <c r="M104" s="19" t="str">
        <f ca="1"/>
        <v>↑</v>
      </c>
      <c r="N104" s="13"/>
      <c r="O104" s="13"/>
      <c r="P104" s="19" t="str">
        <f t="shared" si="5"/>
        <v>Normal</v>
      </c>
      <c r="Q104" s="42">
        <f t="shared" si="6"/>
        <v>5.1000000000000005</v>
      </c>
      <c r="R104" s="43">
        <f t="shared" si="7"/>
        <v>1014.09</v>
      </c>
      <c r="S104" s="4"/>
      <c r="T104" s="3"/>
    </row>
    <row r="105" spans="1:20" x14ac:dyDescent="0.3">
      <c r="A105" s="38" t="s">
        <v>13</v>
      </c>
      <c r="B105" s="38" t="s">
        <v>48</v>
      </c>
      <c r="C105" s="38" t="s">
        <v>24</v>
      </c>
      <c r="D105" s="38" t="s">
        <v>21</v>
      </c>
      <c r="E105" s="39">
        <v>925.29</v>
      </c>
      <c r="F105" s="39">
        <v>17</v>
      </c>
      <c r="G105" s="39">
        <v>0</v>
      </c>
      <c r="H105" s="40">
        <v>45570</v>
      </c>
      <c r="I105" s="39">
        <v>231.32</v>
      </c>
      <c r="J105" s="13" t="str">
        <v>Oct-2024</v>
      </c>
      <c r="K105" s="41">
        <f t="shared" ca="1" si="4"/>
        <v>46070.538153703703</v>
      </c>
      <c r="L105" s="13">
        <f ca="1"/>
        <v>500.53815370370285</v>
      </c>
      <c r="M105" s="19" t="str">
        <f ca="1"/>
        <v>↑</v>
      </c>
      <c r="N105" s="13"/>
      <c r="O105" s="13"/>
      <c r="P105" s="19" t="str">
        <f t="shared" si="5"/>
        <v>Normal</v>
      </c>
      <c r="Q105" s="42">
        <f t="shared" si="6"/>
        <v>5.15</v>
      </c>
      <c r="R105" s="43">
        <f t="shared" si="7"/>
        <v>925.29</v>
      </c>
      <c r="S105" s="4"/>
      <c r="T105" s="3"/>
    </row>
    <row r="106" spans="1:20" x14ac:dyDescent="0.3">
      <c r="A106" s="38" t="s">
        <v>54</v>
      </c>
      <c r="B106" s="38" t="s">
        <v>47</v>
      </c>
      <c r="C106" s="38" t="s">
        <v>18</v>
      </c>
      <c r="D106" s="38" t="s">
        <v>27</v>
      </c>
      <c r="E106" s="39">
        <v>1286.54</v>
      </c>
      <c r="F106" s="39">
        <v>8</v>
      </c>
      <c r="G106" s="39">
        <v>0</v>
      </c>
      <c r="H106" s="40">
        <v>45575</v>
      </c>
      <c r="I106" s="39">
        <v>450.29</v>
      </c>
      <c r="J106" s="13" t="str">
        <v>Oct-2024</v>
      </c>
      <c r="K106" s="41">
        <f t="shared" ca="1" si="4"/>
        <v>46070.538153703703</v>
      </c>
      <c r="L106" s="13">
        <f ca="1"/>
        <v>495.53815370370285</v>
      </c>
      <c r="M106" s="19" t="str">
        <f ca="1"/>
        <v>↓</v>
      </c>
      <c r="N106" s="13"/>
      <c r="O106" s="13"/>
      <c r="P106" s="19" t="str">
        <f t="shared" si="5"/>
        <v>Normal</v>
      </c>
      <c r="Q106" s="42">
        <f t="shared" si="6"/>
        <v>5.2</v>
      </c>
      <c r="R106" s="43">
        <f t="shared" si="7"/>
        <v>1286.54</v>
      </c>
      <c r="S106" s="4"/>
      <c r="T106" s="3"/>
    </row>
    <row r="107" spans="1:20" x14ac:dyDescent="0.3">
      <c r="A107" s="38" t="s">
        <v>37</v>
      </c>
      <c r="B107" s="38" t="s">
        <v>64</v>
      </c>
      <c r="C107" s="38" t="s">
        <v>20</v>
      </c>
      <c r="D107" s="38" t="s">
        <v>12</v>
      </c>
      <c r="E107" s="39">
        <v>961.62</v>
      </c>
      <c r="F107" s="39">
        <v>8</v>
      </c>
      <c r="G107" s="39">
        <v>0.2</v>
      </c>
      <c r="H107" s="40">
        <v>45577</v>
      </c>
      <c r="I107" s="39">
        <v>307.72000000000003</v>
      </c>
      <c r="J107" s="13" t="str">
        <v>Oct-2024</v>
      </c>
      <c r="K107" s="41">
        <f t="shared" ca="1" si="4"/>
        <v>46070.538153703703</v>
      </c>
      <c r="L107" s="13">
        <f ca="1"/>
        <v>493.53815370370285</v>
      </c>
      <c r="M107" s="19" t="str">
        <f ca="1"/>
        <v>↓</v>
      </c>
      <c r="N107" s="13"/>
      <c r="O107" s="13"/>
      <c r="P107" s="19" t="str">
        <f t="shared" si="5"/>
        <v>Normal</v>
      </c>
      <c r="Q107" s="42">
        <f t="shared" si="6"/>
        <v>5.25</v>
      </c>
      <c r="R107" s="43">
        <f t="shared" si="7"/>
        <v>961.62</v>
      </c>
      <c r="S107" s="4"/>
      <c r="T107" s="3"/>
    </row>
    <row r="108" spans="1:20" x14ac:dyDescent="0.3">
      <c r="A108" s="38" t="s">
        <v>44</v>
      </c>
      <c r="B108" s="38" t="s">
        <v>23</v>
      </c>
      <c r="C108" s="38" t="s">
        <v>18</v>
      </c>
      <c r="D108" s="38" t="s">
        <v>12</v>
      </c>
      <c r="E108" s="39">
        <v>1081.1400000000001</v>
      </c>
      <c r="F108" s="39">
        <v>19</v>
      </c>
      <c r="G108" s="39">
        <v>0.15</v>
      </c>
      <c r="H108" s="40">
        <v>45577</v>
      </c>
      <c r="I108" s="39">
        <v>367.59</v>
      </c>
      <c r="J108" s="13" t="str">
        <v>Oct-2024</v>
      </c>
      <c r="K108" s="41">
        <f t="shared" ca="1" si="4"/>
        <v>46070.538153703703</v>
      </c>
      <c r="L108" s="13">
        <f ca="1"/>
        <v>493.53815370370285</v>
      </c>
      <c r="M108" s="19" t="str">
        <f ca="1"/>
        <v>↓</v>
      </c>
      <c r="N108" s="13"/>
      <c r="O108" s="13"/>
      <c r="P108" s="19" t="str">
        <f t="shared" si="5"/>
        <v>Normal</v>
      </c>
      <c r="Q108" s="42">
        <f t="shared" si="6"/>
        <v>5.3000000000000007</v>
      </c>
      <c r="R108" s="43">
        <f t="shared" si="7"/>
        <v>1081.1400000000001</v>
      </c>
      <c r="S108" s="4"/>
      <c r="T108" s="3"/>
    </row>
    <row r="109" spans="1:20" s="66" customFormat="1" x14ac:dyDescent="0.3">
      <c r="A109" s="56" t="s">
        <v>58</v>
      </c>
      <c r="B109" s="56" t="s">
        <v>23</v>
      </c>
      <c r="C109" s="56" t="s">
        <v>11</v>
      </c>
      <c r="D109" s="56" t="s">
        <v>15</v>
      </c>
      <c r="E109" s="57">
        <v>1923.66</v>
      </c>
      <c r="F109" s="57">
        <v>9</v>
      </c>
      <c r="G109" s="57">
        <v>0.2</v>
      </c>
      <c r="H109" s="58">
        <v>45580</v>
      </c>
      <c r="I109" s="57">
        <v>769.46</v>
      </c>
      <c r="J109" s="59" t="str">
        <v>Oct-2024</v>
      </c>
      <c r="K109" s="60">
        <f t="shared" ca="1" si="4"/>
        <v>46070.538153703703</v>
      </c>
      <c r="L109" s="59">
        <f ca="1"/>
        <v>490.53815370370285</v>
      </c>
      <c r="M109" s="61" t="str">
        <f ca="1"/>
        <v>↓</v>
      </c>
      <c r="N109" s="59"/>
      <c r="O109" s="59"/>
      <c r="P109" s="61" t="str">
        <f t="shared" si="5"/>
        <v>Normal</v>
      </c>
      <c r="Q109" s="62">
        <f t="shared" si="6"/>
        <v>5.3500000000000005</v>
      </c>
      <c r="R109" s="63">
        <f t="shared" si="7"/>
        <v>1923.66</v>
      </c>
      <c r="S109" s="64"/>
      <c r="T109" s="65"/>
    </row>
    <row r="110" spans="1:20" x14ac:dyDescent="0.3">
      <c r="A110" s="38" t="s">
        <v>54</v>
      </c>
      <c r="B110" s="38" t="s">
        <v>66</v>
      </c>
      <c r="C110" s="38" t="s">
        <v>34</v>
      </c>
      <c r="D110" s="38" t="s">
        <v>15</v>
      </c>
      <c r="E110" s="39">
        <v>728.71</v>
      </c>
      <c r="F110" s="39">
        <v>14</v>
      </c>
      <c r="G110" s="39">
        <v>0.1</v>
      </c>
      <c r="H110" s="40">
        <v>45581</v>
      </c>
      <c r="I110" s="39">
        <v>327.92</v>
      </c>
      <c r="J110" s="13" t="str">
        <v>Oct-2024</v>
      </c>
      <c r="K110" s="41">
        <f t="shared" ca="1" si="4"/>
        <v>46070.538153703703</v>
      </c>
      <c r="L110" s="13">
        <f ca="1"/>
        <v>489.53815370370285</v>
      </c>
      <c r="M110" s="19" t="str">
        <f ca="1"/>
        <v>↓</v>
      </c>
      <c r="N110" s="13"/>
      <c r="O110" s="13"/>
      <c r="P110" s="19" t="str">
        <f t="shared" si="5"/>
        <v>Normal</v>
      </c>
      <c r="Q110" s="42">
        <f t="shared" si="6"/>
        <v>5.4</v>
      </c>
      <c r="R110" s="43">
        <f t="shared" si="7"/>
        <v>728.71</v>
      </c>
      <c r="S110" s="4"/>
      <c r="T110" s="3"/>
    </row>
    <row r="111" spans="1:20" x14ac:dyDescent="0.3">
      <c r="A111" s="38" t="s">
        <v>9</v>
      </c>
      <c r="B111" s="38" t="s">
        <v>33</v>
      </c>
      <c r="C111" s="38" t="s">
        <v>34</v>
      </c>
      <c r="D111" s="38" t="s">
        <v>15</v>
      </c>
      <c r="E111" s="39">
        <v>1301.8900000000001</v>
      </c>
      <c r="F111" s="39">
        <v>7</v>
      </c>
      <c r="G111" s="39">
        <v>0.15</v>
      </c>
      <c r="H111" s="40">
        <v>45581</v>
      </c>
      <c r="I111" s="39">
        <v>553.29999999999995</v>
      </c>
      <c r="J111" s="13" t="str">
        <v>Oct-2024</v>
      </c>
      <c r="K111" s="41">
        <f t="shared" ca="1" si="4"/>
        <v>46070.538153703703</v>
      </c>
      <c r="L111" s="13">
        <f ca="1"/>
        <v>489.53815370370285</v>
      </c>
      <c r="M111" s="19" t="str">
        <f ca="1"/>
        <v>↓</v>
      </c>
      <c r="N111" s="13"/>
      <c r="O111" s="13"/>
      <c r="P111" s="19" t="str">
        <f t="shared" si="5"/>
        <v>Normal</v>
      </c>
      <c r="Q111" s="42">
        <f t="shared" si="6"/>
        <v>5.45</v>
      </c>
      <c r="R111" s="43">
        <f t="shared" si="7"/>
        <v>1301.8900000000001</v>
      </c>
      <c r="S111" s="4"/>
      <c r="T111" s="3"/>
    </row>
    <row r="112" spans="1:20" x14ac:dyDescent="0.3">
      <c r="A112" s="38" t="s">
        <v>70</v>
      </c>
      <c r="B112" s="38" t="s">
        <v>66</v>
      </c>
      <c r="C112" s="38" t="s">
        <v>18</v>
      </c>
      <c r="D112" s="38" t="s">
        <v>12</v>
      </c>
      <c r="E112" s="39">
        <v>980.18</v>
      </c>
      <c r="F112" s="39">
        <v>16</v>
      </c>
      <c r="G112" s="39">
        <v>0.1</v>
      </c>
      <c r="H112" s="40">
        <v>45582</v>
      </c>
      <c r="I112" s="39">
        <v>352.86</v>
      </c>
      <c r="J112" s="13" t="str">
        <v>Oct-2024</v>
      </c>
      <c r="K112" s="41">
        <f t="shared" ca="1" si="4"/>
        <v>46070.538153703703</v>
      </c>
      <c r="L112" s="13">
        <f ca="1"/>
        <v>488.53815370370285</v>
      </c>
      <c r="M112" s="19" t="str">
        <f ca="1"/>
        <v>↓</v>
      </c>
      <c r="N112" s="13"/>
      <c r="O112" s="13"/>
      <c r="P112" s="19" t="str">
        <f t="shared" si="5"/>
        <v>Normal</v>
      </c>
      <c r="Q112" s="42">
        <f t="shared" si="6"/>
        <v>5.5</v>
      </c>
      <c r="R112" s="43">
        <f t="shared" si="7"/>
        <v>980.18</v>
      </c>
      <c r="S112" s="4"/>
      <c r="T112" s="3"/>
    </row>
    <row r="113" spans="1:20" x14ac:dyDescent="0.3">
      <c r="A113" s="38" t="s">
        <v>74</v>
      </c>
      <c r="B113" s="38" t="s">
        <v>23</v>
      </c>
      <c r="C113" s="38" t="s">
        <v>11</v>
      </c>
      <c r="D113" s="38" t="s">
        <v>15</v>
      </c>
      <c r="E113" s="39">
        <v>697.57</v>
      </c>
      <c r="F113" s="39">
        <v>17</v>
      </c>
      <c r="G113" s="39">
        <v>0.1</v>
      </c>
      <c r="H113" s="40">
        <v>45584</v>
      </c>
      <c r="I113" s="39">
        <v>313.91000000000003</v>
      </c>
      <c r="J113" s="13" t="str">
        <v>Oct-2024</v>
      </c>
      <c r="K113" s="41">
        <f t="shared" ca="1" si="4"/>
        <v>46070.538153703703</v>
      </c>
      <c r="L113" s="13">
        <f ca="1"/>
        <v>486.53815370370285</v>
      </c>
      <c r="M113" s="19" t="str">
        <f ca="1"/>
        <v>↓</v>
      </c>
      <c r="N113" s="13"/>
      <c r="O113" s="13"/>
      <c r="P113" s="19" t="str">
        <f t="shared" si="5"/>
        <v>Normal</v>
      </c>
      <c r="Q113" s="42">
        <f t="shared" si="6"/>
        <v>5.5500000000000007</v>
      </c>
      <c r="R113" s="43">
        <f t="shared" si="7"/>
        <v>697.57</v>
      </c>
      <c r="S113" s="4"/>
      <c r="T113" s="3"/>
    </row>
    <row r="114" spans="1:20" x14ac:dyDescent="0.3">
      <c r="A114" s="38" t="s">
        <v>46</v>
      </c>
      <c r="B114" s="38" t="s">
        <v>71</v>
      </c>
      <c r="C114" s="38" t="s">
        <v>11</v>
      </c>
      <c r="D114" s="38" t="s">
        <v>27</v>
      </c>
      <c r="E114" s="39">
        <v>1193.6099999999999</v>
      </c>
      <c r="F114" s="39">
        <v>1</v>
      </c>
      <c r="G114" s="39">
        <v>0.15</v>
      </c>
      <c r="H114" s="40">
        <v>45584</v>
      </c>
      <c r="I114" s="39">
        <v>355.1</v>
      </c>
      <c r="J114" s="13" t="str">
        <v>Oct-2024</v>
      </c>
      <c r="K114" s="41">
        <f t="shared" ca="1" si="4"/>
        <v>46070.538153703703</v>
      </c>
      <c r="L114" s="13">
        <f ca="1"/>
        <v>486.53815370370285</v>
      </c>
      <c r="M114" s="19" t="str">
        <f ca="1"/>
        <v>↓</v>
      </c>
      <c r="N114" s="13"/>
      <c r="O114" s="13"/>
      <c r="P114" s="19" t="str">
        <f t="shared" si="5"/>
        <v>Normal</v>
      </c>
      <c r="Q114" s="42">
        <f t="shared" si="6"/>
        <v>5.6000000000000005</v>
      </c>
      <c r="R114" s="43">
        <f t="shared" si="7"/>
        <v>1193.6099999999999</v>
      </c>
      <c r="S114" s="4"/>
      <c r="T114" s="3"/>
    </row>
    <row r="115" spans="1:20" x14ac:dyDescent="0.3">
      <c r="A115" s="38" t="s">
        <v>32</v>
      </c>
      <c r="B115" s="38" t="s">
        <v>38</v>
      </c>
      <c r="C115" s="38" t="s">
        <v>20</v>
      </c>
      <c r="D115" s="38" t="s">
        <v>21</v>
      </c>
      <c r="E115" s="39">
        <v>771.02</v>
      </c>
      <c r="F115" s="39">
        <v>1</v>
      </c>
      <c r="G115" s="39">
        <v>0</v>
      </c>
      <c r="H115" s="40">
        <v>45585</v>
      </c>
      <c r="I115" s="39">
        <v>192.76</v>
      </c>
      <c r="J115" s="13" t="str">
        <v>Oct-2024</v>
      </c>
      <c r="K115" s="41">
        <f t="shared" ca="1" si="4"/>
        <v>46070.538153703703</v>
      </c>
      <c r="L115" s="13">
        <f ca="1"/>
        <v>485.53815370370285</v>
      </c>
      <c r="M115" s="19" t="str">
        <f ca="1"/>
        <v>↓</v>
      </c>
      <c r="N115" s="13"/>
      <c r="O115" s="13"/>
      <c r="P115" s="19" t="str">
        <f t="shared" si="5"/>
        <v>Normal</v>
      </c>
      <c r="Q115" s="42">
        <f t="shared" si="6"/>
        <v>5.65</v>
      </c>
      <c r="R115" s="43">
        <f t="shared" si="7"/>
        <v>771.02</v>
      </c>
      <c r="S115" s="4"/>
      <c r="T115" s="3"/>
    </row>
    <row r="116" spans="1:20" x14ac:dyDescent="0.3">
      <c r="A116" s="38" t="s">
        <v>67</v>
      </c>
      <c r="B116" s="38" t="s">
        <v>69</v>
      </c>
      <c r="C116" s="38" t="s">
        <v>24</v>
      </c>
      <c r="D116" s="38" t="s">
        <v>15</v>
      </c>
      <c r="E116" s="39">
        <v>661.09</v>
      </c>
      <c r="F116" s="39">
        <v>1</v>
      </c>
      <c r="G116" s="39">
        <v>0.2</v>
      </c>
      <c r="H116" s="40">
        <v>45593</v>
      </c>
      <c r="I116" s="39">
        <v>264.44</v>
      </c>
      <c r="J116" s="13" t="str">
        <v>Oct-2024</v>
      </c>
      <c r="K116" s="41">
        <f t="shared" ca="1" si="4"/>
        <v>46070.538153703703</v>
      </c>
      <c r="L116" s="13">
        <f ca="1"/>
        <v>477.53815370370285</v>
      </c>
      <c r="M116" s="19" t="str">
        <f ca="1"/>
        <v>↓</v>
      </c>
      <c r="N116" s="13"/>
      <c r="O116" s="13"/>
      <c r="P116" s="19" t="str">
        <f t="shared" si="5"/>
        <v>Normal</v>
      </c>
      <c r="Q116" s="42">
        <f t="shared" si="6"/>
        <v>5.7</v>
      </c>
      <c r="R116" s="43">
        <f t="shared" si="7"/>
        <v>661.09</v>
      </c>
      <c r="S116" s="4"/>
      <c r="T116" s="3"/>
    </row>
    <row r="117" spans="1:20" x14ac:dyDescent="0.3">
      <c r="A117" s="38" t="s">
        <v>13</v>
      </c>
      <c r="B117" s="38" t="s">
        <v>55</v>
      </c>
      <c r="C117" s="38" t="s">
        <v>11</v>
      </c>
      <c r="D117" s="38" t="s">
        <v>21</v>
      </c>
      <c r="E117" s="39">
        <v>688.83</v>
      </c>
      <c r="F117" s="39">
        <v>15</v>
      </c>
      <c r="G117" s="39">
        <v>0</v>
      </c>
      <c r="H117" s="40">
        <v>45595</v>
      </c>
      <c r="I117" s="39">
        <v>172.21</v>
      </c>
      <c r="J117" s="13" t="str">
        <v>Oct-2024</v>
      </c>
      <c r="K117" s="41">
        <f t="shared" ca="1" si="4"/>
        <v>46070.538153703703</v>
      </c>
      <c r="L117" s="13">
        <f ca="1"/>
        <v>475.53815370370285</v>
      </c>
      <c r="M117" s="19" t="str">
        <f ca="1"/>
        <v>↓</v>
      </c>
      <c r="N117" s="13"/>
      <c r="O117" s="13"/>
      <c r="P117" s="19" t="str">
        <f t="shared" si="5"/>
        <v>Normal</v>
      </c>
      <c r="Q117" s="42">
        <f t="shared" si="6"/>
        <v>5.75</v>
      </c>
      <c r="R117" s="43">
        <f t="shared" si="7"/>
        <v>688.83</v>
      </c>
      <c r="S117" s="4"/>
      <c r="T117" s="3"/>
    </row>
    <row r="118" spans="1:20" x14ac:dyDescent="0.3">
      <c r="A118" s="38" t="s">
        <v>73</v>
      </c>
      <c r="B118" s="38" t="s">
        <v>29</v>
      </c>
      <c r="C118" s="38" t="s">
        <v>34</v>
      </c>
      <c r="D118" s="38" t="s">
        <v>12</v>
      </c>
      <c r="E118" s="39">
        <v>1249.0999999999999</v>
      </c>
      <c r="F118" s="39">
        <v>4</v>
      </c>
      <c r="G118" s="39">
        <v>0.05</v>
      </c>
      <c r="H118" s="40">
        <v>45597</v>
      </c>
      <c r="I118" s="39">
        <v>474.66</v>
      </c>
      <c r="J118" s="13" t="str">
        <v>Nov-2024</v>
      </c>
      <c r="K118" s="41">
        <f t="shared" ca="1" si="4"/>
        <v>46070.538153703703</v>
      </c>
      <c r="L118" s="13">
        <f ca="1"/>
        <v>473.53815370370285</v>
      </c>
      <c r="M118" s="19" t="str">
        <f ca="1"/>
        <v>↓</v>
      </c>
      <c r="N118" s="13"/>
      <c r="O118" s="13"/>
      <c r="P118" s="19" t="str">
        <f t="shared" si="5"/>
        <v>Normal</v>
      </c>
      <c r="Q118" s="42">
        <f t="shared" si="6"/>
        <v>5.8000000000000007</v>
      </c>
      <c r="R118" s="43">
        <f t="shared" si="7"/>
        <v>1249.0999999999999</v>
      </c>
      <c r="S118" s="4"/>
      <c r="T118" s="3"/>
    </row>
    <row r="119" spans="1:20" x14ac:dyDescent="0.3">
      <c r="A119" s="38" t="s">
        <v>44</v>
      </c>
      <c r="B119" s="38" t="s">
        <v>23</v>
      </c>
      <c r="C119" s="38" t="s">
        <v>18</v>
      </c>
      <c r="D119" s="38" t="s">
        <v>39</v>
      </c>
      <c r="E119" s="39">
        <v>1014.22</v>
      </c>
      <c r="F119" s="39">
        <v>14</v>
      </c>
      <c r="G119" s="39">
        <v>0.05</v>
      </c>
      <c r="H119" s="40">
        <v>45599</v>
      </c>
      <c r="I119" s="39">
        <v>433.58</v>
      </c>
      <c r="J119" s="13" t="str">
        <v>Nov-2024</v>
      </c>
      <c r="K119" s="41">
        <f t="shared" ca="1" si="4"/>
        <v>46070.538153703703</v>
      </c>
      <c r="L119" s="13">
        <f ca="1"/>
        <v>471.53815370370285</v>
      </c>
      <c r="M119" s="19" t="str">
        <f ca="1"/>
        <v>↓</v>
      </c>
      <c r="N119" s="13"/>
      <c r="O119" s="13"/>
      <c r="P119" s="19" t="str">
        <f t="shared" si="5"/>
        <v>Normal</v>
      </c>
      <c r="Q119" s="42">
        <f t="shared" si="6"/>
        <v>5.8500000000000005</v>
      </c>
      <c r="R119" s="43">
        <f t="shared" si="7"/>
        <v>1014.22</v>
      </c>
      <c r="S119" s="4"/>
      <c r="T119" s="3"/>
    </row>
    <row r="120" spans="1:20" x14ac:dyDescent="0.3">
      <c r="A120" s="38" t="s">
        <v>54</v>
      </c>
      <c r="B120" s="38" t="s">
        <v>48</v>
      </c>
      <c r="C120" s="38" t="s">
        <v>18</v>
      </c>
      <c r="D120" s="38" t="s">
        <v>12</v>
      </c>
      <c r="E120" s="39">
        <v>1010.58</v>
      </c>
      <c r="F120" s="39">
        <v>2</v>
      </c>
      <c r="G120" s="39">
        <v>0.15</v>
      </c>
      <c r="H120" s="40">
        <v>45605</v>
      </c>
      <c r="I120" s="39">
        <v>343.6</v>
      </c>
      <c r="J120" s="13" t="str">
        <v>Nov-2024</v>
      </c>
      <c r="K120" s="41">
        <f t="shared" ca="1" si="4"/>
        <v>46070.538153703703</v>
      </c>
      <c r="L120" s="13">
        <f ca="1"/>
        <v>465.53815370370285</v>
      </c>
      <c r="M120" s="19" t="str">
        <f ca="1"/>
        <v>↓</v>
      </c>
      <c r="N120" s="13"/>
      <c r="O120" s="13"/>
      <c r="P120" s="19" t="str">
        <f t="shared" si="5"/>
        <v>Normal</v>
      </c>
      <c r="Q120" s="42">
        <f t="shared" si="6"/>
        <v>5.9</v>
      </c>
      <c r="R120" s="43">
        <f t="shared" si="7"/>
        <v>1010.58</v>
      </c>
      <c r="S120" s="4"/>
      <c r="T120" s="3"/>
    </row>
    <row r="121" spans="1:20" x14ac:dyDescent="0.3">
      <c r="A121" s="38" t="s">
        <v>30</v>
      </c>
      <c r="B121" s="38" t="s">
        <v>59</v>
      </c>
      <c r="C121" s="38" t="s">
        <v>24</v>
      </c>
      <c r="D121" s="38" t="s">
        <v>27</v>
      </c>
      <c r="E121" s="39">
        <v>957.29</v>
      </c>
      <c r="F121" s="39">
        <v>4</v>
      </c>
      <c r="G121" s="39">
        <v>0.05</v>
      </c>
      <c r="H121" s="40">
        <v>45605</v>
      </c>
      <c r="I121" s="39">
        <v>318.3</v>
      </c>
      <c r="J121" s="13" t="str">
        <v>Nov-2024</v>
      </c>
      <c r="K121" s="41">
        <f t="shared" ca="1" si="4"/>
        <v>46070.538153703703</v>
      </c>
      <c r="L121" s="13">
        <f ca="1"/>
        <v>465.53815370370285</v>
      </c>
      <c r="M121" s="19" t="str">
        <f ca="1"/>
        <v>↓</v>
      </c>
      <c r="N121" s="13"/>
      <c r="O121" s="13"/>
      <c r="P121" s="19" t="str">
        <f t="shared" si="5"/>
        <v>Normal</v>
      </c>
      <c r="Q121" s="42">
        <f t="shared" si="6"/>
        <v>5.95</v>
      </c>
      <c r="R121" s="43">
        <f t="shared" si="7"/>
        <v>957.29</v>
      </c>
      <c r="S121" s="4"/>
      <c r="T121" s="3"/>
    </row>
    <row r="122" spans="1:20" x14ac:dyDescent="0.3">
      <c r="A122" s="38" t="s">
        <v>28</v>
      </c>
      <c r="B122" s="38" t="s">
        <v>45</v>
      </c>
      <c r="C122" s="38" t="s">
        <v>24</v>
      </c>
      <c r="D122" s="38" t="s">
        <v>27</v>
      </c>
      <c r="E122" s="39">
        <v>1077.92</v>
      </c>
      <c r="F122" s="39">
        <v>3</v>
      </c>
      <c r="G122" s="39">
        <v>0.05</v>
      </c>
      <c r="H122" s="40">
        <v>45608</v>
      </c>
      <c r="I122" s="39">
        <v>358.41</v>
      </c>
      <c r="J122" s="13" t="str">
        <v>Nov-2024</v>
      </c>
      <c r="K122" s="41">
        <f t="shared" ca="1" si="4"/>
        <v>46070.538153703703</v>
      </c>
      <c r="L122" s="13">
        <f ca="1"/>
        <v>462.53815370370285</v>
      </c>
      <c r="M122" s="19" t="str">
        <f ca="1"/>
        <v>↓</v>
      </c>
      <c r="N122" s="13"/>
      <c r="O122" s="13"/>
      <c r="P122" s="19" t="str">
        <f t="shared" si="5"/>
        <v>Normal</v>
      </c>
      <c r="Q122" s="42">
        <f t="shared" si="6"/>
        <v>6</v>
      </c>
      <c r="R122" s="43">
        <f t="shared" si="7"/>
        <v>1077.92</v>
      </c>
      <c r="S122" s="4"/>
      <c r="T122" s="3"/>
    </row>
    <row r="123" spans="1:20" x14ac:dyDescent="0.3">
      <c r="A123" s="38" t="s">
        <v>52</v>
      </c>
      <c r="B123" s="38" t="s">
        <v>50</v>
      </c>
      <c r="C123" s="38" t="s">
        <v>20</v>
      </c>
      <c r="D123" s="38" t="s">
        <v>15</v>
      </c>
      <c r="E123" s="39">
        <v>1163.01</v>
      </c>
      <c r="F123" s="39">
        <v>5</v>
      </c>
      <c r="G123" s="39">
        <v>0</v>
      </c>
      <c r="H123" s="40">
        <v>45611</v>
      </c>
      <c r="I123" s="39">
        <v>581.5</v>
      </c>
      <c r="J123" s="13" t="str">
        <v>Nov-2024</v>
      </c>
      <c r="K123" s="41">
        <f t="shared" ca="1" si="4"/>
        <v>46070.538153703703</v>
      </c>
      <c r="L123" s="13">
        <f ca="1"/>
        <v>459.53815370370285</v>
      </c>
      <c r="M123" s="19" t="str">
        <f ca="1"/>
        <v>↓</v>
      </c>
      <c r="N123" s="13"/>
      <c r="O123" s="13"/>
      <c r="P123" s="19" t="str">
        <f t="shared" si="5"/>
        <v>Normal</v>
      </c>
      <c r="Q123" s="42">
        <f t="shared" si="6"/>
        <v>6.0500000000000007</v>
      </c>
      <c r="R123" s="43">
        <f t="shared" si="7"/>
        <v>1163.01</v>
      </c>
      <c r="S123" s="4"/>
      <c r="T123" s="3"/>
    </row>
    <row r="124" spans="1:20" x14ac:dyDescent="0.3">
      <c r="A124" s="38" t="s">
        <v>54</v>
      </c>
      <c r="B124" s="38" t="s">
        <v>45</v>
      </c>
      <c r="C124" s="38" t="s">
        <v>18</v>
      </c>
      <c r="D124" s="38" t="s">
        <v>39</v>
      </c>
      <c r="E124" s="39">
        <v>1014.56</v>
      </c>
      <c r="F124" s="39">
        <v>10</v>
      </c>
      <c r="G124" s="39">
        <v>0.1</v>
      </c>
      <c r="H124" s="40">
        <v>45612</v>
      </c>
      <c r="I124" s="39">
        <v>410.9</v>
      </c>
      <c r="J124" s="13" t="str">
        <v>Nov-2024</v>
      </c>
      <c r="K124" s="41">
        <f t="shared" ca="1" si="4"/>
        <v>46070.538153703703</v>
      </c>
      <c r="L124" s="13">
        <f ca="1"/>
        <v>458.53815370370285</v>
      </c>
      <c r="M124" s="19" t="str">
        <f ca="1"/>
        <v>↓</v>
      </c>
      <c r="N124" s="13"/>
      <c r="O124" s="13"/>
      <c r="P124" s="19" t="str">
        <f t="shared" si="5"/>
        <v>Normal</v>
      </c>
      <c r="Q124" s="42">
        <f t="shared" si="6"/>
        <v>6.1000000000000005</v>
      </c>
      <c r="R124" s="43">
        <f t="shared" si="7"/>
        <v>1014.56</v>
      </c>
      <c r="S124" s="4"/>
      <c r="T124" s="3"/>
    </row>
    <row r="125" spans="1:20" x14ac:dyDescent="0.3">
      <c r="A125" s="38" t="s">
        <v>9</v>
      </c>
      <c r="B125" s="38" t="s">
        <v>17</v>
      </c>
      <c r="C125" s="38" t="s">
        <v>20</v>
      </c>
      <c r="D125" s="38" t="s">
        <v>21</v>
      </c>
      <c r="E125" s="39">
        <v>718.04</v>
      </c>
      <c r="F125" s="39">
        <v>14</v>
      </c>
      <c r="G125" s="39">
        <v>0</v>
      </c>
      <c r="H125" s="40">
        <v>45613</v>
      </c>
      <c r="I125" s="39">
        <v>179.51</v>
      </c>
      <c r="J125" s="13" t="str">
        <v>Nov-2024</v>
      </c>
      <c r="K125" s="41">
        <f t="shared" ca="1" si="4"/>
        <v>46070.538153703703</v>
      </c>
      <c r="L125" s="13">
        <f ca="1"/>
        <v>457.53815370370285</v>
      </c>
      <c r="M125" s="19" t="str">
        <f ca="1"/>
        <v>↓</v>
      </c>
      <c r="N125" s="13"/>
      <c r="O125" s="13"/>
      <c r="P125" s="19" t="str">
        <f t="shared" si="5"/>
        <v>Normal</v>
      </c>
      <c r="Q125" s="42">
        <f t="shared" si="6"/>
        <v>6.15</v>
      </c>
      <c r="R125" s="43">
        <f t="shared" si="7"/>
        <v>718.04</v>
      </c>
      <c r="S125" s="4"/>
      <c r="T125" s="3"/>
    </row>
    <row r="126" spans="1:20" x14ac:dyDescent="0.3">
      <c r="A126" s="38" t="s">
        <v>72</v>
      </c>
      <c r="B126" s="38" t="s">
        <v>17</v>
      </c>
      <c r="C126" s="38" t="s">
        <v>34</v>
      </c>
      <c r="D126" s="38" t="s">
        <v>15</v>
      </c>
      <c r="E126" s="39">
        <v>1277.8499999999999</v>
      </c>
      <c r="F126" s="39">
        <v>18</v>
      </c>
      <c r="G126" s="39">
        <v>0.2</v>
      </c>
      <c r="H126" s="40">
        <v>45613</v>
      </c>
      <c r="I126" s="39">
        <v>511.14</v>
      </c>
      <c r="J126" s="13" t="str">
        <v>Nov-2024</v>
      </c>
      <c r="K126" s="41">
        <f t="shared" ca="1" si="4"/>
        <v>46070.538153703703</v>
      </c>
      <c r="L126" s="13">
        <f ca="1"/>
        <v>457.53815370370285</v>
      </c>
      <c r="M126" s="19" t="str">
        <f ca="1"/>
        <v>↓</v>
      </c>
      <c r="N126" s="13"/>
      <c r="O126" s="13"/>
      <c r="P126" s="19" t="str">
        <f t="shared" si="5"/>
        <v>Normal</v>
      </c>
      <c r="Q126" s="42">
        <f t="shared" si="6"/>
        <v>6.2</v>
      </c>
      <c r="R126" s="43">
        <f t="shared" si="7"/>
        <v>1277.8499999999999</v>
      </c>
      <c r="S126" s="4"/>
      <c r="T126" s="3"/>
    </row>
    <row r="127" spans="1:20" x14ac:dyDescent="0.3">
      <c r="A127" s="38" t="s">
        <v>70</v>
      </c>
      <c r="B127" s="38" t="s">
        <v>23</v>
      </c>
      <c r="C127" s="38" t="s">
        <v>24</v>
      </c>
      <c r="D127" s="38" t="s">
        <v>21</v>
      </c>
      <c r="E127" s="39">
        <v>706.73</v>
      </c>
      <c r="F127" s="39">
        <v>1</v>
      </c>
      <c r="G127" s="39">
        <v>0.15</v>
      </c>
      <c r="H127" s="40">
        <v>45613</v>
      </c>
      <c r="I127" s="39">
        <v>150.18</v>
      </c>
      <c r="J127" s="13" t="str">
        <v>Nov-2024</v>
      </c>
      <c r="K127" s="41">
        <f t="shared" ca="1" si="4"/>
        <v>46070.538153703703</v>
      </c>
      <c r="L127" s="13">
        <f ca="1"/>
        <v>457.53815370370285</v>
      </c>
      <c r="M127" s="19" t="str">
        <f ca="1"/>
        <v>↓</v>
      </c>
      <c r="N127" s="13"/>
      <c r="O127" s="13"/>
      <c r="P127" s="19" t="str">
        <f t="shared" si="5"/>
        <v>Normal</v>
      </c>
      <c r="Q127" s="42">
        <f t="shared" si="6"/>
        <v>6.25</v>
      </c>
      <c r="R127" s="43">
        <f t="shared" si="7"/>
        <v>706.73</v>
      </c>
      <c r="S127" s="4"/>
      <c r="T127" s="3"/>
    </row>
    <row r="128" spans="1:20" x14ac:dyDescent="0.3">
      <c r="A128" s="38" t="s">
        <v>65</v>
      </c>
      <c r="B128" s="38" t="s">
        <v>50</v>
      </c>
      <c r="C128" s="38" t="s">
        <v>18</v>
      </c>
      <c r="D128" s="38" t="s">
        <v>21</v>
      </c>
      <c r="E128" s="39">
        <v>1410.59</v>
      </c>
      <c r="F128" s="39">
        <v>15</v>
      </c>
      <c r="G128" s="39">
        <v>0</v>
      </c>
      <c r="H128" s="40">
        <v>45615</v>
      </c>
      <c r="I128" s="39">
        <v>352.65</v>
      </c>
      <c r="J128" s="13" t="str">
        <v>Nov-2024</v>
      </c>
      <c r="K128" s="41">
        <f t="shared" ca="1" si="4"/>
        <v>46070.538153703703</v>
      </c>
      <c r="L128" s="13">
        <f ca="1"/>
        <v>455.53815370370285</v>
      </c>
      <c r="M128" s="19" t="str">
        <f ca="1"/>
        <v>↓</v>
      </c>
      <c r="N128" s="13"/>
      <c r="O128" s="13"/>
      <c r="P128" s="19" t="str">
        <f t="shared" si="5"/>
        <v>Normal</v>
      </c>
      <c r="Q128" s="42">
        <f t="shared" si="6"/>
        <v>6.3000000000000007</v>
      </c>
      <c r="R128" s="43">
        <f t="shared" si="7"/>
        <v>1410.59</v>
      </c>
      <c r="S128" s="4"/>
      <c r="T128" s="3"/>
    </row>
    <row r="129" spans="1:20" x14ac:dyDescent="0.3">
      <c r="A129" s="38" t="s">
        <v>32</v>
      </c>
      <c r="B129" s="38" t="s">
        <v>61</v>
      </c>
      <c r="C129" s="38" t="s">
        <v>20</v>
      </c>
      <c r="D129" s="38" t="s">
        <v>27</v>
      </c>
      <c r="E129" s="39">
        <v>1350.33</v>
      </c>
      <c r="F129" s="39">
        <v>10</v>
      </c>
      <c r="G129" s="39">
        <v>0</v>
      </c>
      <c r="H129" s="40">
        <v>45615</v>
      </c>
      <c r="I129" s="39">
        <v>472.62</v>
      </c>
      <c r="J129" s="13" t="str">
        <v>Nov-2024</v>
      </c>
      <c r="K129" s="41">
        <f t="shared" ca="1" si="4"/>
        <v>46070.538153703703</v>
      </c>
      <c r="L129" s="13">
        <f ca="1"/>
        <v>455.53815370370285</v>
      </c>
      <c r="M129" s="19" t="str">
        <f ca="1"/>
        <v>↓</v>
      </c>
      <c r="N129" s="13"/>
      <c r="O129" s="13"/>
      <c r="P129" s="19" t="str">
        <f t="shared" si="5"/>
        <v>Normal</v>
      </c>
      <c r="Q129" s="42">
        <f t="shared" si="6"/>
        <v>6.3500000000000005</v>
      </c>
      <c r="R129" s="43">
        <f t="shared" si="7"/>
        <v>1350.33</v>
      </c>
      <c r="S129" s="4"/>
      <c r="T129" s="3"/>
    </row>
    <row r="130" spans="1:20" x14ac:dyDescent="0.3">
      <c r="A130" s="38" t="s">
        <v>41</v>
      </c>
      <c r="B130" s="38" t="s">
        <v>45</v>
      </c>
      <c r="C130" s="38" t="s">
        <v>18</v>
      </c>
      <c r="D130" s="38" t="s">
        <v>21</v>
      </c>
      <c r="E130" s="39">
        <v>919.18</v>
      </c>
      <c r="F130" s="39">
        <v>4</v>
      </c>
      <c r="G130" s="39">
        <v>0.15</v>
      </c>
      <c r="H130" s="40">
        <v>45615</v>
      </c>
      <c r="I130" s="39">
        <v>195.33</v>
      </c>
      <c r="J130" s="13" t="str">
        <v>Nov-2024</v>
      </c>
      <c r="K130" s="41">
        <f t="shared" ca="1" si="4"/>
        <v>46070.538153703703</v>
      </c>
      <c r="L130" s="13">
        <f ca="1"/>
        <v>455.53815370370285</v>
      </c>
      <c r="M130" s="19" t="str">
        <f ca="1"/>
        <v>↓</v>
      </c>
      <c r="N130" s="13"/>
      <c r="O130" s="13"/>
      <c r="P130" s="19" t="str">
        <f t="shared" si="5"/>
        <v>Normal</v>
      </c>
      <c r="Q130" s="42">
        <f t="shared" si="6"/>
        <v>6.4</v>
      </c>
      <c r="R130" s="43">
        <f t="shared" si="7"/>
        <v>919.18</v>
      </c>
      <c r="S130" s="4"/>
      <c r="T130" s="3"/>
    </row>
    <row r="131" spans="1:20" x14ac:dyDescent="0.3">
      <c r="A131" s="38" t="s">
        <v>74</v>
      </c>
      <c r="B131" s="38" t="s">
        <v>23</v>
      </c>
      <c r="C131" s="38" t="s">
        <v>11</v>
      </c>
      <c r="D131" s="38" t="s">
        <v>21</v>
      </c>
      <c r="E131" s="39">
        <v>258.51</v>
      </c>
      <c r="F131" s="39">
        <v>19</v>
      </c>
      <c r="G131" s="39">
        <v>0</v>
      </c>
      <c r="H131" s="40">
        <v>45616</v>
      </c>
      <c r="I131" s="39">
        <v>64.63</v>
      </c>
      <c r="J131" s="13" t="str">
        <v>Nov-2024</v>
      </c>
      <c r="K131" s="41">
        <f t="shared" ref="K131:K194" ca="1" si="8">NOW()</f>
        <v>46070.538153703703</v>
      </c>
      <c r="L131" s="13">
        <f ca="1"/>
        <v>454.53815370370285</v>
      </c>
      <c r="M131" s="19" t="str">
        <f ca="1"/>
        <v>↓</v>
      </c>
      <c r="N131" s="13"/>
      <c r="O131" s="13"/>
      <c r="P131" s="19" t="str">
        <f t="shared" ref="P131:P194" si="9">IF(SUMIF(B:B,H131,E:E)&gt;500,"High Value","Normal")</f>
        <v>Normal</v>
      </c>
      <c r="Q131" s="42">
        <f t="shared" ref="Q131:Q194" si="10">(ROW(A130)-1)*5%</f>
        <v>6.45</v>
      </c>
      <c r="R131" s="43">
        <f t="shared" ref="R131:R194" si="11">E131*(1-$Z$1)</f>
        <v>258.51</v>
      </c>
      <c r="S131" s="4"/>
      <c r="T131" s="3"/>
    </row>
    <row r="132" spans="1:20" x14ac:dyDescent="0.3">
      <c r="A132" s="38" t="s">
        <v>63</v>
      </c>
      <c r="B132" s="38" t="s">
        <v>61</v>
      </c>
      <c r="C132" s="38" t="s">
        <v>18</v>
      </c>
      <c r="D132" s="38" t="s">
        <v>12</v>
      </c>
      <c r="E132" s="39">
        <v>1213.48</v>
      </c>
      <c r="F132" s="39">
        <v>5</v>
      </c>
      <c r="G132" s="39">
        <v>0.05</v>
      </c>
      <c r="H132" s="40">
        <v>45616</v>
      </c>
      <c r="I132" s="39">
        <v>461.12</v>
      </c>
      <c r="J132" s="13" t="str">
        <v>Nov-2024</v>
      </c>
      <c r="K132" s="41">
        <f t="shared" ca="1" si="8"/>
        <v>46070.538153703703</v>
      </c>
      <c r="L132" s="13">
        <f ca="1"/>
        <v>454.53815370370285</v>
      </c>
      <c r="M132" s="19" t="str">
        <f ca="1"/>
        <v>↓</v>
      </c>
      <c r="N132" s="13"/>
      <c r="O132" s="13"/>
      <c r="P132" s="19" t="str">
        <f t="shared" si="9"/>
        <v>Normal</v>
      </c>
      <c r="Q132" s="42">
        <f t="shared" si="10"/>
        <v>6.5</v>
      </c>
      <c r="R132" s="43">
        <f t="shared" si="11"/>
        <v>1213.48</v>
      </c>
      <c r="S132" s="4"/>
      <c r="T132" s="3"/>
    </row>
    <row r="133" spans="1:20" x14ac:dyDescent="0.3">
      <c r="A133" s="38" t="s">
        <v>57</v>
      </c>
      <c r="B133" s="38" t="s">
        <v>38</v>
      </c>
      <c r="C133" s="38" t="s">
        <v>34</v>
      </c>
      <c r="D133" s="38" t="s">
        <v>12</v>
      </c>
      <c r="E133" s="39">
        <v>1150.28</v>
      </c>
      <c r="F133" s="39">
        <v>8</v>
      </c>
      <c r="G133" s="39">
        <v>0.05</v>
      </c>
      <c r="H133" s="40">
        <v>45622</v>
      </c>
      <c r="I133" s="39">
        <v>437.11</v>
      </c>
      <c r="J133" s="13" t="str">
        <v>Nov-2024</v>
      </c>
      <c r="K133" s="41">
        <f t="shared" ca="1" si="8"/>
        <v>46070.538153703703</v>
      </c>
      <c r="L133" s="13">
        <f ca="1"/>
        <v>448.53815370370285</v>
      </c>
      <c r="M133" s="19" t="str">
        <f ca="1"/>
        <v>↓</v>
      </c>
      <c r="N133" s="13"/>
      <c r="O133" s="13"/>
      <c r="P133" s="19" t="str">
        <f t="shared" si="9"/>
        <v>Normal</v>
      </c>
      <c r="Q133" s="42">
        <f t="shared" si="10"/>
        <v>6.5500000000000007</v>
      </c>
      <c r="R133" s="43">
        <f t="shared" si="11"/>
        <v>1150.28</v>
      </c>
      <c r="S133" s="4"/>
      <c r="T133" s="3"/>
    </row>
    <row r="134" spans="1:20" x14ac:dyDescent="0.3">
      <c r="A134" s="38" t="s">
        <v>37</v>
      </c>
      <c r="B134" s="38" t="s">
        <v>71</v>
      </c>
      <c r="C134" s="38" t="s">
        <v>20</v>
      </c>
      <c r="D134" s="38" t="s">
        <v>27</v>
      </c>
      <c r="E134" s="39">
        <v>853.86</v>
      </c>
      <c r="F134" s="39">
        <v>8</v>
      </c>
      <c r="G134" s="39">
        <v>0.1</v>
      </c>
      <c r="H134" s="40">
        <v>45622</v>
      </c>
      <c r="I134" s="39">
        <v>268.97000000000003</v>
      </c>
      <c r="J134" s="13" t="str">
        <v>Nov-2024</v>
      </c>
      <c r="K134" s="41">
        <f t="shared" ca="1" si="8"/>
        <v>46070.538153703703</v>
      </c>
      <c r="L134" s="13">
        <f ca="1"/>
        <v>448.53815370370285</v>
      </c>
      <c r="M134" s="19" t="str">
        <f ca="1"/>
        <v>↓</v>
      </c>
      <c r="N134" s="13"/>
      <c r="O134" s="13"/>
      <c r="P134" s="19" t="str">
        <f t="shared" si="9"/>
        <v>Normal</v>
      </c>
      <c r="Q134" s="42">
        <f t="shared" si="10"/>
        <v>6.6000000000000005</v>
      </c>
      <c r="R134" s="43">
        <f t="shared" si="11"/>
        <v>853.86</v>
      </c>
      <c r="S134" s="4"/>
      <c r="T134" s="3"/>
    </row>
    <row r="135" spans="1:20" x14ac:dyDescent="0.3">
      <c r="A135" s="38" t="s">
        <v>75</v>
      </c>
      <c r="B135" s="38" t="s">
        <v>45</v>
      </c>
      <c r="C135" s="38" t="s">
        <v>20</v>
      </c>
      <c r="D135" s="38" t="s">
        <v>21</v>
      </c>
      <c r="E135" s="39">
        <v>1061.04</v>
      </c>
      <c r="F135" s="39">
        <v>1</v>
      </c>
      <c r="G135" s="39">
        <v>0</v>
      </c>
      <c r="H135" s="40">
        <v>45624</v>
      </c>
      <c r="I135" s="39">
        <v>265.26</v>
      </c>
      <c r="J135" s="13" t="str">
        <v>Nov-2024</v>
      </c>
      <c r="K135" s="41">
        <f t="shared" ca="1" si="8"/>
        <v>46070.538153703703</v>
      </c>
      <c r="L135" s="13">
        <f ca="1"/>
        <v>446.53815370370285</v>
      </c>
      <c r="M135" s="19" t="str">
        <f ca="1"/>
        <v>↓</v>
      </c>
      <c r="N135" s="13"/>
      <c r="O135" s="13"/>
      <c r="P135" s="19" t="str">
        <f t="shared" si="9"/>
        <v>Normal</v>
      </c>
      <c r="Q135" s="42">
        <f t="shared" si="10"/>
        <v>6.65</v>
      </c>
      <c r="R135" s="43">
        <f t="shared" si="11"/>
        <v>1061.04</v>
      </c>
      <c r="S135" s="4"/>
      <c r="T135" s="3"/>
    </row>
    <row r="136" spans="1:20" x14ac:dyDescent="0.3">
      <c r="A136" s="38" t="s">
        <v>28</v>
      </c>
      <c r="B136" s="38" t="s">
        <v>43</v>
      </c>
      <c r="C136" s="38" t="s">
        <v>11</v>
      </c>
      <c r="D136" s="38" t="s">
        <v>21</v>
      </c>
      <c r="E136" s="39">
        <v>894.55</v>
      </c>
      <c r="F136" s="39">
        <v>19</v>
      </c>
      <c r="G136" s="39">
        <v>0.2</v>
      </c>
      <c r="H136" s="40">
        <v>45625</v>
      </c>
      <c r="I136" s="39">
        <v>178.91</v>
      </c>
      <c r="J136" s="13" t="str">
        <v>Nov-2024</v>
      </c>
      <c r="K136" s="41">
        <f t="shared" ca="1" si="8"/>
        <v>46070.538153703703</v>
      </c>
      <c r="L136" s="13">
        <f ca="1"/>
        <v>445.53815370370285</v>
      </c>
      <c r="M136" s="19" t="str">
        <f ca="1"/>
        <v>↓</v>
      </c>
      <c r="N136" s="13"/>
      <c r="O136" s="13"/>
      <c r="P136" s="19" t="str">
        <f t="shared" si="9"/>
        <v>Normal</v>
      </c>
      <c r="Q136" s="42">
        <f t="shared" si="10"/>
        <v>6.7</v>
      </c>
      <c r="R136" s="43">
        <f t="shared" si="11"/>
        <v>894.55</v>
      </c>
      <c r="S136" s="4"/>
      <c r="T136" s="3"/>
    </row>
    <row r="137" spans="1:20" x14ac:dyDescent="0.3">
      <c r="A137" s="38" t="s">
        <v>25</v>
      </c>
      <c r="B137" s="38" t="s">
        <v>38</v>
      </c>
      <c r="C137" s="38" t="s">
        <v>24</v>
      </c>
      <c r="D137" s="38" t="s">
        <v>39</v>
      </c>
      <c r="E137" s="39">
        <v>833.91</v>
      </c>
      <c r="F137" s="39">
        <v>3</v>
      </c>
      <c r="G137" s="39">
        <v>0.05</v>
      </c>
      <c r="H137" s="40">
        <v>45626</v>
      </c>
      <c r="I137" s="39">
        <v>356.5</v>
      </c>
      <c r="J137" s="13" t="str">
        <v>Nov-2024</v>
      </c>
      <c r="K137" s="41">
        <f t="shared" ca="1" si="8"/>
        <v>46070.538153703703</v>
      </c>
      <c r="L137" s="13">
        <f ca="1"/>
        <v>444.53815370370285</v>
      </c>
      <c r="M137" s="19" t="str">
        <f ca="1"/>
        <v>↓</v>
      </c>
      <c r="N137" s="13"/>
      <c r="O137" s="13"/>
      <c r="P137" s="19" t="str">
        <f t="shared" si="9"/>
        <v>Normal</v>
      </c>
      <c r="Q137" s="42">
        <f t="shared" si="10"/>
        <v>6.75</v>
      </c>
      <c r="R137" s="43">
        <f t="shared" si="11"/>
        <v>833.91</v>
      </c>
      <c r="S137" s="4"/>
      <c r="T137" s="3"/>
    </row>
    <row r="138" spans="1:20" x14ac:dyDescent="0.3">
      <c r="A138" s="38" t="s">
        <v>58</v>
      </c>
      <c r="B138" s="38" t="s">
        <v>71</v>
      </c>
      <c r="C138" s="38" t="s">
        <v>11</v>
      </c>
      <c r="D138" s="38" t="s">
        <v>27</v>
      </c>
      <c r="E138" s="39">
        <v>820.19</v>
      </c>
      <c r="F138" s="39">
        <v>4</v>
      </c>
      <c r="G138" s="39">
        <v>0.2</v>
      </c>
      <c r="H138" s="40">
        <v>45630</v>
      </c>
      <c r="I138" s="39">
        <v>229.65</v>
      </c>
      <c r="J138" s="13" t="str">
        <v>Dec-2024</v>
      </c>
      <c r="K138" s="41">
        <f t="shared" ca="1" si="8"/>
        <v>46070.538153703703</v>
      </c>
      <c r="L138" s="13">
        <f ca="1"/>
        <v>440.53815370370285</v>
      </c>
      <c r="M138" s="19" t="str">
        <f ca="1"/>
        <v>↓</v>
      </c>
      <c r="N138" s="13"/>
      <c r="O138" s="13"/>
      <c r="P138" s="19" t="str">
        <f t="shared" si="9"/>
        <v>Normal</v>
      </c>
      <c r="Q138" s="42">
        <f t="shared" si="10"/>
        <v>6.8000000000000007</v>
      </c>
      <c r="R138" s="43">
        <f t="shared" si="11"/>
        <v>820.19</v>
      </c>
      <c r="S138" s="4"/>
      <c r="T138" s="3"/>
    </row>
    <row r="139" spans="1:20" x14ac:dyDescent="0.3">
      <c r="A139" s="38" t="s">
        <v>58</v>
      </c>
      <c r="B139" s="38" t="s">
        <v>38</v>
      </c>
      <c r="C139" s="38" t="s">
        <v>34</v>
      </c>
      <c r="D139" s="38" t="s">
        <v>21</v>
      </c>
      <c r="E139" s="39">
        <v>511.74</v>
      </c>
      <c r="F139" s="39">
        <v>8</v>
      </c>
      <c r="G139" s="39">
        <v>0.05</v>
      </c>
      <c r="H139" s="40">
        <v>45631</v>
      </c>
      <c r="I139" s="39">
        <v>121.54</v>
      </c>
      <c r="J139" s="13" t="str">
        <v>Dec-2024</v>
      </c>
      <c r="K139" s="41">
        <f t="shared" ca="1" si="8"/>
        <v>46070.538153703703</v>
      </c>
      <c r="L139" s="13">
        <f ca="1"/>
        <v>439.53815370370285</v>
      </c>
      <c r="M139" s="19" t="str">
        <f ca="1"/>
        <v>↓</v>
      </c>
      <c r="N139" s="13"/>
      <c r="O139" s="13"/>
      <c r="P139" s="19" t="str">
        <f t="shared" si="9"/>
        <v>Normal</v>
      </c>
      <c r="Q139" s="42">
        <f t="shared" si="10"/>
        <v>6.8500000000000005</v>
      </c>
      <c r="R139" s="43">
        <f t="shared" si="11"/>
        <v>511.74</v>
      </c>
      <c r="S139" s="4"/>
      <c r="T139" s="3"/>
    </row>
    <row r="140" spans="1:20" x14ac:dyDescent="0.3">
      <c r="A140" s="38" t="s">
        <v>65</v>
      </c>
      <c r="B140" s="38" t="s">
        <v>61</v>
      </c>
      <c r="C140" s="38" t="s">
        <v>20</v>
      </c>
      <c r="D140" s="38" t="s">
        <v>27</v>
      </c>
      <c r="E140" s="39">
        <v>806.03</v>
      </c>
      <c r="F140" s="39">
        <v>19</v>
      </c>
      <c r="G140" s="39">
        <v>0.05</v>
      </c>
      <c r="H140" s="40">
        <v>45638</v>
      </c>
      <c r="I140" s="39">
        <v>268</v>
      </c>
      <c r="J140" s="13" t="str">
        <v>Dec-2024</v>
      </c>
      <c r="K140" s="41">
        <f t="shared" ca="1" si="8"/>
        <v>46070.538153703703</v>
      </c>
      <c r="L140" s="13">
        <f ca="1"/>
        <v>432.53815370370285</v>
      </c>
      <c r="M140" s="19" t="str">
        <f ca="1"/>
        <v>↓</v>
      </c>
      <c r="N140" s="13"/>
      <c r="O140" s="13"/>
      <c r="P140" s="19" t="str">
        <f t="shared" si="9"/>
        <v>Normal</v>
      </c>
      <c r="Q140" s="42">
        <f t="shared" si="10"/>
        <v>6.9</v>
      </c>
      <c r="R140" s="43">
        <f t="shared" si="11"/>
        <v>806.03</v>
      </c>
      <c r="S140" s="4"/>
      <c r="T140" s="3"/>
    </row>
    <row r="141" spans="1:20" x14ac:dyDescent="0.3">
      <c r="A141" s="38" t="s">
        <v>28</v>
      </c>
      <c r="B141" s="38" t="s">
        <v>26</v>
      </c>
      <c r="C141" s="38" t="s">
        <v>34</v>
      </c>
      <c r="D141" s="38" t="s">
        <v>27</v>
      </c>
      <c r="E141" s="39">
        <v>1432.47</v>
      </c>
      <c r="F141" s="39">
        <v>16</v>
      </c>
      <c r="G141" s="39">
        <v>0.15</v>
      </c>
      <c r="H141" s="40">
        <v>45640</v>
      </c>
      <c r="I141" s="39">
        <v>426.16</v>
      </c>
      <c r="J141" s="13" t="str">
        <v>Dec-2024</v>
      </c>
      <c r="K141" s="41">
        <f t="shared" ca="1" si="8"/>
        <v>46070.538153703703</v>
      </c>
      <c r="L141" s="13">
        <f ca="1"/>
        <v>430.53815370370285</v>
      </c>
      <c r="M141" s="19" t="str">
        <f ca="1"/>
        <v>↓</v>
      </c>
      <c r="N141" s="13"/>
      <c r="O141" s="13"/>
      <c r="P141" s="19" t="str">
        <f t="shared" si="9"/>
        <v>Normal</v>
      </c>
      <c r="Q141" s="42">
        <f t="shared" si="10"/>
        <v>6.95</v>
      </c>
      <c r="R141" s="43">
        <f t="shared" si="11"/>
        <v>1432.47</v>
      </c>
      <c r="S141" s="4"/>
      <c r="T141" s="3"/>
    </row>
    <row r="142" spans="1:20" x14ac:dyDescent="0.3">
      <c r="A142" s="38" t="s">
        <v>74</v>
      </c>
      <c r="B142" s="38" t="s">
        <v>29</v>
      </c>
      <c r="C142" s="38" t="s">
        <v>34</v>
      </c>
      <c r="D142" s="38" t="s">
        <v>21</v>
      </c>
      <c r="E142" s="39">
        <v>1488.58</v>
      </c>
      <c r="F142" s="39">
        <v>10</v>
      </c>
      <c r="G142" s="39">
        <v>0.15</v>
      </c>
      <c r="H142" s="40">
        <v>45640</v>
      </c>
      <c r="I142" s="39">
        <v>316.32</v>
      </c>
      <c r="J142" s="13" t="str">
        <v>Dec-2024</v>
      </c>
      <c r="K142" s="41">
        <f t="shared" ca="1" si="8"/>
        <v>46070.538153703703</v>
      </c>
      <c r="L142" s="13">
        <f ca="1"/>
        <v>430.53815370370285</v>
      </c>
      <c r="M142" s="19" t="str">
        <f ca="1"/>
        <v>↓</v>
      </c>
      <c r="N142" s="13"/>
      <c r="O142" s="13"/>
      <c r="P142" s="19" t="str">
        <f t="shared" si="9"/>
        <v>Normal</v>
      </c>
      <c r="Q142" s="42">
        <f t="shared" si="10"/>
        <v>7</v>
      </c>
      <c r="R142" s="43">
        <f t="shared" si="11"/>
        <v>1488.58</v>
      </c>
      <c r="S142" s="4"/>
      <c r="T142" s="3"/>
    </row>
    <row r="143" spans="1:20" x14ac:dyDescent="0.3">
      <c r="A143" s="38" t="s">
        <v>30</v>
      </c>
      <c r="B143" s="38" t="s">
        <v>66</v>
      </c>
      <c r="C143" s="38" t="s">
        <v>18</v>
      </c>
      <c r="D143" s="38" t="s">
        <v>12</v>
      </c>
      <c r="E143" s="39">
        <v>1231.26</v>
      </c>
      <c r="F143" s="39">
        <v>9</v>
      </c>
      <c r="G143" s="39">
        <v>0</v>
      </c>
      <c r="H143" s="40">
        <v>45646</v>
      </c>
      <c r="I143" s="39">
        <v>492.5</v>
      </c>
      <c r="J143" s="13" t="str">
        <v>Dec-2024</v>
      </c>
      <c r="K143" s="41">
        <f t="shared" ca="1" si="8"/>
        <v>46070.538153703703</v>
      </c>
      <c r="L143" s="13">
        <f ca="1"/>
        <v>424.53815370370285</v>
      </c>
      <c r="M143" s="19" t="str">
        <f ca="1"/>
        <v>↓</v>
      </c>
      <c r="N143" s="13"/>
      <c r="O143" s="13"/>
      <c r="P143" s="19" t="str">
        <f t="shared" si="9"/>
        <v>Normal</v>
      </c>
      <c r="Q143" s="42">
        <f t="shared" si="10"/>
        <v>7.0500000000000007</v>
      </c>
      <c r="R143" s="43">
        <f t="shared" si="11"/>
        <v>1231.26</v>
      </c>
      <c r="S143" s="4"/>
      <c r="T143" s="3"/>
    </row>
    <row r="144" spans="1:20" x14ac:dyDescent="0.3">
      <c r="A144" s="38" t="s">
        <v>30</v>
      </c>
      <c r="B144" s="38" t="s">
        <v>43</v>
      </c>
      <c r="C144" s="38" t="s">
        <v>11</v>
      </c>
      <c r="D144" s="38" t="s">
        <v>21</v>
      </c>
      <c r="E144" s="39">
        <v>1161.67</v>
      </c>
      <c r="F144" s="39">
        <v>19</v>
      </c>
      <c r="G144" s="39">
        <v>0.2</v>
      </c>
      <c r="H144" s="40">
        <v>45647</v>
      </c>
      <c r="I144" s="39">
        <v>232.33</v>
      </c>
      <c r="J144" s="13" t="str">
        <v>Dec-2024</v>
      </c>
      <c r="K144" s="41">
        <f t="shared" ca="1" si="8"/>
        <v>46070.538153703703</v>
      </c>
      <c r="L144" s="13">
        <f ca="1"/>
        <v>423.53815370370285</v>
      </c>
      <c r="M144" s="19" t="str">
        <f ca="1"/>
        <v>↓</v>
      </c>
      <c r="N144" s="13"/>
      <c r="O144" s="13"/>
      <c r="P144" s="19" t="str">
        <f t="shared" si="9"/>
        <v>Normal</v>
      </c>
      <c r="Q144" s="42">
        <f t="shared" si="10"/>
        <v>7.1000000000000005</v>
      </c>
      <c r="R144" s="43">
        <f t="shared" si="11"/>
        <v>1161.67</v>
      </c>
      <c r="S144" s="4"/>
      <c r="T144" s="3"/>
    </row>
    <row r="145" spans="1:20" x14ac:dyDescent="0.3">
      <c r="A145" s="38" t="s">
        <v>49</v>
      </c>
      <c r="B145" s="38" t="s">
        <v>45</v>
      </c>
      <c r="C145" s="38" t="s">
        <v>34</v>
      </c>
      <c r="D145" s="38" t="s">
        <v>39</v>
      </c>
      <c r="E145" s="39">
        <v>388.23</v>
      </c>
      <c r="F145" s="39">
        <v>16</v>
      </c>
      <c r="G145" s="39">
        <v>0.05</v>
      </c>
      <c r="H145" s="40">
        <v>45650</v>
      </c>
      <c r="I145" s="39">
        <v>165.97</v>
      </c>
      <c r="J145" s="13" t="str">
        <v>Dec-2024</v>
      </c>
      <c r="K145" s="41">
        <f t="shared" ca="1" si="8"/>
        <v>46070.538153703703</v>
      </c>
      <c r="L145" s="13">
        <f ca="1"/>
        <v>420.53815370370285</v>
      </c>
      <c r="M145" s="19" t="str">
        <f ca="1"/>
        <v>↓</v>
      </c>
      <c r="N145" s="13"/>
      <c r="O145" s="13"/>
      <c r="P145" s="19" t="str">
        <f t="shared" si="9"/>
        <v>Normal</v>
      </c>
      <c r="Q145" s="42">
        <f t="shared" si="10"/>
        <v>7.15</v>
      </c>
      <c r="R145" s="43">
        <f t="shared" si="11"/>
        <v>388.23</v>
      </c>
      <c r="S145" s="4"/>
      <c r="T145" s="3"/>
    </row>
    <row r="146" spans="1:20" s="66" customFormat="1" x14ac:dyDescent="0.3">
      <c r="A146" s="56" t="s">
        <v>72</v>
      </c>
      <c r="B146" s="56" t="s">
        <v>31</v>
      </c>
      <c r="C146" s="56" t="s">
        <v>24</v>
      </c>
      <c r="D146" s="56" t="s">
        <v>15</v>
      </c>
      <c r="E146" s="57">
        <v>1589.42</v>
      </c>
      <c r="F146" s="57">
        <v>6</v>
      </c>
      <c r="G146" s="57">
        <v>0.15</v>
      </c>
      <c r="H146" s="58">
        <v>45651</v>
      </c>
      <c r="I146" s="57">
        <v>675.5</v>
      </c>
      <c r="J146" s="59" t="str">
        <v>Dec-2024</v>
      </c>
      <c r="K146" s="60">
        <f t="shared" ca="1" si="8"/>
        <v>46070.538153703703</v>
      </c>
      <c r="L146" s="59">
        <f ca="1"/>
        <v>419.53815370370285</v>
      </c>
      <c r="M146" s="61" t="str">
        <f ca="1"/>
        <v>↓</v>
      </c>
      <c r="N146" s="59"/>
      <c r="O146" s="59"/>
      <c r="P146" s="61" t="str">
        <f t="shared" si="9"/>
        <v>Normal</v>
      </c>
      <c r="Q146" s="62">
        <f t="shared" si="10"/>
        <v>7.2</v>
      </c>
      <c r="R146" s="63">
        <f t="shared" si="11"/>
        <v>1589.42</v>
      </c>
      <c r="S146" s="64"/>
      <c r="T146" s="65"/>
    </row>
    <row r="147" spans="1:20" x14ac:dyDescent="0.3">
      <c r="A147" s="38" t="s">
        <v>28</v>
      </c>
      <c r="B147" s="38" t="s">
        <v>71</v>
      </c>
      <c r="C147" s="38" t="s">
        <v>24</v>
      </c>
      <c r="D147" s="38" t="s">
        <v>15</v>
      </c>
      <c r="E147" s="39">
        <v>336.66</v>
      </c>
      <c r="F147" s="39">
        <v>13</v>
      </c>
      <c r="G147" s="39">
        <v>0.2</v>
      </c>
      <c r="H147" s="40">
        <v>45651</v>
      </c>
      <c r="I147" s="39">
        <v>134.66</v>
      </c>
      <c r="J147" s="13" t="str">
        <v>Dec-2024</v>
      </c>
      <c r="K147" s="41">
        <f t="shared" ca="1" si="8"/>
        <v>46070.538153703703</v>
      </c>
      <c r="L147" s="13">
        <f ca="1"/>
        <v>419.53815370370285</v>
      </c>
      <c r="M147" s="19" t="str">
        <f ca="1"/>
        <v>↓</v>
      </c>
      <c r="N147" s="13"/>
      <c r="O147" s="13"/>
      <c r="P147" s="19" t="str">
        <f t="shared" si="9"/>
        <v>Normal</v>
      </c>
      <c r="Q147" s="42">
        <f t="shared" si="10"/>
        <v>7.25</v>
      </c>
      <c r="R147" s="43">
        <f t="shared" si="11"/>
        <v>336.66</v>
      </c>
      <c r="S147" s="4"/>
      <c r="T147" s="3"/>
    </row>
    <row r="148" spans="1:20" x14ac:dyDescent="0.3">
      <c r="A148" s="38" t="s">
        <v>49</v>
      </c>
      <c r="B148" s="38" t="s">
        <v>23</v>
      </c>
      <c r="C148" s="38" t="s">
        <v>11</v>
      </c>
      <c r="D148" s="38" t="s">
        <v>12</v>
      </c>
      <c r="E148" s="39">
        <v>1353.79</v>
      </c>
      <c r="F148" s="39">
        <v>14</v>
      </c>
      <c r="G148" s="39">
        <v>0.1</v>
      </c>
      <c r="H148" s="40">
        <v>45656</v>
      </c>
      <c r="I148" s="39">
        <v>487.36</v>
      </c>
      <c r="J148" s="13" t="str">
        <v>Dec-2024</v>
      </c>
      <c r="K148" s="41">
        <f t="shared" ca="1" si="8"/>
        <v>46070.538153703703</v>
      </c>
      <c r="L148" s="13">
        <f ca="1"/>
        <v>414.53815370370285</v>
      </c>
      <c r="M148" s="19" t="str">
        <f ca="1"/>
        <v>↓</v>
      </c>
      <c r="N148" s="13"/>
      <c r="O148" s="13"/>
      <c r="P148" s="19" t="str">
        <f t="shared" si="9"/>
        <v>Normal</v>
      </c>
      <c r="Q148" s="42">
        <f t="shared" si="10"/>
        <v>7.3000000000000007</v>
      </c>
      <c r="R148" s="43">
        <f t="shared" si="11"/>
        <v>1353.79</v>
      </c>
      <c r="S148" s="4"/>
      <c r="T148" s="3"/>
    </row>
    <row r="149" spans="1:20" x14ac:dyDescent="0.3">
      <c r="A149" s="38" t="s">
        <v>63</v>
      </c>
      <c r="B149" s="38" t="s">
        <v>69</v>
      </c>
      <c r="C149" s="38" t="s">
        <v>34</v>
      </c>
      <c r="D149" s="38" t="s">
        <v>15</v>
      </c>
      <c r="E149" s="39">
        <v>662.61</v>
      </c>
      <c r="F149" s="39">
        <v>11</v>
      </c>
      <c r="G149" s="39">
        <v>0.05</v>
      </c>
      <c r="H149" s="40">
        <v>45658</v>
      </c>
      <c r="I149" s="39">
        <v>314.74</v>
      </c>
      <c r="J149" s="13" t="str">
        <v>Jan-2025</v>
      </c>
      <c r="K149" s="41">
        <f t="shared" ca="1" si="8"/>
        <v>46070.538153703703</v>
      </c>
      <c r="L149" s="13">
        <f ca="1"/>
        <v>412.53815370370285</v>
      </c>
      <c r="M149" s="19" t="str">
        <f ca="1"/>
        <v>↓</v>
      </c>
      <c r="N149" s="13"/>
      <c r="O149" s="13"/>
      <c r="P149" s="19" t="str">
        <f t="shared" si="9"/>
        <v>Normal</v>
      </c>
      <c r="Q149" s="42">
        <f t="shared" si="10"/>
        <v>7.3500000000000005</v>
      </c>
      <c r="R149" s="43">
        <f t="shared" si="11"/>
        <v>662.61</v>
      </c>
      <c r="S149" s="4"/>
      <c r="T149" s="3"/>
    </row>
    <row r="150" spans="1:20" x14ac:dyDescent="0.3">
      <c r="A150" s="38" t="s">
        <v>52</v>
      </c>
      <c r="B150" s="38" t="s">
        <v>48</v>
      </c>
      <c r="C150" s="38" t="s">
        <v>24</v>
      </c>
      <c r="D150" s="38" t="s">
        <v>39</v>
      </c>
      <c r="E150" s="39">
        <v>309.42</v>
      </c>
      <c r="F150" s="39">
        <v>1</v>
      </c>
      <c r="G150" s="39">
        <v>0.2</v>
      </c>
      <c r="H150" s="40">
        <v>45658</v>
      </c>
      <c r="I150" s="39">
        <v>111.39</v>
      </c>
      <c r="J150" s="13" t="str">
        <v>Jan-2025</v>
      </c>
      <c r="K150" s="41">
        <f t="shared" ca="1" si="8"/>
        <v>46070.538153703703</v>
      </c>
      <c r="L150" s="13">
        <f ca="1"/>
        <v>412.53815370370285</v>
      </c>
      <c r="M150" s="19" t="str">
        <f ca="1"/>
        <v>↓</v>
      </c>
      <c r="N150" s="13"/>
      <c r="O150" s="13"/>
      <c r="P150" s="19" t="str">
        <f t="shared" si="9"/>
        <v>Normal</v>
      </c>
      <c r="Q150" s="42">
        <f t="shared" si="10"/>
        <v>7.4</v>
      </c>
      <c r="R150" s="43">
        <f t="shared" si="11"/>
        <v>309.42</v>
      </c>
      <c r="S150" s="4"/>
      <c r="T150" s="3"/>
    </row>
    <row r="151" spans="1:20" x14ac:dyDescent="0.3">
      <c r="A151" s="38" t="s">
        <v>63</v>
      </c>
      <c r="B151" s="38" t="s">
        <v>29</v>
      </c>
      <c r="C151" s="38" t="s">
        <v>24</v>
      </c>
      <c r="D151" s="38" t="s">
        <v>12</v>
      </c>
      <c r="E151" s="39">
        <v>884.63</v>
      </c>
      <c r="F151" s="39">
        <v>18</v>
      </c>
      <c r="G151" s="39">
        <v>0.1</v>
      </c>
      <c r="H151" s="40">
        <v>45659</v>
      </c>
      <c r="I151" s="39">
        <v>318.47000000000003</v>
      </c>
      <c r="J151" s="13" t="str">
        <v>Jan-2025</v>
      </c>
      <c r="K151" s="41">
        <f t="shared" ca="1" si="8"/>
        <v>46070.538153703703</v>
      </c>
      <c r="L151" s="13">
        <f ca="1"/>
        <v>411.53815370370285</v>
      </c>
      <c r="M151" s="19" t="str">
        <f ca="1"/>
        <v>↓</v>
      </c>
      <c r="N151" s="13"/>
      <c r="O151" s="13"/>
      <c r="P151" s="19" t="str">
        <f t="shared" si="9"/>
        <v>Normal</v>
      </c>
      <c r="Q151" s="42">
        <f t="shared" si="10"/>
        <v>7.45</v>
      </c>
      <c r="R151" s="43">
        <f t="shared" si="11"/>
        <v>884.63</v>
      </c>
      <c r="S151" s="4"/>
      <c r="T151" s="3"/>
    </row>
    <row r="152" spans="1:20" x14ac:dyDescent="0.3">
      <c r="A152" s="38" t="s">
        <v>52</v>
      </c>
      <c r="B152" s="38" t="s">
        <v>23</v>
      </c>
      <c r="C152" s="38" t="s">
        <v>34</v>
      </c>
      <c r="D152" s="38" t="s">
        <v>39</v>
      </c>
      <c r="E152" s="39">
        <v>745.05</v>
      </c>
      <c r="F152" s="39">
        <v>10</v>
      </c>
      <c r="G152" s="39">
        <v>0.1</v>
      </c>
      <c r="H152" s="40">
        <v>45660</v>
      </c>
      <c r="I152" s="39">
        <v>301.75</v>
      </c>
      <c r="J152" s="13" t="str">
        <v>Jan-2025</v>
      </c>
      <c r="K152" s="41">
        <f t="shared" ca="1" si="8"/>
        <v>46070.538153703703</v>
      </c>
      <c r="L152" s="13">
        <f ca="1"/>
        <v>410.53815370370285</v>
      </c>
      <c r="M152" s="19" t="str">
        <f ca="1"/>
        <v>↓</v>
      </c>
      <c r="N152" s="13"/>
      <c r="O152" s="13"/>
      <c r="P152" s="19" t="str">
        <f t="shared" si="9"/>
        <v>Normal</v>
      </c>
      <c r="Q152" s="42">
        <f t="shared" si="10"/>
        <v>7.5</v>
      </c>
      <c r="R152" s="43">
        <f t="shared" si="11"/>
        <v>745.05</v>
      </c>
      <c r="S152" s="4"/>
      <c r="T152" s="3"/>
    </row>
    <row r="153" spans="1:20" x14ac:dyDescent="0.3">
      <c r="A153" s="38" t="s">
        <v>60</v>
      </c>
      <c r="B153" s="38" t="s">
        <v>17</v>
      </c>
      <c r="C153" s="38" t="s">
        <v>20</v>
      </c>
      <c r="D153" s="38" t="s">
        <v>15</v>
      </c>
      <c r="E153" s="39">
        <v>870.23</v>
      </c>
      <c r="F153" s="39">
        <v>5</v>
      </c>
      <c r="G153" s="39">
        <v>0.05</v>
      </c>
      <c r="H153" s="40">
        <v>45660</v>
      </c>
      <c r="I153" s="39">
        <v>413.36</v>
      </c>
      <c r="J153" s="13" t="str">
        <v>Jan-2025</v>
      </c>
      <c r="K153" s="41">
        <f t="shared" ca="1" si="8"/>
        <v>46070.538153703703</v>
      </c>
      <c r="L153" s="13">
        <f ca="1"/>
        <v>410.53815370370285</v>
      </c>
      <c r="M153" s="19" t="str">
        <f ca="1"/>
        <v>↓</v>
      </c>
      <c r="N153" s="13"/>
      <c r="O153" s="13"/>
      <c r="P153" s="19" t="str">
        <f t="shared" si="9"/>
        <v>Normal</v>
      </c>
      <c r="Q153" s="42">
        <f t="shared" si="10"/>
        <v>7.5500000000000007</v>
      </c>
      <c r="R153" s="43">
        <f t="shared" si="11"/>
        <v>870.23</v>
      </c>
      <c r="S153" s="4"/>
      <c r="T153" s="3"/>
    </row>
    <row r="154" spans="1:20" x14ac:dyDescent="0.3">
      <c r="A154" s="38" t="s">
        <v>35</v>
      </c>
      <c r="B154" s="38" t="s">
        <v>29</v>
      </c>
      <c r="C154" s="38" t="s">
        <v>11</v>
      </c>
      <c r="D154" s="38" t="s">
        <v>27</v>
      </c>
      <c r="E154" s="39">
        <v>862.19</v>
      </c>
      <c r="F154" s="39">
        <v>18</v>
      </c>
      <c r="G154" s="39">
        <v>0.05</v>
      </c>
      <c r="H154" s="40">
        <v>45663</v>
      </c>
      <c r="I154" s="39">
        <v>286.68</v>
      </c>
      <c r="J154" s="13" t="str">
        <v>Jan-2025</v>
      </c>
      <c r="K154" s="41">
        <f t="shared" ca="1" si="8"/>
        <v>46070.538153703703</v>
      </c>
      <c r="L154" s="13">
        <f ca="1"/>
        <v>407.53815370370285</v>
      </c>
      <c r="M154" s="19" t="str">
        <f ca="1"/>
        <v>↓</v>
      </c>
      <c r="N154" s="13"/>
      <c r="O154" s="13"/>
      <c r="P154" s="19" t="str">
        <f t="shared" si="9"/>
        <v>Normal</v>
      </c>
      <c r="Q154" s="42">
        <f t="shared" si="10"/>
        <v>7.6000000000000005</v>
      </c>
      <c r="R154" s="43">
        <f t="shared" si="11"/>
        <v>862.19</v>
      </c>
      <c r="S154" s="4"/>
      <c r="T154" s="3"/>
    </row>
    <row r="155" spans="1:20" x14ac:dyDescent="0.3">
      <c r="A155" s="38" t="s">
        <v>73</v>
      </c>
      <c r="B155" s="38" t="s">
        <v>59</v>
      </c>
      <c r="C155" s="38" t="s">
        <v>24</v>
      </c>
      <c r="D155" s="38" t="s">
        <v>15</v>
      </c>
      <c r="E155" s="39">
        <v>1171.18</v>
      </c>
      <c r="F155" s="39">
        <v>19</v>
      </c>
      <c r="G155" s="39">
        <v>0.05</v>
      </c>
      <c r="H155" s="40">
        <v>45667</v>
      </c>
      <c r="I155" s="39">
        <v>556.30999999999995</v>
      </c>
      <c r="J155" s="13" t="str">
        <v>Jan-2025</v>
      </c>
      <c r="K155" s="41">
        <f t="shared" ca="1" si="8"/>
        <v>46070.538153703703</v>
      </c>
      <c r="L155" s="13">
        <f ca="1"/>
        <v>403.53815370370285</v>
      </c>
      <c r="M155" s="19" t="str">
        <f ca="1"/>
        <v>↓</v>
      </c>
      <c r="N155" s="13"/>
      <c r="O155" s="13"/>
      <c r="P155" s="19" t="str">
        <f t="shared" si="9"/>
        <v>Normal</v>
      </c>
      <c r="Q155" s="42">
        <f t="shared" si="10"/>
        <v>7.65</v>
      </c>
      <c r="R155" s="43">
        <f t="shared" si="11"/>
        <v>1171.18</v>
      </c>
      <c r="S155" s="4"/>
      <c r="T155" s="3"/>
    </row>
    <row r="156" spans="1:20" x14ac:dyDescent="0.3">
      <c r="A156" s="38" t="s">
        <v>58</v>
      </c>
      <c r="B156" s="38" t="s">
        <v>14</v>
      </c>
      <c r="C156" s="38" t="s">
        <v>20</v>
      </c>
      <c r="D156" s="38" t="s">
        <v>27</v>
      </c>
      <c r="E156" s="39">
        <v>1054.56</v>
      </c>
      <c r="F156" s="39">
        <v>11</v>
      </c>
      <c r="G156" s="39">
        <v>0.1</v>
      </c>
      <c r="H156" s="40">
        <v>45669</v>
      </c>
      <c r="I156" s="39">
        <v>332.19</v>
      </c>
      <c r="J156" s="13" t="str">
        <v>Jan-2025</v>
      </c>
      <c r="K156" s="41">
        <f t="shared" ca="1" si="8"/>
        <v>46070.538153703703</v>
      </c>
      <c r="L156" s="13">
        <f ca="1"/>
        <v>401.53815370370285</v>
      </c>
      <c r="M156" s="19" t="str">
        <f ca="1"/>
        <v>↓</v>
      </c>
      <c r="N156" s="13"/>
      <c r="O156" s="13"/>
      <c r="P156" s="19" t="str">
        <f t="shared" si="9"/>
        <v>Normal</v>
      </c>
      <c r="Q156" s="42">
        <f t="shared" si="10"/>
        <v>7.7</v>
      </c>
      <c r="R156" s="43">
        <f t="shared" si="11"/>
        <v>1054.56</v>
      </c>
      <c r="S156" s="4"/>
      <c r="T156" s="3"/>
    </row>
    <row r="157" spans="1:20" s="66" customFormat="1" x14ac:dyDescent="0.3">
      <c r="A157" s="56" t="s">
        <v>58</v>
      </c>
      <c r="B157" s="56" t="s">
        <v>23</v>
      </c>
      <c r="C157" s="56" t="s">
        <v>24</v>
      </c>
      <c r="D157" s="56" t="s">
        <v>21</v>
      </c>
      <c r="E157" s="57">
        <v>1681.21</v>
      </c>
      <c r="F157" s="57">
        <v>5</v>
      </c>
      <c r="G157" s="57">
        <v>0.2</v>
      </c>
      <c r="H157" s="58">
        <v>45670</v>
      </c>
      <c r="I157" s="57">
        <v>336.24</v>
      </c>
      <c r="J157" s="59" t="str">
        <v>Jan-2025</v>
      </c>
      <c r="K157" s="60">
        <f t="shared" ca="1" si="8"/>
        <v>46070.538153703703</v>
      </c>
      <c r="L157" s="59">
        <f ca="1"/>
        <v>400.53815370370285</v>
      </c>
      <c r="M157" s="61" t="str">
        <f ca="1"/>
        <v>↓</v>
      </c>
      <c r="N157" s="59"/>
      <c r="O157" s="59"/>
      <c r="P157" s="61" t="str">
        <f t="shared" si="9"/>
        <v>Normal</v>
      </c>
      <c r="Q157" s="62">
        <f t="shared" si="10"/>
        <v>7.75</v>
      </c>
      <c r="R157" s="63">
        <f t="shared" si="11"/>
        <v>1681.21</v>
      </c>
      <c r="S157" s="64"/>
      <c r="T157" s="65"/>
    </row>
    <row r="158" spans="1:20" x14ac:dyDescent="0.3">
      <c r="A158" s="38" t="s">
        <v>58</v>
      </c>
      <c r="B158" s="38" t="s">
        <v>36</v>
      </c>
      <c r="C158" s="38" t="s">
        <v>11</v>
      </c>
      <c r="D158" s="38" t="s">
        <v>15</v>
      </c>
      <c r="E158" s="39">
        <v>379.77</v>
      </c>
      <c r="F158" s="39">
        <v>9</v>
      </c>
      <c r="G158" s="39">
        <v>0.05</v>
      </c>
      <c r="H158" s="40">
        <v>45673</v>
      </c>
      <c r="I158" s="39">
        <v>180.39</v>
      </c>
      <c r="J158" s="13" t="str">
        <v>Jan-2025</v>
      </c>
      <c r="K158" s="41">
        <f t="shared" ca="1" si="8"/>
        <v>46070.538153703703</v>
      </c>
      <c r="L158" s="13">
        <f ca="1"/>
        <v>397.53815370370285</v>
      </c>
      <c r="M158" s="19" t="str">
        <f ca="1"/>
        <v>↓</v>
      </c>
      <c r="N158" s="13"/>
      <c r="O158" s="13"/>
      <c r="P158" s="19" t="str">
        <f t="shared" si="9"/>
        <v>Normal</v>
      </c>
      <c r="Q158" s="42">
        <f t="shared" si="10"/>
        <v>7.8000000000000007</v>
      </c>
      <c r="R158" s="43">
        <f t="shared" si="11"/>
        <v>379.77</v>
      </c>
      <c r="S158" s="4"/>
      <c r="T158" s="3"/>
    </row>
    <row r="159" spans="1:20" x14ac:dyDescent="0.3">
      <c r="A159" s="38" t="s">
        <v>44</v>
      </c>
      <c r="B159" s="38" t="s">
        <v>45</v>
      </c>
      <c r="C159" s="38" t="s">
        <v>34</v>
      </c>
      <c r="D159" s="38" t="s">
        <v>15</v>
      </c>
      <c r="E159" s="39">
        <v>1076.33</v>
      </c>
      <c r="F159" s="39">
        <v>2</v>
      </c>
      <c r="G159" s="39">
        <v>0.1</v>
      </c>
      <c r="H159" s="40">
        <v>45674</v>
      </c>
      <c r="I159" s="39">
        <v>484.35</v>
      </c>
      <c r="J159" s="13" t="str">
        <v>Jan-2025</v>
      </c>
      <c r="K159" s="41">
        <f t="shared" ca="1" si="8"/>
        <v>46070.538153703703</v>
      </c>
      <c r="L159" s="13">
        <f ca="1"/>
        <v>396.53815370370285</v>
      </c>
      <c r="M159" s="19" t="str">
        <f ca="1"/>
        <v>↓</v>
      </c>
      <c r="N159" s="13"/>
      <c r="O159" s="13"/>
      <c r="P159" s="19" t="str">
        <f t="shared" si="9"/>
        <v>Normal</v>
      </c>
      <c r="Q159" s="42">
        <f t="shared" si="10"/>
        <v>7.8500000000000005</v>
      </c>
      <c r="R159" s="43">
        <f t="shared" si="11"/>
        <v>1076.33</v>
      </c>
      <c r="S159" s="4"/>
      <c r="T159" s="3"/>
    </row>
    <row r="160" spans="1:20" x14ac:dyDescent="0.3">
      <c r="A160" s="38" t="s">
        <v>44</v>
      </c>
      <c r="B160" s="38" t="s">
        <v>31</v>
      </c>
      <c r="C160" s="38" t="s">
        <v>34</v>
      </c>
      <c r="D160" s="38" t="s">
        <v>39</v>
      </c>
      <c r="E160" s="39">
        <v>1250.71</v>
      </c>
      <c r="F160" s="39">
        <v>7</v>
      </c>
      <c r="G160" s="39">
        <v>0</v>
      </c>
      <c r="H160" s="40">
        <v>45674</v>
      </c>
      <c r="I160" s="39">
        <v>562.82000000000005</v>
      </c>
      <c r="J160" s="13" t="str">
        <v>Jan-2025</v>
      </c>
      <c r="K160" s="41">
        <f t="shared" ca="1" si="8"/>
        <v>46070.538153703703</v>
      </c>
      <c r="L160" s="13">
        <f ca="1"/>
        <v>396.53815370370285</v>
      </c>
      <c r="M160" s="19" t="str">
        <f ca="1"/>
        <v>↓</v>
      </c>
      <c r="N160" s="13"/>
      <c r="O160" s="13"/>
      <c r="P160" s="19" t="str">
        <f t="shared" si="9"/>
        <v>Normal</v>
      </c>
      <c r="Q160" s="42">
        <f t="shared" si="10"/>
        <v>7.9</v>
      </c>
      <c r="R160" s="43">
        <f t="shared" si="11"/>
        <v>1250.71</v>
      </c>
      <c r="S160" s="4"/>
      <c r="T160" s="3"/>
    </row>
    <row r="161" spans="1:20" x14ac:dyDescent="0.3">
      <c r="A161" s="38" t="s">
        <v>40</v>
      </c>
      <c r="B161" s="38" t="s">
        <v>17</v>
      </c>
      <c r="C161" s="38" t="s">
        <v>20</v>
      </c>
      <c r="D161" s="38" t="s">
        <v>15</v>
      </c>
      <c r="E161" s="39">
        <v>1118.3399999999999</v>
      </c>
      <c r="F161" s="39">
        <v>6</v>
      </c>
      <c r="G161" s="39">
        <v>0.2</v>
      </c>
      <c r="H161" s="40">
        <v>45674</v>
      </c>
      <c r="I161" s="39">
        <v>447.34</v>
      </c>
      <c r="J161" s="13" t="str">
        <v>Jan-2025</v>
      </c>
      <c r="K161" s="41">
        <f t="shared" ca="1" si="8"/>
        <v>46070.538153703703</v>
      </c>
      <c r="L161" s="13">
        <f ca="1"/>
        <v>396.53815370370285</v>
      </c>
      <c r="M161" s="19" t="str">
        <f ca="1"/>
        <v>↓</v>
      </c>
      <c r="N161" s="13"/>
      <c r="O161" s="13"/>
      <c r="P161" s="19" t="str">
        <f t="shared" si="9"/>
        <v>Normal</v>
      </c>
      <c r="Q161" s="42">
        <f t="shared" si="10"/>
        <v>7.95</v>
      </c>
      <c r="R161" s="43">
        <f t="shared" si="11"/>
        <v>1118.3399999999999</v>
      </c>
      <c r="S161" s="4"/>
      <c r="T161" s="3"/>
    </row>
    <row r="162" spans="1:20" s="66" customFormat="1" x14ac:dyDescent="0.3">
      <c r="A162" s="56" t="s">
        <v>70</v>
      </c>
      <c r="B162" s="56" t="s">
        <v>53</v>
      </c>
      <c r="C162" s="56" t="s">
        <v>24</v>
      </c>
      <c r="D162" s="56" t="s">
        <v>15</v>
      </c>
      <c r="E162" s="57">
        <v>1622.62</v>
      </c>
      <c r="F162" s="57">
        <v>12</v>
      </c>
      <c r="G162" s="57">
        <v>0.2</v>
      </c>
      <c r="H162" s="58">
        <v>45677</v>
      </c>
      <c r="I162" s="57">
        <v>649.04999999999995</v>
      </c>
      <c r="J162" s="59" t="str">
        <v>Jan-2025</v>
      </c>
      <c r="K162" s="60">
        <f t="shared" ca="1" si="8"/>
        <v>46070.538153703703</v>
      </c>
      <c r="L162" s="59">
        <f ca="1"/>
        <v>393.53815370370285</v>
      </c>
      <c r="M162" s="61" t="str">
        <f ca="1"/>
        <v>↓</v>
      </c>
      <c r="N162" s="59"/>
      <c r="O162" s="59"/>
      <c r="P162" s="61" t="str">
        <f t="shared" si="9"/>
        <v>Normal</v>
      </c>
      <c r="Q162" s="62">
        <f t="shared" si="10"/>
        <v>8</v>
      </c>
      <c r="R162" s="63">
        <f t="shared" si="11"/>
        <v>1622.62</v>
      </c>
      <c r="S162" s="64"/>
      <c r="T162" s="65"/>
    </row>
    <row r="163" spans="1:20" x14ac:dyDescent="0.3">
      <c r="A163" s="38" t="s">
        <v>75</v>
      </c>
      <c r="B163" s="38" t="s">
        <v>48</v>
      </c>
      <c r="C163" s="38" t="s">
        <v>24</v>
      </c>
      <c r="D163" s="38" t="s">
        <v>12</v>
      </c>
      <c r="E163" s="39">
        <v>640.64</v>
      </c>
      <c r="F163" s="39">
        <v>11</v>
      </c>
      <c r="G163" s="39">
        <v>0.2</v>
      </c>
      <c r="H163" s="40">
        <v>45678</v>
      </c>
      <c r="I163" s="39">
        <v>205</v>
      </c>
      <c r="J163" s="13" t="str">
        <v>Jan-2025</v>
      </c>
      <c r="K163" s="41">
        <f t="shared" ca="1" si="8"/>
        <v>46070.538153703703</v>
      </c>
      <c r="L163" s="13">
        <f ca="1"/>
        <v>392.53815370370285</v>
      </c>
      <c r="M163" s="19" t="str">
        <f ca="1"/>
        <v>↓</v>
      </c>
      <c r="N163" s="13"/>
      <c r="O163" s="13"/>
      <c r="P163" s="19" t="str">
        <f t="shared" si="9"/>
        <v>Normal</v>
      </c>
      <c r="Q163" s="42">
        <f t="shared" si="10"/>
        <v>8.0500000000000007</v>
      </c>
      <c r="R163" s="43">
        <f t="shared" si="11"/>
        <v>640.64</v>
      </c>
      <c r="S163" s="4"/>
      <c r="T163" s="3"/>
    </row>
    <row r="164" spans="1:20" x14ac:dyDescent="0.3">
      <c r="A164" s="38" t="s">
        <v>22</v>
      </c>
      <c r="B164" s="38" t="s">
        <v>43</v>
      </c>
      <c r="C164" s="38" t="s">
        <v>11</v>
      </c>
      <c r="D164" s="38" t="s">
        <v>15</v>
      </c>
      <c r="E164" s="39">
        <v>585.16</v>
      </c>
      <c r="F164" s="39">
        <v>17</v>
      </c>
      <c r="G164" s="39">
        <v>0.1</v>
      </c>
      <c r="H164" s="40">
        <v>45684</v>
      </c>
      <c r="I164" s="39">
        <v>263.32</v>
      </c>
      <c r="J164" s="13" t="str">
        <v>Jan-2025</v>
      </c>
      <c r="K164" s="41">
        <f t="shared" ca="1" si="8"/>
        <v>46070.538153703703</v>
      </c>
      <c r="L164" s="13">
        <f ca="1"/>
        <v>386.53815370370285</v>
      </c>
      <c r="M164" s="19" t="str">
        <f ca="1"/>
        <v>↓</v>
      </c>
      <c r="N164" s="13"/>
      <c r="O164" s="13"/>
      <c r="P164" s="19" t="str">
        <f t="shared" si="9"/>
        <v>Normal</v>
      </c>
      <c r="Q164" s="42">
        <f t="shared" si="10"/>
        <v>8.1</v>
      </c>
      <c r="R164" s="43">
        <f t="shared" si="11"/>
        <v>585.16</v>
      </c>
      <c r="S164" s="4"/>
      <c r="T164" s="3"/>
    </row>
    <row r="165" spans="1:20" x14ac:dyDescent="0.3">
      <c r="A165" s="38" t="s">
        <v>22</v>
      </c>
      <c r="B165" s="38" t="s">
        <v>31</v>
      </c>
      <c r="C165" s="38" t="s">
        <v>18</v>
      </c>
      <c r="D165" s="38" t="s">
        <v>15</v>
      </c>
      <c r="E165" s="39">
        <v>1109.98</v>
      </c>
      <c r="F165" s="39">
        <v>5</v>
      </c>
      <c r="G165" s="39">
        <v>0.2</v>
      </c>
      <c r="H165" s="40">
        <v>45690</v>
      </c>
      <c r="I165" s="39">
        <v>443.99</v>
      </c>
      <c r="J165" s="13" t="str">
        <v>Feb-2025</v>
      </c>
      <c r="K165" s="41">
        <f t="shared" ca="1" si="8"/>
        <v>46070.538153703703</v>
      </c>
      <c r="L165" s="13">
        <f ca="1"/>
        <v>380.53815370370285</v>
      </c>
      <c r="M165" s="19" t="str">
        <f ca="1"/>
        <v>↓</v>
      </c>
      <c r="N165" s="13"/>
      <c r="O165" s="13"/>
      <c r="P165" s="19" t="str">
        <f t="shared" si="9"/>
        <v>Normal</v>
      </c>
      <c r="Q165" s="42">
        <f t="shared" si="10"/>
        <v>8.15</v>
      </c>
      <c r="R165" s="43">
        <f t="shared" si="11"/>
        <v>1109.98</v>
      </c>
      <c r="S165" s="4"/>
      <c r="T165" s="3"/>
    </row>
    <row r="166" spans="1:20" x14ac:dyDescent="0.3">
      <c r="A166" s="38" t="s">
        <v>58</v>
      </c>
      <c r="B166" s="38" t="s">
        <v>45</v>
      </c>
      <c r="C166" s="38" t="s">
        <v>18</v>
      </c>
      <c r="D166" s="38" t="s">
        <v>12</v>
      </c>
      <c r="E166" s="39">
        <v>1098.08</v>
      </c>
      <c r="F166" s="39">
        <v>9</v>
      </c>
      <c r="G166" s="39">
        <v>0.1</v>
      </c>
      <c r="H166" s="40">
        <v>45692</v>
      </c>
      <c r="I166" s="39">
        <v>395.31</v>
      </c>
      <c r="J166" s="13" t="str">
        <v>Feb-2025</v>
      </c>
      <c r="K166" s="41">
        <f t="shared" ca="1" si="8"/>
        <v>46070.538153703703</v>
      </c>
      <c r="L166" s="13">
        <f ca="1"/>
        <v>378.53815370370285</v>
      </c>
      <c r="M166" s="19" t="str">
        <f ca="1"/>
        <v>↓</v>
      </c>
      <c r="N166" s="13"/>
      <c r="O166" s="13"/>
      <c r="P166" s="19" t="str">
        <f t="shared" si="9"/>
        <v>Normal</v>
      </c>
      <c r="Q166" s="42">
        <f t="shared" si="10"/>
        <v>8.2000000000000011</v>
      </c>
      <c r="R166" s="43">
        <f t="shared" si="11"/>
        <v>1098.08</v>
      </c>
      <c r="S166" s="4"/>
      <c r="T166" s="3"/>
    </row>
    <row r="167" spans="1:20" x14ac:dyDescent="0.3">
      <c r="A167" s="38" t="s">
        <v>65</v>
      </c>
      <c r="B167" s="38" t="s">
        <v>48</v>
      </c>
      <c r="C167" s="38" t="s">
        <v>11</v>
      </c>
      <c r="D167" s="38" t="s">
        <v>39</v>
      </c>
      <c r="E167" s="39">
        <v>827.25</v>
      </c>
      <c r="F167" s="39">
        <v>7</v>
      </c>
      <c r="G167" s="39">
        <v>0.1</v>
      </c>
      <c r="H167" s="40">
        <v>45693</v>
      </c>
      <c r="I167" s="39">
        <v>335.04</v>
      </c>
      <c r="J167" s="13" t="str">
        <v>Feb-2025</v>
      </c>
      <c r="K167" s="41">
        <f t="shared" ca="1" si="8"/>
        <v>46070.538153703703</v>
      </c>
      <c r="L167" s="13">
        <f ca="1"/>
        <v>377.53815370370285</v>
      </c>
      <c r="M167" s="19" t="str">
        <f ca="1"/>
        <v>↓</v>
      </c>
      <c r="N167" s="13"/>
      <c r="O167" s="13"/>
      <c r="P167" s="19" t="str">
        <f t="shared" si="9"/>
        <v>Normal</v>
      </c>
      <c r="Q167" s="42">
        <f t="shared" si="10"/>
        <v>8.25</v>
      </c>
      <c r="R167" s="43">
        <f t="shared" si="11"/>
        <v>827.25</v>
      </c>
      <c r="S167" s="4"/>
      <c r="T167" s="3"/>
    </row>
    <row r="168" spans="1:20" x14ac:dyDescent="0.3">
      <c r="A168" s="38" t="s">
        <v>70</v>
      </c>
      <c r="B168" s="38" t="s">
        <v>29</v>
      </c>
      <c r="C168" s="38" t="s">
        <v>34</v>
      </c>
      <c r="D168" s="38" t="s">
        <v>15</v>
      </c>
      <c r="E168" s="39">
        <v>741.88</v>
      </c>
      <c r="F168" s="39">
        <v>16</v>
      </c>
      <c r="G168" s="39">
        <v>0.1</v>
      </c>
      <c r="H168" s="40">
        <v>45695</v>
      </c>
      <c r="I168" s="39">
        <v>333.85</v>
      </c>
      <c r="J168" s="13" t="str">
        <v>Feb-2025</v>
      </c>
      <c r="K168" s="41">
        <f t="shared" ca="1" si="8"/>
        <v>46070.538153703703</v>
      </c>
      <c r="L168" s="13">
        <f ca="1"/>
        <v>375.53815370370285</v>
      </c>
      <c r="M168" s="19" t="str">
        <f ca="1"/>
        <v>↓</v>
      </c>
      <c r="N168" s="13"/>
      <c r="O168" s="13"/>
      <c r="P168" s="19" t="str">
        <f t="shared" si="9"/>
        <v>Normal</v>
      </c>
      <c r="Q168" s="42">
        <f t="shared" si="10"/>
        <v>8.3000000000000007</v>
      </c>
      <c r="R168" s="43">
        <f t="shared" si="11"/>
        <v>741.88</v>
      </c>
      <c r="S168" s="4"/>
      <c r="T168" s="3"/>
    </row>
    <row r="169" spans="1:20" x14ac:dyDescent="0.3">
      <c r="A169" s="38" t="s">
        <v>72</v>
      </c>
      <c r="B169" s="38" t="s">
        <v>10</v>
      </c>
      <c r="C169" s="38" t="s">
        <v>18</v>
      </c>
      <c r="D169" s="38" t="s">
        <v>39</v>
      </c>
      <c r="E169" s="39">
        <v>1311.26</v>
      </c>
      <c r="F169" s="39">
        <v>6</v>
      </c>
      <c r="G169" s="39">
        <v>0.1</v>
      </c>
      <c r="H169" s="40">
        <v>45698</v>
      </c>
      <c r="I169" s="39">
        <v>531.05999999999995</v>
      </c>
      <c r="J169" s="13" t="str">
        <v>Feb-2025</v>
      </c>
      <c r="K169" s="41">
        <f t="shared" ca="1" si="8"/>
        <v>46070.538153703703</v>
      </c>
      <c r="L169" s="13">
        <f ca="1"/>
        <v>372.53815370370285</v>
      </c>
      <c r="M169" s="19" t="str">
        <f ca="1"/>
        <v>↓</v>
      </c>
      <c r="N169" s="13"/>
      <c r="O169" s="13"/>
      <c r="P169" s="19" t="str">
        <f t="shared" si="9"/>
        <v>Normal</v>
      </c>
      <c r="Q169" s="42">
        <f t="shared" si="10"/>
        <v>8.35</v>
      </c>
      <c r="R169" s="43">
        <f t="shared" si="11"/>
        <v>1311.26</v>
      </c>
      <c r="S169" s="4"/>
      <c r="T169" s="3"/>
    </row>
    <row r="170" spans="1:20" x14ac:dyDescent="0.3">
      <c r="A170" s="38" t="s">
        <v>72</v>
      </c>
      <c r="B170" s="38" t="s">
        <v>31</v>
      </c>
      <c r="C170" s="38" t="s">
        <v>20</v>
      </c>
      <c r="D170" s="38" t="s">
        <v>39</v>
      </c>
      <c r="E170" s="39">
        <v>573.32000000000005</v>
      </c>
      <c r="F170" s="39">
        <v>19</v>
      </c>
      <c r="G170" s="39">
        <v>0.1</v>
      </c>
      <c r="H170" s="40">
        <v>45703</v>
      </c>
      <c r="I170" s="39">
        <v>232.19</v>
      </c>
      <c r="J170" s="13" t="str">
        <v>Feb-2025</v>
      </c>
      <c r="K170" s="41">
        <f t="shared" ca="1" si="8"/>
        <v>46070.538153703703</v>
      </c>
      <c r="L170" s="13">
        <f ca="1"/>
        <v>367.53815370370285</v>
      </c>
      <c r="M170" s="19" t="str">
        <f ca="1"/>
        <v>↓</v>
      </c>
      <c r="N170" s="13"/>
      <c r="O170" s="13"/>
      <c r="P170" s="19" t="str">
        <f t="shared" si="9"/>
        <v>Normal</v>
      </c>
      <c r="Q170" s="42">
        <f t="shared" si="10"/>
        <v>8.4</v>
      </c>
      <c r="R170" s="43">
        <f t="shared" si="11"/>
        <v>573.32000000000005</v>
      </c>
      <c r="S170" s="4"/>
      <c r="T170" s="3"/>
    </row>
    <row r="171" spans="1:20" x14ac:dyDescent="0.3">
      <c r="A171" s="38" t="s">
        <v>52</v>
      </c>
      <c r="B171" s="38" t="s">
        <v>23</v>
      </c>
      <c r="C171" s="38" t="s">
        <v>11</v>
      </c>
      <c r="D171" s="38" t="s">
        <v>21</v>
      </c>
      <c r="E171" s="39">
        <v>1115.22</v>
      </c>
      <c r="F171" s="39">
        <v>14</v>
      </c>
      <c r="G171" s="39">
        <v>0.2</v>
      </c>
      <c r="H171" s="40">
        <v>45705</v>
      </c>
      <c r="I171" s="39">
        <v>223.04</v>
      </c>
      <c r="J171" s="13" t="str">
        <v>Feb-2025</v>
      </c>
      <c r="K171" s="41">
        <f t="shared" ca="1" si="8"/>
        <v>46070.538153703703</v>
      </c>
      <c r="L171" s="13">
        <f ca="1"/>
        <v>365.53815370370285</v>
      </c>
      <c r="M171" s="19" t="str">
        <f ca="1"/>
        <v>↓</v>
      </c>
      <c r="N171" s="13"/>
      <c r="O171" s="13"/>
      <c r="P171" s="19" t="str">
        <f t="shared" si="9"/>
        <v>Normal</v>
      </c>
      <c r="Q171" s="42">
        <f t="shared" si="10"/>
        <v>8.4500000000000011</v>
      </c>
      <c r="R171" s="43">
        <f t="shared" si="11"/>
        <v>1115.22</v>
      </c>
      <c r="S171" s="4"/>
      <c r="T171" s="3"/>
    </row>
    <row r="172" spans="1:20" x14ac:dyDescent="0.3">
      <c r="A172" s="38" t="s">
        <v>13</v>
      </c>
      <c r="B172" s="38" t="s">
        <v>45</v>
      </c>
      <c r="C172" s="38" t="s">
        <v>24</v>
      </c>
      <c r="D172" s="38" t="s">
        <v>15</v>
      </c>
      <c r="E172" s="39">
        <v>845.84</v>
      </c>
      <c r="F172" s="39">
        <v>4</v>
      </c>
      <c r="G172" s="39">
        <v>0</v>
      </c>
      <c r="H172" s="40">
        <v>45707</v>
      </c>
      <c r="I172" s="39">
        <v>422.92</v>
      </c>
      <c r="J172" s="13" t="str">
        <v>Feb-2025</v>
      </c>
      <c r="K172" s="41">
        <f t="shared" ca="1" si="8"/>
        <v>46070.538153703703</v>
      </c>
      <c r="L172" s="13">
        <f ca="1"/>
        <v>363.53815370370285</v>
      </c>
      <c r="M172" s="19" t="str">
        <f ca="1"/>
        <v>↓</v>
      </c>
      <c r="N172" s="13"/>
      <c r="O172" s="13"/>
      <c r="P172" s="19" t="str">
        <f t="shared" si="9"/>
        <v>Normal</v>
      </c>
      <c r="Q172" s="42">
        <f t="shared" si="10"/>
        <v>8.5</v>
      </c>
      <c r="R172" s="43">
        <f t="shared" si="11"/>
        <v>845.84</v>
      </c>
      <c r="S172" s="4"/>
      <c r="T172" s="3"/>
    </row>
    <row r="173" spans="1:20" x14ac:dyDescent="0.3">
      <c r="A173" s="38" t="s">
        <v>30</v>
      </c>
      <c r="B173" s="38" t="s">
        <v>55</v>
      </c>
      <c r="C173" s="38" t="s">
        <v>11</v>
      </c>
      <c r="D173" s="38" t="s">
        <v>21</v>
      </c>
      <c r="E173" s="39">
        <v>1029.8</v>
      </c>
      <c r="F173" s="39">
        <v>3</v>
      </c>
      <c r="G173" s="39">
        <v>0</v>
      </c>
      <c r="H173" s="40">
        <v>45708</v>
      </c>
      <c r="I173" s="39">
        <v>257.45</v>
      </c>
      <c r="J173" s="13" t="str">
        <v>Feb-2025</v>
      </c>
      <c r="K173" s="41">
        <f t="shared" ca="1" si="8"/>
        <v>46070.538153703703</v>
      </c>
      <c r="L173" s="13">
        <f ca="1"/>
        <v>362.53815370370285</v>
      </c>
      <c r="M173" s="19" t="str">
        <f ca="1"/>
        <v>↓</v>
      </c>
      <c r="N173" s="13"/>
      <c r="O173" s="13"/>
      <c r="P173" s="19" t="str">
        <f t="shared" si="9"/>
        <v>Normal</v>
      </c>
      <c r="Q173" s="42">
        <f t="shared" si="10"/>
        <v>8.5500000000000007</v>
      </c>
      <c r="R173" s="43">
        <f t="shared" si="11"/>
        <v>1029.8</v>
      </c>
      <c r="S173" s="4"/>
      <c r="T173" s="3"/>
    </row>
    <row r="174" spans="1:20" x14ac:dyDescent="0.3">
      <c r="A174" s="38" t="s">
        <v>32</v>
      </c>
      <c r="B174" s="38" t="s">
        <v>31</v>
      </c>
      <c r="C174" s="38" t="s">
        <v>24</v>
      </c>
      <c r="D174" s="38" t="s">
        <v>12</v>
      </c>
      <c r="E174" s="39">
        <v>1189.83</v>
      </c>
      <c r="F174" s="39">
        <v>2</v>
      </c>
      <c r="G174" s="39">
        <v>0.2</v>
      </c>
      <c r="H174" s="40">
        <v>45709</v>
      </c>
      <c r="I174" s="39">
        <v>380.75</v>
      </c>
      <c r="J174" s="13" t="str">
        <v>Feb-2025</v>
      </c>
      <c r="K174" s="41">
        <f t="shared" ca="1" si="8"/>
        <v>46070.538153703703</v>
      </c>
      <c r="L174" s="13">
        <f ca="1"/>
        <v>361.53815370370285</v>
      </c>
      <c r="M174" s="19" t="str">
        <f ca="1"/>
        <v>↓</v>
      </c>
      <c r="N174" s="13"/>
      <c r="O174" s="13"/>
      <c r="P174" s="19" t="str">
        <f t="shared" si="9"/>
        <v>Normal</v>
      </c>
      <c r="Q174" s="42">
        <f t="shared" si="10"/>
        <v>8.6</v>
      </c>
      <c r="R174" s="43">
        <f t="shared" si="11"/>
        <v>1189.83</v>
      </c>
      <c r="S174" s="4"/>
      <c r="T174" s="3"/>
    </row>
    <row r="175" spans="1:20" x14ac:dyDescent="0.3">
      <c r="A175" s="38" t="s">
        <v>67</v>
      </c>
      <c r="B175" s="38" t="s">
        <v>43</v>
      </c>
      <c r="C175" s="38" t="s">
        <v>20</v>
      </c>
      <c r="D175" s="38" t="s">
        <v>12</v>
      </c>
      <c r="E175" s="39">
        <v>704.28</v>
      </c>
      <c r="F175" s="39">
        <v>15</v>
      </c>
      <c r="G175" s="39">
        <v>0.2</v>
      </c>
      <c r="H175" s="40">
        <v>45712</v>
      </c>
      <c r="I175" s="39">
        <v>225.37</v>
      </c>
      <c r="J175" s="13" t="str">
        <v>Feb-2025</v>
      </c>
      <c r="K175" s="41">
        <f t="shared" ca="1" si="8"/>
        <v>46070.538153703703</v>
      </c>
      <c r="L175" s="13">
        <f ca="1"/>
        <v>358.53815370370285</v>
      </c>
      <c r="M175" s="19" t="str">
        <f ca="1"/>
        <v>↓</v>
      </c>
      <c r="N175" s="13"/>
      <c r="O175" s="13"/>
      <c r="P175" s="19" t="str">
        <f t="shared" si="9"/>
        <v>Normal</v>
      </c>
      <c r="Q175" s="42">
        <f t="shared" si="10"/>
        <v>8.65</v>
      </c>
      <c r="R175" s="43">
        <f t="shared" si="11"/>
        <v>704.28</v>
      </c>
      <c r="S175" s="4"/>
      <c r="T175" s="3"/>
    </row>
    <row r="176" spans="1:20" s="66" customFormat="1" x14ac:dyDescent="0.3">
      <c r="A176" s="56" t="s">
        <v>65</v>
      </c>
      <c r="B176" s="56" t="s">
        <v>47</v>
      </c>
      <c r="C176" s="56" t="s">
        <v>34</v>
      </c>
      <c r="D176" s="56" t="s">
        <v>39</v>
      </c>
      <c r="E176" s="57">
        <v>1618.22</v>
      </c>
      <c r="F176" s="57">
        <v>12</v>
      </c>
      <c r="G176" s="57">
        <v>0.2</v>
      </c>
      <c r="H176" s="58">
        <v>45712</v>
      </c>
      <c r="I176" s="57">
        <v>582.55999999999995</v>
      </c>
      <c r="J176" s="59" t="str">
        <v>Feb-2025</v>
      </c>
      <c r="K176" s="60">
        <f t="shared" ca="1" si="8"/>
        <v>46070.538153703703</v>
      </c>
      <c r="L176" s="59">
        <f ca="1"/>
        <v>358.53815370370285</v>
      </c>
      <c r="M176" s="61" t="str">
        <f ca="1"/>
        <v>↓</v>
      </c>
      <c r="N176" s="59"/>
      <c r="O176" s="59"/>
      <c r="P176" s="61" t="str">
        <f t="shared" si="9"/>
        <v>Normal</v>
      </c>
      <c r="Q176" s="62">
        <f t="shared" si="10"/>
        <v>8.7000000000000011</v>
      </c>
      <c r="R176" s="63">
        <f t="shared" si="11"/>
        <v>1618.22</v>
      </c>
      <c r="S176" s="64"/>
      <c r="T176" s="65"/>
    </row>
    <row r="177" spans="1:20" x14ac:dyDescent="0.3">
      <c r="A177" s="38" t="s">
        <v>73</v>
      </c>
      <c r="B177" s="38" t="s">
        <v>53</v>
      </c>
      <c r="C177" s="38" t="s">
        <v>34</v>
      </c>
      <c r="D177" s="38" t="s">
        <v>12</v>
      </c>
      <c r="E177" s="39">
        <v>1014.43</v>
      </c>
      <c r="F177" s="39">
        <v>2</v>
      </c>
      <c r="G177" s="39">
        <v>0.15</v>
      </c>
      <c r="H177" s="40">
        <v>45713</v>
      </c>
      <c r="I177" s="39">
        <v>344.91</v>
      </c>
      <c r="J177" s="13" t="str">
        <v>Feb-2025</v>
      </c>
      <c r="K177" s="41">
        <f t="shared" ca="1" si="8"/>
        <v>46070.538153703703</v>
      </c>
      <c r="L177" s="13">
        <f ca="1"/>
        <v>357.53815370370285</v>
      </c>
      <c r="M177" s="19" t="str">
        <f ca="1"/>
        <v>↓</v>
      </c>
      <c r="N177" s="13"/>
      <c r="O177" s="13"/>
      <c r="P177" s="19" t="str">
        <f t="shared" si="9"/>
        <v>Normal</v>
      </c>
      <c r="Q177" s="42">
        <f t="shared" si="10"/>
        <v>8.75</v>
      </c>
      <c r="R177" s="43">
        <f t="shared" si="11"/>
        <v>1014.43</v>
      </c>
      <c r="S177" s="4"/>
      <c r="T177" s="3"/>
    </row>
    <row r="178" spans="1:20" x14ac:dyDescent="0.3">
      <c r="A178" s="38" t="s">
        <v>75</v>
      </c>
      <c r="B178" s="38" t="s">
        <v>31</v>
      </c>
      <c r="C178" s="38" t="s">
        <v>34</v>
      </c>
      <c r="D178" s="38" t="s">
        <v>15</v>
      </c>
      <c r="E178" s="39">
        <v>826.97</v>
      </c>
      <c r="F178" s="39">
        <v>18</v>
      </c>
      <c r="G178" s="39">
        <v>0.2</v>
      </c>
      <c r="H178" s="40">
        <v>45715</v>
      </c>
      <c r="I178" s="39">
        <v>330.79</v>
      </c>
      <c r="J178" s="13" t="str">
        <v>Feb-2025</v>
      </c>
      <c r="K178" s="41">
        <f t="shared" ca="1" si="8"/>
        <v>46070.538153703703</v>
      </c>
      <c r="L178" s="13">
        <f ca="1"/>
        <v>355.53815370370285</v>
      </c>
      <c r="M178" s="19" t="str">
        <f ca="1"/>
        <v>↓</v>
      </c>
      <c r="N178" s="13"/>
      <c r="O178" s="13"/>
      <c r="P178" s="19" t="str">
        <f t="shared" si="9"/>
        <v>Normal</v>
      </c>
      <c r="Q178" s="42">
        <f t="shared" si="10"/>
        <v>8.8000000000000007</v>
      </c>
      <c r="R178" s="43">
        <f t="shared" si="11"/>
        <v>826.97</v>
      </c>
      <c r="S178" s="4"/>
      <c r="T178" s="3"/>
    </row>
    <row r="179" spans="1:20" x14ac:dyDescent="0.3">
      <c r="A179" s="38" t="s">
        <v>16</v>
      </c>
      <c r="B179" s="38" t="s">
        <v>31</v>
      </c>
      <c r="C179" s="38" t="s">
        <v>34</v>
      </c>
      <c r="D179" s="38" t="s">
        <v>15</v>
      </c>
      <c r="E179" s="39">
        <v>1022.23</v>
      </c>
      <c r="F179" s="39">
        <v>8</v>
      </c>
      <c r="G179" s="39">
        <v>0.1</v>
      </c>
      <c r="H179" s="40">
        <v>45717</v>
      </c>
      <c r="I179" s="39">
        <v>460</v>
      </c>
      <c r="J179" s="13" t="str">
        <v>Mar-2025</v>
      </c>
      <c r="K179" s="41">
        <f t="shared" ca="1" si="8"/>
        <v>46070.538153703703</v>
      </c>
      <c r="L179" s="13">
        <f ca="1"/>
        <v>353.53815370370285</v>
      </c>
      <c r="M179" s="19" t="str">
        <f ca="1"/>
        <v>↓</v>
      </c>
      <c r="N179" s="13"/>
      <c r="O179" s="13"/>
      <c r="P179" s="19" t="str">
        <f t="shared" si="9"/>
        <v>Normal</v>
      </c>
      <c r="Q179" s="42">
        <f t="shared" si="10"/>
        <v>8.85</v>
      </c>
      <c r="R179" s="43">
        <f t="shared" si="11"/>
        <v>1022.23</v>
      </c>
      <c r="S179" s="4"/>
      <c r="T179" s="3"/>
    </row>
    <row r="180" spans="1:20" x14ac:dyDescent="0.3">
      <c r="A180" s="38" t="s">
        <v>72</v>
      </c>
      <c r="B180" s="38" t="s">
        <v>29</v>
      </c>
      <c r="C180" s="38" t="s">
        <v>18</v>
      </c>
      <c r="D180" s="38" t="s">
        <v>12</v>
      </c>
      <c r="E180" s="39">
        <v>1099.69</v>
      </c>
      <c r="F180" s="39">
        <v>6</v>
      </c>
      <c r="G180" s="39">
        <v>0</v>
      </c>
      <c r="H180" s="40">
        <v>45718</v>
      </c>
      <c r="I180" s="39">
        <v>439.88</v>
      </c>
      <c r="J180" s="13" t="str">
        <v>Mar-2025</v>
      </c>
      <c r="K180" s="41">
        <f t="shared" ca="1" si="8"/>
        <v>46070.538153703703</v>
      </c>
      <c r="L180" s="13">
        <f ca="1"/>
        <v>352.53815370370285</v>
      </c>
      <c r="M180" s="19" t="str">
        <f ca="1"/>
        <v>↓</v>
      </c>
      <c r="N180" s="13"/>
      <c r="O180" s="13"/>
      <c r="P180" s="19" t="str">
        <f t="shared" si="9"/>
        <v>Normal</v>
      </c>
      <c r="Q180" s="42">
        <f t="shared" si="10"/>
        <v>8.9</v>
      </c>
      <c r="R180" s="43">
        <f t="shared" si="11"/>
        <v>1099.69</v>
      </c>
      <c r="S180" s="4"/>
      <c r="T180" s="3"/>
    </row>
    <row r="181" spans="1:20" x14ac:dyDescent="0.3">
      <c r="A181" s="38" t="s">
        <v>52</v>
      </c>
      <c r="B181" s="38" t="s">
        <v>64</v>
      </c>
      <c r="C181" s="38" t="s">
        <v>24</v>
      </c>
      <c r="D181" s="38" t="s">
        <v>12</v>
      </c>
      <c r="E181" s="39">
        <v>710.52</v>
      </c>
      <c r="F181" s="39">
        <v>8</v>
      </c>
      <c r="G181" s="39">
        <v>0.1</v>
      </c>
      <c r="H181" s="40">
        <v>45721</v>
      </c>
      <c r="I181" s="39">
        <v>255.79</v>
      </c>
      <c r="J181" s="13" t="str">
        <v>Mar-2025</v>
      </c>
      <c r="K181" s="41">
        <f t="shared" ca="1" si="8"/>
        <v>46070.538153703703</v>
      </c>
      <c r="L181" s="13">
        <f ca="1"/>
        <v>349.53815370370285</v>
      </c>
      <c r="M181" s="19" t="str">
        <f ca="1"/>
        <v>↓</v>
      </c>
      <c r="N181" s="13"/>
      <c r="O181" s="13"/>
      <c r="P181" s="19" t="str">
        <f t="shared" si="9"/>
        <v>Normal</v>
      </c>
      <c r="Q181" s="42">
        <f t="shared" si="10"/>
        <v>8.9500000000000011</v>
      </c>
      <c r="R181" s="43">
        <f t="shared" si="11"/>
        <v>710.52</v>
      </c>
      <c r="S181" s="4"/>
      <c r="T181" s="3"/>
    </row>
    <row r="182" spans="1:20" x14ac:dyDescent="0.3">
      <c r="A182" s="38" t="s">
        <v>52</v>
      </c>
      <c r="B182" s="38" t="s">
        <v>59</v>
      </c>
      <c r="C182" s="38" t="s">
        <v>24</v>
      </c>
      <c r="D182" s="38" t="s">
        <v>12</v>
      </c>
      <c r="E182" s="39">
        <v>499.18</v>
      </c>
      <c r="F182" s="39">
        <v>15</v>
      </c>
      <c r="G182" s="39">
        <v>0.2</v>
      </c>
      <c r="H182" s="40">
        <v>45724</v>
      </c>
      <c r="I182" s="39">
        <v>159.74</v>
      </c>
      <c r="J182" s="13" t="str">
        <v>Mar-2025</v>
      </c>
      <c r="K182" s="41">
        <f t="shared" ca="1" si="8"/>
        <v>46070.538153703703</v>
      </c>
      <c r="L182" s="13">
        <f ca="1"/>
        <v>346.53815370370285</v>
      </c>
      <c r="M182" s="19" t="str">
        <f ca="1"/>
        <v>↓</v>
      </c>
      <c r="N182" s="13"/>
      <c r="O182" s="13"/>
      <c r="P182" s="19" t="str">
        <f t="shared" si="9"/>
        <v>Normal</v>
      </c>
      <c r="Q182" s="42">
        <f t="shared" si="10"/>
        <v>9</v>
      </c>
      <c r="R182" s="43">
        <f t="shared" si="11"/>
        <v>499.18</v>
      </c>
      <c r="S182" s="4"/>
      <c r="T182" s="3"/>
    </row>
    <row r="183" spans="1:20" x14ac:dyDescent="0.3">
      <c r="A183" s="38" t="s">
        <v>37</v>
      </c>
      <c r="B183" s="38" t="s">
        <v>38</v>
      </c>
      <c r="C183" s="38" t="s">
        <v>20</v>
      </c>
      <c r="D183" s="38" t="s">
        <v>12</v>
      </c>
      <c r="E183" s="39">
        <v>1064.19</v>
      </c>
      <c r="F183" s="39">
        <v>18</v>
      </c>
      <c r="G183" s="39">
        <v>0.05</v>
      </c>
      <c r="H183" s="40">
        <v>45725</v>
      </c>
      <c r="I183" s="39">
        <v>404.39</v>
      </c>
      <c r="J183" s="13" t="str">
        <v>Mar-2025</v>
      </c>
      <c r="K183" s="41">
        <f t="shared" ca="1" si="8"/>
        <v>46070.538153703703</v>
      </c>
      <c r="L183" s="13">
        <f ca="1"/>
        <v>345.53815370370285</v>
      </c>
      <c r="M183" s="19" t="str">
        <f ca="1"/>
        <v>↓</v>
      </c>
      <c r="N183" s="13"/>
      <c r="O183" s="13"/>
      <c r="P183" s="19" t="str">
        <f t="shared" si="9"/>
        <v>Normal</v>
      </c>
      <c r="Q183" s="42">
        <f t="shared" si="10"/>
        <v>9.0500000000000007</v>
      </c>
      <c r="R183" s="43">
        <f t="shared" si="11"/>
        <v>1064.19</v>
      </c>
      <c r="S183" s="4"/>
      <c r="T183" s="3"/>
    </row>
    <row r="184" spans="1:20" x14ac:dyDescent="0.3">
      <c r="A184" s="38" t="s">
        <v>67</v>
      </c>
      <c r="B184" s="38" t="s">
        <v>38</v>
      </c>
      <c r="C184" s="38" t="s">
        <v>18</v>
      </c>
      <c r="D184" s="38" t="s">
        <v>39</v>
      </c>
      <c r="E184" s="39">
        <v>438.76</v>
      </c>
      <c r="F184" s="39">
        <v>18</v>
      </c>
      <c r="G184" s="39">
        <v>0.05</v>
      </c>
      <c r="H184" s="40">
        <v>45726</v>
      </c>
      <c r="I184" s="39">
        <v>187.57</v>
      </c>
      <c r="J184" s="13" t="str">
        <v>Mar-2025</v>
      </c>
      <c r="K184" s="41">
        <f t="shared" ca="1" si="8"/>
        <v>46070.538153703703</v>
      </c>
      <c r="L184" s="13">
        <f ca="1"/>
        <v>344.53815370370285</v>
      </c>
      <c r="M184" s="19" t="str">
        <f ca="1"/>
        <v>↓</v>
      </c>
      <c r="N184" s="13"/>
      <c r="O184" s="13"/>
      <c r="P184" s="19" t="str">
        <f t="shared" si="9"/>
        <v>Normal</v>
      </c>
      <c r="Q184" s="42">
        <f t="shared" si="10"/>
        <v>9.1</v>
      </c>
      <c r="R184" s="43">
        <f t="shared" si="11"/>
        <v>438.76</v>
      </c>
      <c r="S184" s="4"/>
      <c r="T184" s="3"/>
    </row>
    <row r="185" spans="1:20" x14ac:dyDescent="0.3">
      <c r="A185" s="38" t="s">
        <v>41</v>
      </c>
      <c r="B185" s="38" t="s">
        <v>55</v>
      </c>
      <c r="C185" s="38" t="s">
        <v>11</v>
      </c>
      <c r="D185" s="38" t="s">
        <v>15</v>
      </c>
      <c r="E185" s="39">
        <v>864.98</v>
      </c>
      <c r="F185" s="39">
        <v>2</v>
      </c>
      <c r="G185" s="39">
        <v>0.05</v>
      </c>
      <c r="H185" s="40">
        <v>45727</v>
      </c>
      <c r="I185" s="39">
        <v>410.87</v>
      </c>
      <c r="J185" s="13" t="str">
        <v>Mar-2025</v>
      </c>
      <c r="K185" s="41">
        <f t="shared" ca="1" si="8"/>
        <v>46070.538153703703</v>
      </c>
      <c r="L185" s="13">
        <f ca="1"/>
        <v>343.53815370370285</v>
      </c>
      <c r="M185" s="19" t="str">
        <f ca="1"/>
        <v>↓</v>
      </c>
      <c r="N185" s="13"/>
      <c r="O185" s="13"/>
      <c r="P185" s="19" t="str">
        <f t="shared" si="9"/>
        <v>Normal</v>
      </c>
      <c r="Q185" s="42">
        <f t="shared" si="10"/>
        <v>9.15</v>
      </c>
      <c r="R185" s="43">
        <f t="shared" si="11"/>
        <v>864.98</v>
      </c>
      <c r="S185" s="4"/>
      <c r="T185" s="3"/>
    </row>
    <row r="186" spans="1:20" x14ac:dyDescent="0.3">
      <c r="A186" s="38" t="s">
        <v>57</v>
      </c>
      <c r="B186" s="38" t="s">
        <v>55</v>
      </c>
      <c r="C186" s="38" t="s">
        <v>11</v>
      </c>
      <c r="D186" s="38" t="s">
        <v>27</v>
      </c>
      <c r="E186" s="39">
        <v>984.93</v>
      </c>
      <c r="F186" s="39">
        <v>14</v>
      </c>
      <c r="G186" s="39">
        <v>0.2</v>
      </c>
      <c r="H186" s="40">
        <v>45733</v>
      </c>
      <c r="I186" s="39">
        <v>275.77999999999997</v>
      </c>
      <c r="J186" s="13" t="str">
        <v>Mar-2025</v>
      </c>
      <c r="K186" s="41">
        <f t="shared" ca="1" si="8"/>
        <v>46070.538153703703</v>
      </c>
      <c r="L186" s="13">
        <f ca="1"/>
        <v>337.53815370370285</v>
      </c>
      <c r="M186" s="19" t="str">
        <f ca="1"/>
        <v>↓</v>
      </c>
      <c r="N186" s="13"/>
      <c r="O186" s="13"/>
      <c r="P186" s="19" t="str">
        <f t="shared" si="9"/>
        <v>Normal</v>
      </c>
      <c r="Q186" s="42">
        <f t="shared" si="10"/>
        <v>9.2000000000000011</v>
      </c>
      <c r="R186" s="43">
        <f t="shared" si="11"/>
        <v>984.93</v>
      </c>
      <c r="S186" s="4"/>
      <c r="T186" s="3"/>
    </row>
    <row r="187" spans="1:20" s="66" customFormat="1" x14ac:dyDescent="0.3">
      <c r="A187" s="56" t="s">
        <v>25</v>
      </c>
      <c r="B187" s="56" t="s">
        <v>55</v>
      </c>
      <c r="C187" s="56" t="s">
        <v>11</v>
      </c>
      <c r="D187" s="56" t="s">
        <v>15</v>
      </c>
      <c r="E187" s="57">
        <v>1493.49</v>
      </c>
      <c r="F187" s="57">
        <v>18</v>
      </c>
      <c r="G187" s="57">
        <v>0</v>
      </c>
      <c r="H187" s="58">
        <v>45734</v>
      </c>
      <c r="I187" s="57">
        <v>746.74</v>
      </c>
      <c r="J187" s="59" t="str">
        <v>Mar-2025</v>
      </c>
      <c r="K187" s="60">
        <f t="shared" ca="1" si="8"/>
        <v>46070.538153703703</v>
      </c>
      <c r="L187" s="59">
        <f ca="1"/>
        <v>336.53815370370285</v>
      </c>
      <c r="M187" s="61" t="str">
        <f ca="1"/>
        <v>↓</v>
      </c>
      <c r="N187" s="59"/>
      <c r="O187" s="59"/>
      <c r="P187" s="61" t="str">
        <f t="shared" si="9"/>
        <v>Normal</v>
      </c>
      <c r="Q187" s="62">
        <f t="shared" si="10"/>
        <v>9.25</v>
      </c>
      <c r="R187" s="63">
        <f t="shared" si="11"/>
        <v>1493.49</v>
      </c>
      <c r="S187" s="64"/>
      <c r="T187" s="65"/>
    </row>
    <row r="188" spans="1:20" x14ac:dyDescent="0.3">
      <c r="A188" s="38" t="s">
        <v>32</v>
      </c>
      <c r="B188" s="38" t="s">
        <v>53</v>
      </c>
      <c r="C188" s="38" t="s">
        <v>20</v>
      </c>
      <c r="D188" s="38" t="s">
        <v>15</v>
      </c>
      <c r="E188" s="39">
        <v>689.43</v>
      </c>
      <c r="F188" s="39">
        <v>9</v>
      </c>
      <c r="G188" s="39">
        <v>0.1</v>
      </c>
      <c r="H188" s="40">
        <v>45736</v>
      </c>
      <c r="I188" s="39">
        <v>310.24</v>
      </c>
      <c r="J188" s="13" t="str">
        <v>Mar-2025</v>
      </c>
      <c r="K188" s="41">
        <f t="shared" ca="1" si="8"/>
        <v>46070.538153703703</v>
      </c>
      <c r="L188" s="13">
        <f ca="1"/>
        <v>334.53815370370285</v>
      </c>
      <c r="M188" s="19" t="str">
        <f ca="1"/>
        <v>↓</v>
      </c>
      <c r="N188" s="13"/>
      <c r="O188" s="13"/>
      <c r="P188" s="19" t="str">
        <f t="shared" si="9"/>
        <v>Normal</v>
      </c>
      <c r="Q188" s="42">
        <f t="shared" si="10"/>
        <v>9.3000000000000007</v>
      </c>
      <c r="R188" s="43">
        <f t="shared" si="11"/>
        <v>689.43</v>
      </c>
      <c r="S188" s="4"/>
      <c r="T188" s="3"/>
    </row>
    <row r="189" spans="1:20" x14ac:dyDescent="0.3">
      <c r="A189" s="38" t="s">
        <v>40</v>
      </c>
      <c r="B189" s="38" t="s">
        <v>59</v>
      </c>
      <c r="C189" s="38" t="s">
        <v>20</v>
      </c>
      <c r="D189" s="38" t="s">
        <v>15</v>
      </c>
      <c r="E189" s="39">
        <v>682.24</v>
      </c>
      <c r="F189" s="39">
        <v>1</v>
      </c>
      <c r="G189" s="39">
        <v>0</v>
      </c>
      <c r="H189" s="40">
        <v>45738</v>
      </c>
      <c r="I189" s="39">
        <v>341.12</v>
      </c>
      <c r="J189" s="13" t="str">
        <v>Mar-2025</v>
      </c>
      <c r="K189" s="41">
        <f t="shared" ca="1" si="8"/>
        <v>46070.538153703703</v>
      </c>
      <c r="L189" s="13">
        <f ca="1"/>
        <v>332.53815370370285</v>
      </c>
      <c r="M189" s="19" t="str">
        <f ca="1"/>
        <v>↓</v>
      </c>
      <c r="N189" s="13"/>
      <c r="O189" s="13"/>
      <c r="P189" s="19" t="str">
        <f t="shared" si="9"/>
        <v>Normal</v>
      </c>
      <c r="Q189" s="42">
        <f t="shared" si="10"/>
        <v>9.35</v>
      </c>
      <c r="R189" s="43">
        <f t="shared" si="11"/>
        <v>682.24</v>
      </c>
      <c r="S189" s="4"/>
      <c r="T189" s="3"/>
    </row>
    <row r="190" spans="1:20" x14ac:dyDescent="0.3">
      <c r="A190" s="38" t="s">
        <v>41</v>
      </c>
      <c r="B190" s="38" t="s">
        <v>26</v>
      </c>
      <c r="C190" s="38" t="s">
        <v>24</v>
      </c>
      <c r="D190" s="38" t="s">
        <v>21</v>
      </c>
      <c r="E190" s="39">
        <v>458.54</v>
      </c>
      <c r="F190" s="39">
        <v>15</v>
      </c>
      <c r="G190" s="39">
        <v>0.2</v>
      </c>
      <c r="H190" s="40">
        <v>45741</v>
      </c>
      <c r="I190" s="39">
        <v>91.71</v>
      </c>
      <c r="J190" s="13" t="str">
        <v>Mar-2025</v>
      </c>
      <c r="K190" s="41">
        <f t="shared" ca="1" si="8"/>
        <v>46070.538153703703</v>
      </c>
      <c r="L190" s="13">
        <f ca="1"/>
        <v>329.53815370370285</v>
      </c>
      <c r="M190" s="19" t="str">
        <f ca="1"/>
        <v>↓</v>
      </c>
      <c r="N190" s="13"/>
      <c r="O190" s="13"/>
      <c r="P190" s="19" t="str">
        <f t="shared" si="9"/>
        <v>Normal</v>
      </c>
      <c r="Q190" s="42">
        <f t="shared" si="10"/>
        <v>9.4</v>
      </c>
      <c r="R190" s="43">
        <f t="shared" si="11"/>
        <v>458.54</v>
      </c>
      <c r="S190" s="4"/>
      <c r="T190" s="3"/>
    </row>
    <row r="191" spans="1:20" x14ac:dyDescent="0.3">
      <c r="A191" s="38" t="s">
        <v>32</v>
      </c>
      <c r="B191" s="38" t="s">
        <v>26</v>
      </c>
      <c r="C191" s="38" t="s">
        <v>20</v>
      </c>
      <c r="D191" s="38" t="s">
        <v>27</v>
      </c>
      <c r="E191" s="39">
        <v>1184.25</v>
      </c>
      <c r="F191" s="39">
        <v>11</v>
      </c>
      <c r="G191" s="39">
        <v>0.2</v>
      </c>
      <c r="H191" s="40">
        <v>45742</v>
      </c>
      <c r="I191" s="39">
        <v>331.59</v>
      </c>
      <c r="J191" s="13" t="str">
        <v>Mar-2025</v>
      </c>
      <c r="K191" s="41">
        <f t="shared" ca="1" si="8"/>
        <v>46070.538153703703</v>
      </c>
      <c r="L191" s="13">
        <f ca="1"/>
        <v>328.53815370370285</v>
      </c>
      <c r="M191" s="19" t="str">
        <f ca="1"/>
        <v>↓</v>
      </c>
      <c r="N191" s="13"/>
      <c r="O191" s="13"/>
      <c r="P191" s="19" t="str">
        <f t="shared" si="9"/>
        <v>Normal</v>
      </c>
      <c r="Q191" s="42">
        <f t="shared" si="10"/>
        <v>9.4500000000000011</v>
      </c>
      <c r="R191" s="43">
        <f t="shared" si="11"/>
        <v>1184.25</v>
      </c>
      <c r="S191" s="4"/>
      <c r="T191" s="3"/>
    </row>
    <row r="192" spans="1:20" x14ac:dyDescent="0.3">
      <c r="A192" s="38" t="s">
        <v>25</v>
      </c>
      <c r="B192" s="38" t="s">
        <v>10</v>
      </c>
      <c r="C192" s="38" t="s">
        <v>20</v>
      </c>
      <c r="D192" s="38" t="s">
        <v>15</v>
      </c>
      <c r="E192" s="39">
        <v>762.14</v>
      </c>
      <c r="F192" s="39">
        <v>9</v>
      </c>
      <c r="G192" s="39">
        <v>0</v>
      </c>
      <c r="H192" s="40">
        <v>45743</v>
      </c>
      <c r="I192" s="39">
        <v>381.07</v>
      </c>
      <c r="J192" s="13" t="str">
        <v>Mar-2025</v>
      </c>
      <c r="K192" s="41">
        <f t="shared" ca="1" si="8"/>
        <v>46070.538153703703</v>
      </c>
      <c r="L192" s="13">
        <f ca="1"/>
        <v>327.53815370370285</v>
      </c>
      <c r="M192" s="19" t="str">
        <f ca="1"/>
        <v>↓</v>
      </c>
      <c r="N192" s="13"/>
      <c r="O192" s="13"/>
      <c r="P192" s="19" t="str">
        <f t="shared" si="9"/>
        <v>Normal</v>
      </c>
      <c r="Q192" s="42">
        <f t="shared" si="10"/>
        <v>9.5</v>
      </c>
      <c r="R192" s="43">
        <f t="shared" si="11"/>
        <v>762.14</v>
      </c>
      <c r="S192" s="4"/>
      <c r="T192" s="3"/>
    </row>
    <row r="193" spans="1:20" x14ac:dyDescent="0.3">
      <c r="A193" s="38" t="s">
        <v>22</v>
      </c>
      <c r="B193" s="38" t="s">
        <v>53</v>
      </c>
      <c r="C193" s="38" t="s">
        <v>24</v>
      </c>
      <c r="D193" s="38" t="s">
        <v>12</v>
      </c>
      <c r="E193" s="39">
        <v>750.71</v>
      </c>
      <c r="F193" s="39">
        <v>10</v>
      </c>
      <c r="G193" s="39">
        <v>0.15</v>
      </c>
      <c r="H193" s="40">
        <v>45743</v>
      </c>
      <c r="I193" s="39">
        <v>255.24</v>
      </c>
      <c r="J193" s="13" t="str">
        <v>Mar-2025</v>
      </c>
      <c r="K193" s="41">
        <f t="shared" ca="1" si="8"/>
        <v>46070.538153703703</v>
      </c>
      <c r="L193" s="13">
        <f ca="1"/>
        <v>327.53815370370285</v>
      </c>
      <c r="M193" s="19" t="str">
        <f ca="1"/>
        <v>↓</v>
      </c>
      <c r="N193" s="13"/>
      <c r="O193" s="13"/>
      <c r="P193" s="19" t="str">
        <f t="shared" si="9"/>
        <v>Normal</v>
      </c>
      <c r="Q193" s="42">
        <f t="shared" si="10"/>
        <v>9.5500000000000007</v>
      </c>
      <c r="R193" s="43">
        <f t="shared" si="11"/>
        <v>750.71</v>
      </c>
      <c r="S193" s="4"/>
      <c r="T193" s="3"/>
    </row>
    <row r="194" spans="1:20" x14ac:dyDescent="0.3">
      <c r="A194" s="38" t="s">
        <v>75</v>
      </c>
      <c r="B194" s="38" t="s">
        <v>71</v>
      </c>
      <c r="C194" s="38" t="s">
        <v>34</v>
      </c>
      <c r="D194" s="38" t="s">
        <v>15</v>
      </c>
      <c r="E194" s="39">
        <v>1456.94</v>
      </c>
      <c r="F194" s="39">
        <v>14</v>
      </c>
      <c r="G194" s="39">
        <v>0.05</v>
      </c>
      <c r="H194" s="40">
        <v>45745</v>
      </c>
      <c r="I194" s="39">
        <v>692.05</v>
      </c>
      <c r="J194" s="13" t="str">
        <v>Mar-2025</v>
      </c>
      <c r="K194" s="41">
        <f t="shared" ca="1" si="8"/>
        <v>46070.538153703703</v>
      </c>
      <c r="L194" s="13">
        <f ca="1"/>
        <v>325.53815370370285</v>
      </c>
      <c r="M194" s="19" t="str">
        <f ca="1"/>
        <v>↓</v>
      </c>
      <c r="N194" s="13"/>
      <c r="O194" s="13"/>
      <c r="P194" s="19" t="str">
        <f t="shared" si="9"/>
        <v>Normal</v>
      </c>
      <c r="Q194" s="42">
        <f t="shared" si="10"/>
        <v>9.6000000000000014</v>
      </c>
      <c r="R194" s="43">
        <f t="shared" si="11"/>
        <v>1456.94</v>
      </c>
      <c r="S194" s="4"/>
      <c r="T194" s="3"/>
    </row>
    <row r="195" spans="1:20" x14ac:dyDescent="0.3">
      <c r="A195" s="38" t="s">
        <v>44</v>
      </c>
      <c r="B195" s="38" t="s">
        <v>61</v>
      </c>
      <c r="C195" s="38" t="s">
        <v>18</v>
      </c>
      <c r="D195" s="38" t="s">
        <v>27</v>
      </c>
      <c r="E195" s="39">
        <v>1093.3800000000001</v>
      </c>
      <c r="F195" s="39">
        <v>17</v>
      </c>
      <c r="G195" s="39">
        <v>0.1</v>
      </c>
      <c r="H195" s="40">
        <v>45745</v>
      </c>
      <c r="I195" s="39">
        <v>344.41</v>
      </c>
      <c r="J195" s="13" t="str">
        <v>Mar-2025</v>
      </c>
      <c r="K195" s="41">
        <f t="shared" ref="K195:K201" ca="1" si="12">NOW()</f>
        <v>46070.538153703703</v>
      </c>
      <c r="L195" s="13">
        <f ca="1"/>
        <v>325.53815370370285</v>
      </c>
      <c r="M195" s="19" t="str">
        <f ca="1"/>
        <v>↓</v>
      </c>
      <c r="N195" s="13"/>
      <c r="O195" s="13"/>
      <c r="P195" s="19" t="str">
        <f t="shared" ref="P195:P201" si="13">IF(SUMIF(B:B,H195,E:E)&gt;500,"High Value","Normal")</f>
        <v>Normal</v>
      </c>
      <c r="Q195" s="42">
        <f t="shared" ref="Q195:Q201" si="14">(ROW(A194)-1)*5%</f>
        <v>9.65</v>
      </c>
      <c r="R195" s="43">
        <f t="shared" ref="R195:R201" si="15">E195*(1-$Z$1)</f>
        <v>1093.3800000000001</v>
      </c>
      <c r="S195" s="4"/>
      <c r="T195" s="3"/>
    </row>
    <row r="196" spans="1:20" x14ac:dyDescent="0.3">
      <c r="A196" s="38" t="s">
        <v>37</v>
      </c>
      <c r="B196" s="38" t="s">
        <v>43</v>
      </c>
      <c r="C196" s="38" t="s">
        <v>11</v>
      </c>
      <c r="D196" s="38" t="s">
        <v>15</v>
      </c>
      <c r="E196" s="39">
        <v>934.27</v>
      </c>
      <c r="F196" s="39">
        <v>8</v>
      </c>
      <c r="G196" s="39">
        <v>0.15</v>
      </c>
      <c r="H196" s="40">
        <v>45746</v>
      </c>
      <c r="I196" s="39">
        <v>397.06</v>
      </c>
      <c r="J196" s="13" t="str">
        <v>Mar-2025</v>
      </c>
      <c r="K196" s="41">
        <f t="shared" ca="1" si="12"/>
        <v>46070.538153703703</v>
      </c>
      <c r="L196" s="13">
        <f ca="1"/>
        <v>324.53815370370285</v>
      </c>
      <c r="M196" s="19" t="str">
        <f ca="1"/>
        <v>↓</v>
      </c>
      <c r="N196" s="13"/>
      <c r="O196" s="13"/>
      <c r="P196" s="19" t="str">
        <f t="shared" si="13"/>
        <v>Normal</v>
      </c>
      <c r="Q196" s="42">
        <f t="shared" si="14"/>
        <v>9.7000000000000011</v>
      </c>
      <c r="R196" s="43">
        <f t="shared" si="15"/>
        <v>934.27</v>
      </c>
      <c r="S196" s="4"/>
      <c r="T196" s="3"/>
    </row>
    <row r="197" spans="1:20" x14ac:dyDescent="0.3">
      <c r="A197" s="38" t="s">
        <v>70</v>
      </c>
      <c r="B197" s="38" t="s">
        <v>36</v>
      </c>
      <c r="C197" s="38" t="s">
        <v>34</v>
      </c>
      <c r="D197" s="38" t="s">
        <v>15</v>
      </c>
      <c r="E197" s="39">
        <v>1465.35</v>
      </c>
      <c r="F197" s="39">
        <v>8</v>
      </c>
      <c r="G197" s="39">
        <v>0.2</v>
      </c>
      <c r="H197" s="40">
        <v>45746</v>
      </c>
      <c r="I197" s="39">
        <v>586.14</v>
      </c>
      <c r="J197" s="13" t="str">
        <v>Mar-2025</v>
      </c>
      <c r="K197" s="41">
        <f t="shared" ca="1" si="12"/>
        <v>46070.538153703703</v>
      </c>
      <c r="L197" s="13">
        <f ca="1"/>
        <v>324.53815370370285</v>
      </c>
      <c r="M197" s="19" t="str">
        <f ca="1"/>
        <v>↓</v>
      </c>
      <c r="N197" s="13"/>
      <c r="O197" s="13"/>
      <c r="P197" s="19" t="str">
        <f t="shared" si="13"/>
        <v>Normal</v>
      </c>
      <c r="Q197" s="42">
        <f t="shared" si="14"/>
        <v>9.75</v>
      </c>
      <c r="R197" s="43">
        <f t="shared" si="15"/>
        <v>1465.35</v>
      </c>
      <c r="S197" s="4"/>
      <c r="T197" s="3"/>
    </row>
    <row r="198" spans="1:20" x14ac:dyDescent="0.3">
      <c r="A198" s="38" t="s">
        <v>52</v>
      </c>
      <c r="B198" s="38" t="s">
        <v>14</v>
      </c>
      <c r="C198" s="38" t="s">
        <v>20</v>
      </c>
      <c r="D198" s="38" t="s">
        <v>39</v>
      </c>
      <c r="E198" s="39">
        <v>740.8</v>
      </c>
      <c r="F198" s="39">
        <v>3</v>
      </c>
      <c r="G198" s="39">
        <v>0</v>
      </c>
      <c r="H198" s="40">
        <v>45749</v>
      </c>
      <c r="I198" s="39">
        <v>333.36</v>
      </c>
      <c r="J198" s="13" t="str">
        <v>Apr-2025</v>
      </c>
      <c r="K198" s="41">
        <f t="shared" ca="1" si="12"/>
        <v>46070.538153703703</v>
      </c>
      <c r="L198" s="13">
        <f ca="1"/>
        <v>321.53815370370285</v>
      </c>
      <c r="M198" s="19" t="str">
        <f ca="1"/>
        <v>↓</v>
      </c>
      <c r="N198" s="13"/>
      <c r="O198" s="13"/>
      <c r="P198" s="19" t="str">
        <f t="shared" si="13"/>
        <v>Normal</v>
      </c>
      <c r="Q198" s="42">
        <f t="shared" si="14"/>
        <v>9.8000000000000007</v>
      </c>
      <c r="R198" s="43">
        <f t="shared" si="15"/>
        <v>740.8</v>
      </c>
      <c r="S198" s="4"/>
      <c r="T198" s="3"/>
    </row>
    <row r="199" spans="1:20" x14ac:dyDescent="0.3">
      <c r="A199" s="38" t="s">
        <v>58</v>
      </c>
      <c r="B199" s="38" t="s">
        <v>43</v>
      </c>
      <c r="C199" s="38" t="s">
        <v>11</v>
      </c>
      <c r="D199" s="38" t="s">
        <v>39</v>
      </c>
      <c r="E199" s="39">
        <v>545.44000000000005</v>
      </c>
      <c r="F199" s="39">
        <v>17</v>
      </c>
      <c r="G199" s="39">
        <v>0</v>
      </c>
      <c r="H199" s="40">
        <v>45752</v>
      </c>
      <c r="I199" s="39">
        <v>245.45</v>
      </c>
      <c r="J199" s="13" t="str">
        <v>Apr-2025</v>
      </c>
      <c r="K199" s="41">
        <f t="shared" ca="1" si="12"/>
        <v>46070.538153703703</v>
      </c>
      <c r="L199" s="13">
        <f ca="1"/>
        <v>318.53815370370285</v>
      </c>
      <c r="M199" s="19" t="str">
        <f ca="1"/>
        <v>↓</v>
      </c>
      <c r="N199" s="13"/>
      <c r="O199" s="13"/>
      <c r="P199" s="19" t="str">
        <f t="shared" si="13"/>
        <v>Normal</v>
      </c>
      <c r="Q199" s="42">
        <f t="shared" si="14"/>
        <v>9.8500000000000014</v>
      </c>
      <c r="R199" s="43">
        <f t="shared" si="15"/>
        <v>545.44000000000005</v>
      </c>
      <c r="S199" s="4"/>
      <c r="T199" s="3"/>
    </row>
    <row r="200" spans="1:20" x14ac:dyDescent="0.3">
      <c r="A200" s="38" t="s">
        <v>35</v>
      </c>
      <c r="B200" s="38" t="s">
        <v>36</v>
      </c>
      <c r="C200" s="38" t="s">
        <v>18</v>
      </c>
      <c r="D200" s="38" t="s">
        <v>12</v>
      </c>
      <c r="E200" s="39">
        <v>997.61</v>
      </c>
      <c r="F200" s="39">
        <v>8</v>
      </c>
      <c r="G200" s="39">
        <v>0.05</v>
      </c>
      <c r="H200" s="40">
        <v>45752</v>
      </c>
      <c r="I200" s="39">
        <v>379.09</v>
      </c>
      <c r="J200" s="13" t="str">
        <v>Apr-2025</v>
      </c>
      <c r="K200" s="41">
        <f t="shared" ca="1" si="12"/>
        <v>46070.538153703703</v>
      </c>
      <c r="L200" s="13">
        <f ca="1"/>
        <v>318.53815370370285</v>
      </c>
      <c r="M200" s="19" t="str">
        <f ca="1"/>
        <v>↓</v>
      </c>
      <c r="N200" s="13"/>
      <c r="O200" s="13"/>
      <c r="P200" s="19" t="str">
        <f t="shared" si="13"/>
        <v>Normal</v>
      </c>
      <c r="Q200" s="42">
        <f t="shared" si="14"/>
        <v>9.9</v>
      </c>
      <c r="R200" s="43">
        <f t="shared" si="15"/>
        <v>997.61</v>
      </c>
      <c r="S200" s="4"/>
      <c r="T200" s="3"/>
    </row>
    <row r="201" spans="1:20" x14ac:dyDescent="0.3">
      <c r="A201" s="38" t="s">
        <v>60</v>
      </c>
      <c r="B201" s="38" t="s">
        <v>36</v>
      </c>
      <c r="C201" s="38" t="s">
        <v>20</v>
      </c>
      <c r="D201" s="38" t="s">
        <v>15</v>
      </c>
      <c r="E201" s="39">
        <v>928.32</v>
      </c>
      <c r="F201" s="39">
        <v>2</v>
      </c>
      <c r="G201" s="39">
        <v>0.05</v>
      </c>
      <c r="H201" s="40">
        <v>45754</v>
      </c>
      <c r="I201" s="39">
        <v>440.95</v>
      </c>
      <c r="J201" s="13"/>
      <c r="K201" s="41">
        <f t="shared" ca="1" si="12"/>
        <v>46070.538153703703</v>
      </c>
      <c r="L201" s="13">
        <f ca="1"/>
        <v>316.53815370370285</v>
      </c>
      <c r="M201" s="19" t="str">
        <f ca="1"/>
        <v>↓</v>
      </c>
      <c r="N201" s="13"/>
      <c r="O201" s="13"/>
      <c r="P201" s="19" t="str">
        <f t="shared" si="13"/>
        <v>Normal</v>
      </c>
      <c r="Q201" s="42">
        <f t="shared" si="14"/>
        <v>9.9500000000000011</v>
      </c>
      <c r="R201" s="43">
        <f t="shared" si="15"/>
        <v>928.32</v>
      </c>
      <c r="S201" s="4"/>
      <c r="T201" s="3"/>
    </row>
  </sheetData>
  <phoneticPr fontId="4" type="noConversion"/>
  <conditionalFormatting sqref="E1">
    <cfRule type="top10" dxfId="67" priority="2" rank="10"/>
  </conditionalFormatting>
  <conditionalFormatting sqref="E1:E1048576">
    <cfRule type="top10" dxfId="66" priority="1" rank="10"/>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0ABF-C491-4E8B-8F44-9CC830520431}">
  <dimension ref="A1:I18"/>
  <sheetViews>
    <sheetView workbookViewId="0">
      <selection activeCell="F23" sqref="F23"/>
    </sheetView>
  </sheetViews>
  <sheetFormatPr defaultRowHeight="14.4" x14ac:dyDescent="0.3"/>
  <cols>
    <col min="1" max="1" width="16.44140625" bestFit="1" customWidth="1"/>
    <col min="2" max="2" width="12.6640625" bestFit="1" customWidth="1"/>
    <col min="3" max="3" width="13.21875" bestFit="1" customWidth="1"/>
    <col min="4" max="4" width="12.6640625" bestFit="1" customWidth="1"/>
    <col min="5" max="5" width="12" bestFit="1" customWidth="1"/>
    <col min="6" max="6" width="12.77734375" bestFit="1" customWidth="1"/>
    <col min="7" max="7" width="12" bestFit="1" customWidth="1"/>
    <col min="8" max="8" width="12.6640625" bestFit="1" customWidth="1"/>
    <col min="9" max="9" width="12" bestFit="1" customWidth="1"/>
  </cols>
  <sheetData>
    <row r="1" spans="1:9" ht="26.4" customHeight="1" x14ac:dyDescent="0.3">
      <c r="A1" s="31" t="s">
        <v>76</v>
      </c>
    </row>
    <row r="3" spans="1:9" x14ac:dyDescent="0.3">
      <c r="A3" s="32" t="s">
        <v>77</v>
      </c>
      <c r="B3" s="32"/>
    </row>
    <row r="4" spans="1:9" x14ac:dyDescent="0.3">
      <c r="A4" s="13" t="s">
        <v>78</v>
      </c>
      <c r="B4" s="13">
        <v>0.77525330606544063</v>
      </c>
    </row>
    <row r="5" spans="1:9" x14ac:dyDescent="0.3">
      <c r="A5" s="13" t="s">
        <v>79</v>
      </c>
      <c r="B5" s="13">
        <v>0.60101768856539572</v>
      </c>
    </row>
    <row r="6" spans="1:9" x14ac:dyDescent="0.3">
      <c r="A6" s="13" t="s">
        <v>80</v>
      </c>
      <c r="B6" s="13">
        <v>0.59898206452746405</v>
      </c>
    </row>
    <row r="7" spans="1:9" x14ac:dyDescent="0.3">
      <c r="A7" s="13" t="s">
        <v>81</v>
      </c>
      <c r="B7" s="13">
        <v>86.292231422140503</v>
      </c>
    </row>
    <row r="8" spans="1:9" x14ac:dyDescent="0.3">
      <c r="A8" s="13" t="s">
        <v>82</v>
      </c>
      <c r="B8" s="13">
        <v>198</v>
      </c>
    </row>
    <row r="10" spans="1:9" x14ac:dyDescent="0.3">
      <c r="A10" s="34" t="s">
        <v>83</v>
      </c>
    </row>
    <row r="11" spans="1:9" x14ac:dyDescent="0.3">
      <c r="A11" s="33"/>
      <c r="B11" s="37" t="s">
        <v>88</v>
      </c>
      <c r="C11" s="37" t="s">
        <v>89</v>
      </c>
      <c r="D11" s="37" t="s">
        <v>90</v>
      </c>
      <c r="E11" s="37" t="s">
        <v>91</v>
      </c>
      <c r="F11" s="37" t="s">
        <v>92</v>
      </c>
    </row>
    <row r="12" spans="1:9" x14ac:dyDescent="0.3">
      <c r="A12" s="13" t="s">
        <v>84</v>
      </c>
      <c r="B12" s="13">
        <v>1</v>
      </c>
      <c r="C12" s="13">
        <v>2198533.4734371388</v>
      </c>
      <c r="D12" s="13">
        <v>2198533.4734371388</v>
      </c>
      <c r="E12" s="13">
        <v>295.24984838363093</v>
      </c>
      <c r="F12" s="13">
        <v>5.7256811291163517E-41</v>
      </c>
    </row>
    <row r="13" spans="1:9" x14ac:dyDescent="0.3">
      <c r="A13" s="13" t="s">
        <v>85</v>
      </c>
      <c r="B13" s="13">
        <v>196</v>
      </c>
      <c r="C13" s="13">
        <v>1459484.4439472016</v>
      </c>
      <c r="D13" s="13">
        <v>7446.3492038122531</v>
      </c>
      <c r="E13" s="13"/>
      <c r="F13" s="13"/>
    </row>
    <row r="14" spans="1:9" x14ac:dyDescent="0.3">
      <c r="A14" s="13" t="s">
        <v>86</v>
      </c>
      <c r="B14" s="13">
        <v>197</v>
      </c>
      <c r="C14" s="13">
        <v>3658017.9173843404</v>
      </c>
      <c r="D14" s="13"/>
      <c r="E14" s="13"/>
      <c r="F14" s="13"/>
    </row>
    <row r="16" spans="1:9" x14ac:dyDescent="0.3">
      <c r="A16" s="36"/>
      <c r="B16" s="37" t="s">
        <v>93</v>
      </c>
      <c r="C16" s="37" t="s">
        <v>81</v>
      </c>
      <c r="D16" s="37" t="s">
        <v>94</v>
      </c>
      <c r="E16" s="37" t="s">
        <v>95</v>
      </c>
      <c r="F16" s="37" t="s">
        <v>96</v>
      </c>
      <c r="G16" s="37" t="s">
        <v>97</v>
      </c>
      <c r="H16" s="37" t="s">
        <v>98</v>
      </c>
      <c r="I16" s="37" t="s">
        <v>99</v>
      </c>
    </row>
    <row r="17" spans="1:9" x14ac:dyDescent="0.3">
      <c r="A17" s="35" t="s">
        <v>87</v>
      </c>
      <c r="B17" s="35">
        <v>-1.8682059238054194</v>
      </c>
      <c r="C17" s="35">
        <v>20.874228462035674</v>
      </c>
      <c r="D17" s="35">
        <v>-8.9498202398386045E-2</v>
      </c>
      <c r="E17" s="35">
        <v>0.92877736892871832</v>
      </c>
      <c r="F17" s="35">
        <v>-43.035132344177001</v>
      </c>
      <c r="G17" s="35">
        <v>39.298720496566162</v>
      </c>
      <c r="H17" s="35">
        <v>-43.035132344177001</v>
      </c>
      <c r="I17" s="35">
        <v>39.298720496566162</v>
      </c>
    </row>
    <row r="18" spans="1:9" x14ac:dyDescent="0.3">
      <c r="A18" s="35">
        <v>1036.0899999999999</v>
      </c>
      <c r="B18" s="35">
        <v>0.35127160679446701</v>
      </c>
      <c r="C18" s="35">
        <v>2.0443168376997656E-2</v>
      </c>
      <c r="D18" s="35">
        <v>17.182835865584931</v>
      </c>
      <c r="E18" s="35">
        <v>5.7256811291152913E-41</v>
      </c>
      <c r="F18" s="35">
        <v>0.31095479173681206</v>
      </c>
      <c r="G18" s="35">
        <v>0.39158842185212195</v>
      </c>
      <c r="H18" s="35">
        <v>0.31095479173681206</v>
      </c>
      <c r="I18" s="35">
        <v>0.39158842185212195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8619B-2A1C-425C-A524-C1618416E3A8}">
  <dimension ref="A1:B15"/>
  <sheetViews>
    <sheetView workbookViewId="0">
      <selection activeCell="E5" sqref="E5"/>
    </sheetView>
  </sheetViews>
  <sheetFormatPr defaultRowHeight="14.4" x14ac:dyDescent="0.3"/>
  <cols>
    <col min="1" max="1" width="16.109375" bestFit="1" customWidth="1"/>
    <col min="2" max="2" width="12.6640625" bestFit="1" customWidth="1"/>
  </cols>
  <sheetData>
    <row r="1" spans="1:2" x14ac:dyDescent="0.3">
      <c r="A1" s="30" t="s">
        <v>154</v>
      </c>
      <c r="B1" s="30"/>
    </row>
    <row r="2" spans="1:2" x14ac:dyDescent="0.3">
      <c r="A2" s="13"/>
      <c r="B2" s="13"/>
    </row>
    <row r="3" spans="1:2" x14ac:dyDescent="0.3">
      <c r="A3" s="13" t="s">
        <v>100</v>
      </c>
      <c r="B3" s="13">
        <v>976.3288442211051</v>
      </c>
    </row>
    <row r="4" spans="1:2" x14ac:dyDescent="0.3">
      <c r="A4" s="13" t="s">
        <v>81</v>
      </c>
      <c r="B4" s="13">
        <v>21.267091598225537</v>
      </c>
    </row>
    <row r="5" spans="1:2" x14ac:dyDescent="0.3">
      <c r="A5" s="13" t="s">
        <v>101</v>
      </c>
      <c r="B5" s="13">
        <v>980.18</v>
      </c>
    </row>
    <row r="6" spans="1:2" x14ac:dyDescent="0.3">
      <c r="A6" s="13" t="s">
        <v>102</v>
      </c>
      <c r="B6" s="13" t="e">
        <v>#N/A</v>
      </c>
    </row>
    <row r="7" spans="1:2" x14ac:dyDescent="0.3">
      <c r="A7" s="13" t="s">
        <v>103</v>
      </c>
      <c r="B7" s="13">
        <v>300.00924623153821</v>
      </c>
    </row>
    <row r="8" spans="1:2" x14ac:dyDescent="0.3">
      <c r="A8" s="13" t="s">
        <v>104</v>
      </c>
      <c r="B8" s="13">
        <v>90005.547824415742</v>
      </c>
    </row>
    <row r="9" spans="1:2" x14ac:dyDescent="0.3">
      <c r="A9" s="13" t="s">
        <v>105</v>
      </c>
      <c r="B9" s="13">
        <v>-0.10296167052772454</v>
      </c>
    </row>
    <row r="10" spans="1:2" x14ac:dyDescent="0.3">
      <c r="A10" s="13" t="s">
        <v>106</v>
      </c>
      <c r="B10" s="13">
        <v>0.14412008238856419</v>
      </c>
    </row>
    <row r="11" spans="1:2" x14ac:dyDescent="0.3">
      <c r="A11" s="13" t="s">
        <v>107</v>
      </c>
      <c r="B11" s="13">
        <v>1665.15</v>
      </c>
    </row>
    <row r="12" spans="1:2" x14ac:dyDescent="0.3">
      <c r="A12" s="13" t="s">
        <v>108</v>
      </c>
      <c r="B12" s="13">
        <v>258.51</v>
      </c>
    </row>
    <row r="13" spans="1:2" x14ac:dyDescent="0.3">
      <c r="A13" s="13" t="s">
        <v>109</v>
      </c>
      <c r="B13" s="13">
        <v>1923.66</v>
      </c>
    </row>
    <row r="14" spans="1:2" x14ac:dyDescent="0.3">
      <c r="A14" s="13" t="s">
        <v>110</v>
      </c>
      <c r="B14" s="13">
        <v>194289.43999999992</v>
      </c>
    </row>
    <row r="15" spans="1:2" x14ac:dyDescent="0.3">
      <c r="A15" s="13" t="s">
        <v>111</v>
      </c>
      <c r="B15" s="13">
        <v>199</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84388-9934-4AB7-A6B3-4E1DA867F67B}">
  <dimension ref="A1:Q61"/>
  <sheetViews>
    <sheetView workbookViewId="0">
      <selection activeCell="A3" sqref="A3:G10"/>
      <pivotSelection pane="bottomRight" activeRow="2" previousRow="2" click="1" r:id="rId2">
        <pivotArea type="all" dataOnly="0" outline="0" fieldPosition="0"/>
      </pivotSelection>
    </sheetView>
  </sheetViews>
  <sheetFormatPr defaultRowHeight="14.4" x14ac:dyDescent="0.3"/>
  <cols>
    <col min="1" max="1" width="19.44140625" customWidth="1"/>
    <col min="2" max="2" width="21.21875" customWidth="1"/>
    <col min="3" max="3" width="9" bestFit="1" customWidth="1"/>
    <col min="4" max="4" width="10.33203125" bestFit="1" customWidth="1"/>
    <col min="5" max="5" width="9" bestFit="1" customWidth="1"/>
    <col min="6" max="6" width="13.77734375" bestFit="1" customWidth="1"/>
    <col min="7" max="7" width="10.5546875" bestFit="1" customWidth="1"/>
  </cols>
  <sheetData>
    <row r="1" spans="1:17" x14ac:dyDescent="0.3">
      <c r="J1" s="18" t="s">
        <v>123</v>
      </c>
      <c r="K1" s="18"/>
      <c r="L1" s="18"/>
      <c r="M1" s="18"/>
      <c r="N1" s="18"/>
      <c r="O1" s="18"/>
      <c r="P1" s="18"/>
      <c r="Q1" s="18"/>
    </row>
    <row r="2" spans="1:17" ht="14.4" customHeight="1" x14ac:dyDescent="0.3">
      <c r="J2" s="18"/>
      <c r="K2" s="18"/>
      <c r="L2" s="18"/>
      <c r="M2" s="18"/>
      <c r="N2" s="18"/>
      <c r="O2" s="18"/>
      <c r="P2" s="18"/>
      <c r="Q2" s="18"/>
    </row>
    <row r="3" spans="1:17" x14ac:dyDescent="0.3">
      <c r="A3" s="12" t="s">
        <v>116</v>
      </c>
      <c r="B3" s="12" t="s">
        <v>115</v>
      </c>
      <c r="C3" s="13"/>
      <c r="D3" s="13"/>
      <c r="E3" s="13"/>
      <c r="F3" s="13"/>
      <c r="G3" s="13"/>
      <c r="J3" s="18"/>
      <c r="K3" s="18"/>
      <c r="L3" s="18"/>
      <c r="M3" s="18"/>
      <c r="N3" s="18"/>
      <c r="O3" s="18"/>
      <c r="P3" s="18"/>
      <c r="Q3" s="18"/>
    </row>
    <row r="4" spans="1:17" x14ac:dyDescent="0.3">
      <c r="A4" s="12" t="s">
        <v>112</v>
      </c>
      <c r="B4" s="13" t="s">
        <v>12</v>
      </c>
      <c r="C4" s="13" t="s">
        <v>15</v>
      </c>
      <c r="D4" s="13" t="s">
        <v>21</v>
      </c>
      <c r="E4" s="13" t="s">
        <v>27</v>
      </c>
      <c r="F4" s="13" t="s">
        <v>39</v>
      </c>
      <c r="G4" s="13" t="s">
        <v>113</v>
      </c>
    </row>
    <row r="5" spans="1:17" x14ac:dyDescent="0.3">
      <c r="A5" s="14" t="s">
        <v>34</v>
      </c>
      <c r="B5" s="13">
        <v>11297.150000000001</v>
      </c>
      <c r="C5" s="13">
        <v>12200.26</v>
      </c>
      <c r="D5" s="13">
        <v>6621.24</v>
      </c>
      <c r="E5" s="13">
        <v>4876.96</v>
      </c>
      <c r="F5" s="13">
        <v>8472.7199999999993</v>
      </c>
      <c r="G5" s="13">
        <v>43468.33</v>
      </c>
    </row>
    <row r="6" spans="1:17" x14ac:dyDescent="0.3">
      <c r="A6" s="14" t="s">
        <v>18</v>
      </c>
      <c r="B6" s="13">
        <v>11389.090000000002</v>
      </c>
      <c r="C6" s="13">
        <v>2401.4499999999998</v>
      </c>
      <c r="D6" s="13">
        <v>2869.54</v>
      </c>
      <c r="E6" s="13">
        <v>7592.3399999999992</v>
      </c>
      <c r="F6" s="13">
        <v>8189.2200000000012</v>
      </c>
      <c r="G6" s="13">
        <v>32441.640000000003</v>
      </c>
    </row>
    <row r="7" spans="1:17" x14ac:dyDescent="0.3">
      <c r="A7" s="14" t="s">
        <v>24</v>
      </c>
      <c r="B7" s="13">
        <v>8037.0100000000011</v>
      </c>
      <c r="C7" s="13">
        <v>8422.82</v>
      </c>
      <c r="D7" s="13">
        <v>8191.7099999999991</v>
      </c>
      <c r="E7" s="13">
        <v>6978.08</v>
      </c>
      <c r="F7" s="13">
        <v>3345.8</v>
      </c>
      <c r="G7" s="13">
        <v>34975.420000000006</v>
      </c>
    </row>
    <row r="8" spans="1:17" x14ac:dyDescent="0.3">
      <c r="A8" s="14" t="s">
        <v>20</v>
      </c>
      <c r="B8" s="13">
        <v>9588.0400000000009</v>
      </c>
      <c r="C8" s="13">
        <v>8393.630000000001</v>
      </c>
      <c r="D8" s="13">
        <v>11989.070000000003</v>
      </c>
      <c r="E8" s="13">
        <v>7982.73</v>
      </c>
      <c r="F8" s="13">
        <v>2295.3199999999997</v>
      </c>
      <c r="G8" s="13">
        <v>40248.79</v>
      </c>
    </row>
    <row r="9" spans="1:17" x14ac:dyDescent="0.3">
      <c r="A9" s="14" t="s">
        <v>11</v>
      </c>
      <c r="B9" s="13">
        <v>6691.17</v>
      </c>
      <c r="C9" s="13">
        <v>10509.429999999998</v>
      </c>
      <c r="D9" s="13">
        <v>11372.44</v>
      </c>
      <c r="E9" s="13">
        <v>9182.7800000000007</v>
      </c>
      <c r="F9" s="13">
        <v>6327.76</v>
      </c>
      <c r="G9" s="13">
        <v>44083.58</v>
      </c>
    </row>
    <row r="10" spans="1:17" x14ac:dyDescent="0.3">
      <c r="A10" s="14" t="s">
        <v>113</v>
      </c>
      <c r="B10" s="13">
        <v>47002.460000000006</v>
      </c>
      <c r="C10" s="13">
        <v>41927.589999999997</v>
      </c>
      <c r="D10" s="13">
        <v>41044</v>
      </c>
      <c r="E10" s="13">
        <v>36612.89</v>
      </c>
      <c r="F10" s="13">
        <v>28630.82</v>
      </c>
      <c r="G10" s="13">
        <v>195217.76</v>
      </c>
    </row>
    <row r="12" spans="1:17" ht="25.8" x14ac:dyDescent="0.5">
      <c r="K12" s="2"/>
    </row>
    <row r="13" spans="1:17" ht="25.8" x14ac:dyDescent="0.5">
      <c r="C13" s="2"/>
      <c r="K13" s="5"/>
      <c r="L13" s="6"/>
    </row>
    <row r="22" spans="1:16" x14ac:dyDescent="0.3">
      <c r="K22" s="17" t="s">
        <v>124</v>
      </c>
      <c r="L22" s="16"/>
      <c r="M22" s="16"/>
      <c r="N22" s="16"/>
      <c r="O22" s="16"/>
      <c r="P22" s="16"/>
    </row>
    <row r="23" spans="1:16" x14ac:dyDescent="0.3">
      <c r="K23" s="16"/>
      <c r="L23" s="16"/>
      <c r="M23" s="16"/>
      <c r="N23" s="16"/>
      <c r="O23" s="16"/>
      <c r="P23" s="16"/>
    </row>
    <row r="24" spans="1:16" x14ac:dyDescent="0.3">
      <c r="K24" s="16"/>
      <c r="L24" s="16"/>
      <c r="M24" s="16"/>
      <c r="N24" s="16"/>
      <c r="O24" s="16"/>
      <c r="P24" s="16"/>
    </row>
    <row r="31" spans="1:16" x14ac:dyDescent="0.3">
      <c r="A31" s="12" t="s">
        <v>112</v>
      </c>
      <c r="B31" s="13" t="s">
        <v>116</v>
      </c>
    </row>
    <row r="32" spans="1:16" x14ac:dyDescent="0.3">
      <c r="A32" s="14" t="s">
        <v>34</v>
      </c>
      <c r="B32" s="13">
        <v>43468.33</v>
      </c>
    </row>
    <row r="33" spans="1:16" x14ac:dyDescent="0.3">
      <c r="A33" s="14" t="s">
        <v>18</v>
      </c>
      <c r="B33" s="13">
        <v>32441.64</v>
      </c>
    </row>
    <row r="34" spans="1:16" x14ac:dyDescent="0.3">
      <c r="A34" s="14" t="s">
        <v>24</v>
      </c>
      <c r="B34" s="13">
        <v>34975.42</v>
      </c>
    </row>
    <row r="35" spans="1:16" x14ac:dyDescent="0.3">
      <c r="A35" s="14" t="s">
        <v>20</v>
      </c>
      <c r="B35" s="13">
        <v>40248.79</v>
      </c>
    </row>
    <row r="36" spans="1:16" x14ac:dyDescent="0.3">
      <c r="A36" s="14" t="s">
        <v>11</v>
      </c>
      <c r="B36" s="13">
        <v>44083.58</v>
      </c>
    </row>
    <row r="37" spans="1:16" x14ac:dyDescent="0.3">
      <c r="A37" s="14" t="s">
        <v>113</v>
      </c>
      <c r="B37" s="13">
        <v>195217.76</v>
      </c>
    </row>
    <row r="45" spans="1:16" ht="14.4" customHeight="1" x14ac:dyDescent="0.3">
      <c r="K45" s="15" t="s">
        <v>144</v>
      </c>
      <c r="L45" s="15"/>
      <c r="M45" s="15"/>
      <c r="N45" s="15"/>
      <c r="O45" s="15"/>
      <c r="P45" s="15"/>
    </row>
    <row r="46" spans="1:16" ht="15.6" x14ac:dyDescent="0.3">
      <c r="A46" s="7" t="s">
        <v>112</v>
      </c>
      <c r="B46" s="7" t="s">
        <v>116</v>
      </c>
      <c r="K46" s="15"/>
      <c r="L46" s="15"/>
      <c r="M46" s="15"/>
      <c r="N46" s="15"/>
      <c r="O46" s="15"/>
      <c r="P46" s="15"/>
    </row>
    <row r="47" spans="1:16" x14ac:dyDescent="0.3">
      <c r="A47" s="8" t="s">
        <v>130</v>
      </c>
      <c r="B47" s="9">
        <v>19029.96</v>
      </c>
      <c r="K47" s="15"/>
      <c r="L47" s="15"/>
      <c r="M47" s="15"/>
      <c r="N47" s="15"/>
      <c r="O47" s="15"/>
      <c r="P47" s="15"/>
    </row>
    <row r="48" spans="1:16" x14ac:dyDescent="0.3">
      <c r="A48" s="8" t="s">
        <v>131</v>
      </c>
      <c r="B48" s="9">
        <v>3212.17</v>
      </c>
    </row>
    <row r="49" spans="1:2" x14ac:dyDescent="0.3">
      <c r="A49" s="8" t="s">
        <v>132</v>
      </c>
      <c r="B49" s="9">
        <v>10091.699999999999</v>
      </c>
    </row>
    <row r="50" spans="1:2" x14ac:dyDescent="0.3">
      <c r="A50" s="8" t="s">
        <v>133</v>
      </c>
      <c r="B50" s="9">
        <v>11120.04</v>
      </c>
    </row>
    <row r="51" spans="1:2" x14ac:dyDescent="0.3">
      <c r="A51" s="8" t="s">
        <v>134</v>
      </c>
      <c r="B51" s="9">
        <v>14006.359999999999</v>
      </c>
    </row>
    <row r="52" spans="1:2" x14ac:dyDescent="0.3">
      <c r="A52" s="8" t="s">
        <v>135</v>
      </c>
      <c r="B52" s="9">
        <v>14914.650000000001</v>
      </c>
    </row>
    <row r="53" spans="1:2" x14ac:dyDescent="0.3">
      <c r="A53" s="8" t="s">
        <v>136</v>
      </c>
      <c r="B53" s="9">
        <v>11609.039999999999</v>
      </c>
    </row>
    <row r="54" spans="1:2" x14ac:dyDescent="0.3">
      <c r="A54" s="8" t="s">
        <v>137</v>
      </c>
      <c r="B54" s="9">
        <v>20187.509999999998</v>
      </c>
    </row>
    <row r="55" spans="1:2" x14ac:dyDescent="0.3">
      <c r="A55" s="8" t="s">
        <v>138</v>
      </c>
      <c r="B55" s="9">
        <v>17655.219999999998</v>
      </c>
    </row>
    <row r="56" spans="1:2" x14ac:dyDescent="0.3">
      <c r="A56" s="8" t="s">
        <v>139</v>
      </c>
      <c r="B56" s="9">
        <v>18507.339999999997</v>
      </c>
    </row>
    <row r="57" spans="1:2" x14ac:dyDescent="0.3">
      <c r="A57" s="8" t="s">
        <v>140</v>
      </c>
      <c r="B57" s="9">
        <v>20135.030000000002</v>
      </c>
    </row>
    <row r="58" spans="1:2" x14ac:dyDescent="0.3">
      <c r="A58" s="8" t="s">
        <v>141</v>
      </c>
      <c r="B58" s="9">
        <v>14215.240000000002</v>
      </c>
    </row>
    <row r="59" spans="1:2" x14ac:dyDescent="0.3">
      <c r="A59" s="8" t="s">
        <v>142</v>
      </c>
      <c r="B59" s="9">
        <v>20533.499999999996</v>
      </c>
    </row>
    <row r="60" spans="1:2" x14ac:dyDescent="0.3">
      <c r="A60" s="8" t="s">
        <v>143</v>
      </c>
      <c r="B60" s="9"/>
    </row>
    <row r="61" spans="1:2" x14ac:dyDescent="0.3">
      <c r="A61" s="10" t="s">
        <v>113</v>
      </c>
      <c r="B61" s="11">
        <v>195217.75999999998</v>
      </c>
    </row>
  </sheetData>
  <mergeCells count="4">
    <mergeCell ref="K13:L13"/>
    <mergeCell ref="J1:Q3"/>
    <mergeCell ref="K22:P24"/>
    <mergeCell ref="K45:P47"/>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6221-6364-4F19-9FA9-95EB122BC5AB}">
  <dimension ref="A1:AU655"/>
  <sheetViews>
    <sheetView showGridLines="0" topLeftCell="A18" workbookViewId="0">
      <selection activeCell="K68" sqref="K68"/>
    </sheetView>
  </sheetViews>
  <sheetFormatPr defaultRowHeight="14.4" x14ac:dyDescent="0.3"/>
  <cols>
    <col min="1" max="1" width="12.44140625" bestFit="1" customWidth="1"/>
    <col min="2" max="2" width="15.5546875" bestFit="1" customWidth="1"/>
    <col min="3" max="3" width="9" bestFit="1" customWidth="1"/>
    <col min="4" max="4" width="10.33203125" bestFit="1" customWidth="1"/>
    <col min="5" max="5" width="9" bestFit="1" customWidth="1"/>
    <col min="6" max="6" width="13.77734375" bestFit="1" customWidth="1"/>
    <col min="7" max="7" width="10.5546875" bestFit="1" customWidth="1"/>
    <col min="9" max="9" width="10" bestFit="1" customWidth="1"/>
    <col min="10" max="10" width="12" bestFit="1" customWidth="1"/>
    <col min="11" max="11" width="11.109375" bestFit="1" customWidth="1"/>
    <col min="12" max="12" width="15.33203125" bestFit="1" customWidth="1"/>
  </cols>
  <sheetData>
    <row r="1" spans="1:47" ht="23.4" x14ac:dyDescent="0.3">
      <c r="A1" s="20"/>
      <c r="B1" s="20"/>
      <c r="C1" s="20"/>
      <c r="D1" s="20"/>
      <c r="E1" s="20"/>
      <c r="F1" s="20"/>
      <c r="G1" s="20"/>
      <c r="H1" s="20"/>
      <c r="I1" s="21" t="s">
        <v>145</v>
      </c>
      <c r="J1" s="21"/>
      <c r="K1" s="21"/>
      <c r="L1" s="21"/>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row>
    <row r="2" spans="1:47" x14ac:dyDescent="0.3">
      <c r="A2" s="20"/>
      <c r="B2" s="20"/>
      <c r="C2" s="20"/>
      <c r="D2" s="20"/>
      <c r="E2" s="20"/>
      <c r="F2" s="20"/>
      <c r="G2" s="20"/>
      <c r="H2" s="20"/>
      <c r="I2" s="22" t="s">
        <v>146</v>
      </c>
      <c r="J2" s="22" t="s">
        <v>147</v>
      </c>
      <c r="K2" s="22" t="s">
        <v>148</v>
      </c>
      <c r="L2" s="22" t="s">
        <v>149</v>
      </c>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row>
    <row r="3" spans="1:47" x14ac:dyDescent="0.3">
      <c r="A3" s="20"/>
      <c r="B3" s="20"/>
      <c r="C3" s="20"/>
      <c r="D3" s="20"/>
      <c r="E3" s="20"/>
      <c r="F3" s="20"/>
      <c r="G3" s="20"/>
      <c r="H3" s="20"/>
      <c r="I3" s="23">
        <f>SUM([1]Dataset!M:M)</f>
        <v>195217.75999999992</v>
      </c>
      <c r="J3" s="23">
        <f ca="1">SUM([1]Dataset!Q:Q)</f>
        <v>46070.538153703703</v>
      </c>
      <c r="K3" s="23">
        <f>COUNTA([1]Dataset!I:I)-1</f>
        <v>200</v>
      </c>
      <c r="L3" s="23">
        <f>AVERAGE([1]Dataset!O:O)</f>
        <v>183504.69439999998</v>
      </c>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row>
    <row r="4" spans="1:47"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row>
    <row r="5" spans="1:47"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row>
    <row r="6" spans="1:47"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row>
    <row r="7" spans="1:47" x14ac:dyDescent="0.3">
      <c r="A7" s="25" t="s">
        <v>150</v>
      </c>
      <c r="B7" s="24"/>
      <c r="C7" s="24"/>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row>
    <row r="8" spans="1:47" x14ac:dyDescent="0.3">
      <c r="A8" s="24"/>
      <c r="B8" s="24"/>
      <c r="C8" s="2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row>
    <row r="9" spans="1:47"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row>
    <row r="10" spans="1:47"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row>
    <row r="11" spans="1:47"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row>
    <row r="12" spans="1:47"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row>
    <row r="13" spans="1:47"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row>
    <row r="14" spans="1:47"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row>
    <row r="15" spans="1:47"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row>
    <row r="16" spans="1:47"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row>
    <row r="17" spans="1:47"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row>
    <row r="18" spans="1:47"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row>
    <row r="19" spans="1:47"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row>
    <row r="20" spans="1:47"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row>
    <row r="21" spans="1:47"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row>
    <row r="22" spans="1:47"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row>
    <row r="23" spans="1:47"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row>
    <row r="24" spans="1:47"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row>
    <row r="25" spans="1:47"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row>
    <row r="26" spans="1:47"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row>
    <row r="27" spans="1:47"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row>
    <row r="28" spans="1:47" x14ac:dyDescent="0.3">
      <c r="A28" s="27" t="s">
        <v>151</v>
      </c>
      <c r="B28" s="26"/>
      <c r="C28" s="26"/>
      <c r="D28" s="26"/>
      <c r="E28" s="26"/>
      <c r="F28" s="26"/>
      <c r="G28" s="26"/>
      <c r="H28" s="26"/>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row>
    <row r="29" spans="1:47" x14ac:dyDescent="0.3">
      <c r="A29" s="26"/>
      <c r="B29" s="26"/>
      <c r="C29" s="26"/>
      <c r="D29" s="26"/>
      <c r="E29" s="26"/>
      <c r="F29" s="26"/>
      <c r="G29" s="26"/>
      <c r="H29" s="26"/>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row>
    <row r="30" spans="1:47" x14ac:dyDescent="0.3">
      <c r="A30" s="26"/>
      <c r="B30" s="26"/>
      <c r="C30" s="26"/>
      <c r="D30" s="26"/>
      <c r="E30" s="26"/>
      <c r="F30" s="26"/>
      <c r="G30" s="26"/>
      <c r="H30" s="26"/>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row>
    <row r="31" spans="1:47"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row>
    <row r="32" spans="1:47"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row>
    <row r="33" spans="1:47"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row>
    <row r="34" spans="1:47"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row>
    <row r="35" spans="1:47"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row>
    <row r="36" spans="1:47"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row>
    <row r="37" spans="1:47"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row>
    <row r="38" spans="1:47"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row>
    <row r="39" spans="1:47"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row>
    <row r="40" spans="1:47"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row>
    <row r="41" spans="1:47"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row>
    <row r="42" spans="1:47"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row>
    <row r="43" spans="1:47"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row>
    <row r="44" spans="1:47"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row>
    <row r="45" spans="1:47"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row>
    <row r="46" spans="1:47"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row>
    <row r="47" spans="1:47"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row>
    <row r="48" spans="1:47"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row>
    <row r="49" spans="1:47"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row>
    <row r="50" spans="1:47"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row>
    <row r="51" spans="1:47" ht="14.4" customHeight="1" x14ac:dyDescent="0.3">
      <c r="A51" s="26" t="s">
        <v>152</v>
      </c>
      <c r="B51" s="26"/>
      <c r="C51" s="26"/>
      <c r="D51" s="26"/>
      <c r="E51" s="26"/>
      <c r="F51" s="26"/>
      <c r="G51" s="26"/>
      <c r="H51" s="26"/>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row>
    <row r="52" spans="1:47" x14ac:dyDescent="0.3">
      <c r="A52" s="26"/>
      <c r="B52" s="26"/>
      <c r="C52" s="26"/>
      <c r="D52" s="26"/>
      <c r="E52" s="26"/>
      <c r="F52" s="26"/>
      <c r="G52" s="26"/>
      <c r="H52" s="26"/>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row>
    <row r="53" spans="1:47" x14ac:dyDescent="0.3">
      <c r="A53" s="26"/>
      <c r="B53" s="26"/>
      <c r="C53" s="26"/>
      <c r="D53" s="26"/>
      <c r="E53" s="26"/>
      <c r="F53" s="26"/>
      <c r="G53" s="26"/>
      <c r="H53" s="26"/>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row>
    <row r="54" spans="1:47"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row>
    <row r="55" spans="1:47"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row>
    <row r="56" spans="1:47"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row>
    <row r="57" spans="1:47"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row>
    <row r="58" spans="1:47"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row>
    <row r="59" spans="1:47"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row>
    <row r="60" spans="1:47"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row>
    <row r="61" spans="1:47"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row>
    <row r="62" spans="1:47"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row>
    <row r="63" spans="1:47"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row>
    <row r="64" spans="1:47"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row>
    <row r="65" spans="1:47"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row>
    <row r="66" spans="1:47"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row>
    <row r="67" spans="1:47"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row>
    <row r="68" spans="1:47"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row>
    <row r="69" spans="1:47"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row>
    <row r="70" spans="1:47"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row>
    <row r="71" spans="1:47"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row>
    <row r="72" spans="1:47" ht="14.4" customHeight="1" x14ac:dyDescent="0.3">
      <c r="A72" s="26" t="s">
        <v>144</v>
      </c>
      <c r="B72" s="26"/>
      <c r="C72" s="26"/>
      <c r="D72" s="26"/>
      <c r="E72" s="26"/>
      <c r="F72" s="26"/>
      <c r="G72" s="26"/>
      <c r="H72" s="26"/>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row>
    <row r="73" spans="1:47" ht="14.4" customHeight="1" x14ac:dyDescent="0.3">
      <c r="A73" s="26"/>
      <c r="B73" s="26"/>
      <c r="C73" s="26"/>
      <c r="D73" s="26"/>
      <c r="E73" s="26"/>
      <c r="F73" s="26"/>
      <c r="G73" s="26"/>
      <c r="H73" s="26"/>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row>
    <row r="74" spans="1:47" ht="14.4" customHeight="1" x14ac:dyDescent="0.3">
      <c r="A74" s="26"/>
      <c r="B74" s="26"/>
      <c r="C74" s="26"/>
      <c r="D74" s="26"/>
      <c r="E74" s="26"/>
      <c r="F74" s="26"/>
      <c r="G74" s="26"/>
      <c r="H74" s="26"/>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row>
    <row r="75" spans="1:47"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row>
    <row r="76" spans="1:47" x14ac:dyDescent="0.3">
      <c r="A76" s="29" t="s">
        <v>153</v>
      </c>
      <c r="B76" s="29"/>
      <c r="C76" s="29"/>
      <c r="D76" s="29"/>
      <c r="E76" s="29"/>
      <c r="F76" s="29"/>
      <c r="G76" s="29"/>
      <c r="H76" s="29"/>
      <c r="I76" s="29"/>
      <c r="J76" s="29"/>
      <c r="K76" s="29"/>
      <c r="L76" s="29"/>
      <c r="M76" s="29"/>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row>
    <row r="77" spans="1:47" x14ac:dyDescent="0.3">
      <c r="A77" s="29"/>
      <c r="B77" s="29"/>
      <c r="C77" s="29"/>
      <c r="D77" s="29"/>
      <c r="E77" s="29"/>
      <c r="F77" s="29"/>
      <c r="G77" s="29"/>
      <c r="H77" s="29"/>
      <c r="I77" s="29"/>
      <c r="J77" s="29"/>
      <c r="K77" s="29"/>
      <c r="L77" s="29"/>
      <c r="M77" s="29"/>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row>
    <row r="78" spans="1:47" x14ac:dyDescent="0.3">
      <c r="A78" s="29"/>
      <c r="B78" s="29"/>
      <c r="C78" s="29"/>
      <c r="D78" s="29"/>
      <c r="E78" s="29"/>
      <c r="F78" s="29"/>
      <c r="G78" s="29"/>
      <c r="H78" s="29"/>
      <c r="I78" s="29"/>
      <c r="J78" s="29"/>
      <c r="K78" s="29"/>
      <c r="L78" s="29"/>
      <c r="M78" s="29"/>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row>
    <row r="79" spans="1:47"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row>
    <row r="80" spans="1:47" x14ac:dyDescent="0.3">
      <c r="A80" s="12" t="s">
        <v>116</v>
      </c>
      <c r="B80" s="12" t="s">
        <v>115</v>
      </c>
      <c r="C80" s="13"/>
      <c r="D80" s="13"/>
      <c r="E80" s="13"/>
      <c r="F80" s="13"/>
      <c r="G80" s="13"/>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row>
    <row r="81" spans="1:47" x14ac:dyDescent="0.3">
      <c r="A81" s="12" t="s">
        <v>112</v>
      </c>
      <c r="B81" s="13" t="s">
        <v>12</v>
      </c>
      <c r="C81" s="13" t="s">
        <v>15</v>
      </c>
      <c r="D81" s="13" t="s">
        <v>21</v>
      </c>
      <c r="E81" s="13" t="s">
        <v>27</v>
      </c>
      <c r="F81" s="13" t="s">
        <v>39</v>
      </c>
      <c r="G81" s="13" t="s">
        <v>113</v>
      </c>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row>
    <row r="82" spans="1:47" x14ac:dyDescent="0.3">
      <c r="A82" s="14" t="s">
        <v>34</v>
      </c>
      <c r="B82" s="28">
        <v>11297.150000000001</v>
      </c>
      <c r="C82" s="28">
        <v>12200.26</v>
      </c>
      <c r="D82" s="28">
        <v>6621.24</v>
      </c>
      <c r="E82" s="28">
        <v>4876.96</v>
      </c>
      <c r="F82" s="28">
        <v>8472.7199999999993</v>
      </c>
      <c r="G82" s="28">
        <v>43468.33</v>
      </c>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row>
    <row r="83" spans="1:47" x14ac:dyDescent="0.3">
      <c r="A83" s="14" t="s">
        <v>18</v>
      </c>
      <c r="B83" s="28">
        <v>11389.090000000002</v>
      </c>
      <c r="C83" s="28">
        <v>2401.4499999999998</v>
      </c>
      <c r="D83" s="28">
        <v>2869.54</v>
      </c>
      <c r="E83" s="28">
        <v>7592.3399999999992</v>
      </c>
      <c r="F83" s="28">
        <v>8189.2200000000012</v>
      </c>
      <c r="G83" s="28">
        <v>32441.640000000003</v>
      </c>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row>
    <row r="84" spans="1:47" x14ac:dyDescent="0.3">
      <c r="A84" s="14" t="s">
        <v>24</v>
      </c>
      <c r="B84" s="28">
        <v>8037.0100000000011</v>
      </c>
      <c r="C84" s="28">
        <v>8422.82</v>
      </c>
      <c r="D84" s="28">
        <v>8191.7099999999991</v>
      </c>
      <c r="E84" s="28">
        <v>6978.08</v>
      </c>
      <c r="F84" s="28">
        <v>3345.8</v>
      </c>
      <c r="G84" s="28">
        <v>34975.420000000006</v>
      </c>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row>
    <row r="85" spans="1:47" x14ac:dyDescent="0.3">
      <c r="A85" s="14" t="s">
        <v>20</v>
      </c>
      <c r="B85" s="28">
        <v>9588.0400000000009</v>
      </c>
      <c r="C85" s="28">
        <v>8393.630000000001</v>
      </c>
      <c r="D85" s="28">
        <v>11989.070000000003</v>
      </c>
      <c r="E85" s="28">
        <v>7982.73</v>
      </c>
      <c r="F85" s="28">
        <v>2295.3199999999997</v>
      </c>
      <c r="G85" s="28">
        <v>40248.79</v>
      </c>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row>
    <row r="86" spans="1:47" x14ac:dyDescent="0.3">
      <c r="A86" s="14" t="s">
        <v>11</v>
      </c>
      <c r="B86" s="28">
        <v>6691.17</v>
      </c>
      <c r="C86" s="28">
        <v>10509.429999999998</v>
      </c>
      <c r="D86" s="28">
        <v>11372.44</v>
      </c>
      <c r="E86" s="28">
        <v>9182.7800000000007</v>
      </c>
      <c r="F86" s="28">
        <v>6327.76</v>
      </c>
      <c r="G86" s="28">
        <v>44083.58</v>
      </c>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row>
    <row r="87" spans="1:47" x14ac:dyDescent="0.3">
      <c r="A87" s="14" t="s">
        <v>113</v>
      </c>
      <c r="B87" s="28">
        <v>47002.460000000006</v>
      </c>
      <c r="C87" s="28">
        <v>41927.589999999997</v>
      </c>
      <c r="D87" s="28">
        <v>41044</v>
      </c>
      <c r="E87" s="28">
        <v>36612.89</v>
      </c>
      <c r="F87" s="28">
        <v>28630.82</v>
      </c>
      <c r="G87" s="28">
        <v>195217.76</v>
      </c>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row>
    <row r="88" spans="1:47"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row>
    <row r="89" spans="1:47"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row>
    <row r="90" spans="1:47"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row>
    <row r="91" spans="1:47"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row>
    <row r="92" spans="1:47"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row>
    <row r="93" spans="1:47"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row>
    <row r="94" spans="1:47"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row>
    <row r="95" spans="1:47"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row>
    <row r="96" spans="1:47"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row>
    <row r="97" spans="1:47"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row>
    <row r="98" spans="1:47"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row>
    <row r="99" spans="1:47"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row>
    <row r="100" spans="1:47"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row>
    <row r="101" spans="1:47"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row>
    <row r="102" spans="1:47"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row>
    <row r="103" spans="1:47"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row>
    <row r="104" spans="1:47"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row>
    <row r="105" spans="1:47"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row>
    <row r="106" spans="1:47"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row>
    <row r="107" spans="1:47"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row>
    <row r="108" spans="1:47"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row>
    <row r="109" spans="1:47"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row>
    <row r="110" spans="1:47"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row>
    <row r="111" spans="1:47"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row>
    <row r="112" spans="1:47"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row>
    <row r="113" spans="1:47"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row>
    <row r="114" spans="1:47"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row>
    <row r="115" spans="1:47"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row>
    <row r="116" spans="1:47"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row>
    <row r="117" spans="1:47"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row>
    <row r="118" spans="1:47"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row>
    <row r="119" spans="1:47"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row>
    <row r="120" spans="1:47"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row>
    <row r="121" spans="1:47"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row>
    <row r="122" spans="1:47"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row>
    <row r="123" spans="1:47"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row>
    <row r="124" spans="1:47"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row>
    <row r="125" spans="1:47"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row>
    <row r="126" spans="1:47"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row>
    <row r="127" spans="1:47"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row>
    <row r="128" spans="1:47"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row>
    <row r="129" spans="1:47"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row>
    <row r="130" spans="1:47"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row>
    <row r="131" spans="1:47"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row>
    <row r="132" spans="1:47"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row>
    <row r="133" spans="1:47"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row>
    <row r="134" spans="1:47"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row>
    <row r="135" spans="1:47"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row>
    <row r="136" spans="1:47"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row>
    <row r="137" spans="1:47"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row>
    <row r="138" spans="1:47"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row>
    <row r="139" spans="1:47"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row>
    <row r="140" spans="1:47"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row>
    <row r="141" spans="1:47"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row>
    <row r="142" spans="1:47"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row>
    <row r="143" spans="1:47"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row>
    <row r="144" spans="1:47"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row>
    <row r="145" spans="1:47"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row>
    <row r="146" spans="1:47" x14ac:dyDescent="0.3">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row>
    <row r="147" spans="1:47" x14ac:dyDescent="0.3">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row>
    <row r="148" spans="1:47" x14ac:dyDescent="0.3">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row>
    <row r="149" spans="1:47" x14ac:dyDescent="0.3">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row>
    <row r="150" spans="1:47" x14ac:dyDescent="0.3">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row>
    <row r="151" spans="1:47" x14ac:dyDescent="0.3">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row>
    <row r="152" spans="1:47" x14ac:dyDescent="0.3">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row>
    <row r="153" spans="1:47" x14ac:dyDescent="0.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row>
    <row r="154" spans="1:47" x14ac:dyDescent="0.3">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row>
    <row r="155" spans="1:47"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row>
    <row r="156" spans="1:47"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row>
    <row r="157" spans="1:47" x14ac:dyDescent="0.3">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row>
    <row r="158" spans="1:47" x14ac:dyDescent="0.3">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row>
    <row r="159" spans="1:47" x14ac:dyDescent="0.3">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row>
    <row r="160" spans="1:47" x14ac:dyDescent="0.3">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row>
    <row r="161" spans="1:47" x14ac:dyDescent="0.3">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row>
    <row r="162" spans="1:47" x14ac:dyDescent="0.3">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row>
    <row r="163" spans="1:47" x14ac:dyDescent="0.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row>
    <row r="164" spans="1:47" x14ac:dyDescent="0.3">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row>
    <row r="165" spans="1:47" x14ac:dyDescent="0.3">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row>
    <row r="166" spans="1:47" x14ac:dyDescent="0.3">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row>
    <row r="167" spans="1:47" x14ac:dyDescent="0.3">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row>
    <row r="168" spans="1:47" x14ac:dyDescent="0.3">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row>
    <row r="169" spans="1:47" x14ac:dyDescent="0.3">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row>
    <row r="170" spans="1:47" x14ac:dyDescent="0.3">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row>
    <row r="171" spans="1:47" x14ac:dyDescent="0.3">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row>
    <row r="172" spans="1:47" x14ac:dyDescent="0.3">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row>
    <row r="173" spans="1:47" x14ac:dyDescent="0.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row>
    <row r="174" spans="1:47" x14ac:dyDescent="0.3">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row>
    <row r="175" spans="1:47" x14ac:dyDescent="0.3">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row>
    <row r="176" spans="1:47" x14ac:dyDescent="0.3">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row>
    <row r="177" spans="1:47" x14ac:dyDescent="0.3">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row>
    <row r="178" spans="1:47" x14ac:dyDescent="0.3">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row>
    <row r="179" spans="1:47" x14ac:dyDescent="0.3">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row>
    <row r="180" spans="1:47" x14ac:dyDescent="0.3">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row>
    <row r="181" spans="1:47" x14ac:dyDescent="0.3">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row>
    <row r="182" spans="1:47" x14ac:dyDescent="0.3">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row>
    <row r="183" spans="1:47" x14ac:dyDescent="0.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row>
    <row r="184" spans="1:47" x14ac:dyDescent="0.3">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row>
    <row r="185" spans="1:47" x14ac:dyDescent="0.3">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row>
    <row r="186" spans="1:47" x14ac:dyDescent="0.3">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row>
    <row r="187" spans="1:47" x14ac:dyDescent="0.3">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row>
    <row r="188" spans="1:47" x14ac:dyDescent="0.3">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row>
    <row r="189" spans="1:47" x14ac:dyDescent="0.3">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row>
    <row r="190" spans="1:47" x14ac:dyDescent="0.3">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row>
    <row r="191" spans="1:47" x14ac:dyDescent="0.3">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row>
    <row r="192" spans="1:47" x14ac:dyDescent="0.3">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row>
    <row r="193" spans="1:47" x14ac:dyDescent="0.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row>
    <row r="194" spans="1:47" x14ac:dyDescent="0.3">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row>
    <row r="195" spans="1:47" x14ac:dyDescent="0.3">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row>
    <row r="196" spans="1:47" x14ac:dyDescent="0.3">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row>
    <row r="197" spans="1:47" x14ac:dyDescent="0.3">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row>
    <row r="198" spans="1:47" x14ac:dyDescent="0.3">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row>
    <row r="199" spans="1:47" x14ac:dyDescent="0.3">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row>
    <row r="200" spans="1:47" x14ac:dyDescent="0.3">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row>
    <row r="201" spans="1:47" x14ac:dyDescent="0.3">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row>
    <row r="202" spans="1:47" x14ac:dyDescent="0.3">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row>
    <row r="203" spans="1:47" x14ac:dyDescent="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row>
    <row r="204" spans="1:47" x14ac:dyDescent="0.3">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row>
    <row r="205" spans="1:47" x14ac:dyDescent="0.3">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row>
    <row r="206" spans="1:47" x14ac:dyDescent="0.3">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row>
    <row r="207" spans="1:47" x14ac:dyDescent="0.3">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row>
    <row r="208" spans="1:47" x14ac:dyDescent="0.3">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row>
    <row r="209" spans="1:47" x14ac:dyDescent="0.3">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row>
    <row r="210" spans="1:47" x14ac:dyDescent="0.3">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row>
    <row r="211" spans="1:47" x14ac:dyDescent="0.3">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row>
    <row r="212" spans="1:47" x14ac:dyDescent="0.3">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row>
    <row r="213" spans="1:47" x14ac:dyDescent="0.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row>
    <row r="214" spans="1:47" x14ac:dyDescent="0.3">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row>
    <row r="215" spans="1:47" x14ac:dyDescent="0.3">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row>
    <row r="216" spans="1:47" x14ac:dyDescent="0.3">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row>
    <row r="217" spans="1:47" x14ac:dyDescent="0.3">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row>
    <row r="218" spans="1:47" x14ac:dyDescent="0.3">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row>
    <row r="219" spans="1:47" x14ac:dyDescent="0.3">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row>
    <row r="220" spans="1:47" x14ac:dyDescent="0.3">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row>
    <row r="221" spans="1:47" x14ac:dyDescent="0.3">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row>
    <row r="222" spans="1:47" x14ac:dyDescent="0.3">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row>
    <row r="223" spans="1:47" x14ac:dyDescent="0.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row>
    <row r="224" spans="1:47" x14ac:dyDescent="0.3">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row>
    <row r="225" spans="1:47" x14ac:dyDescent="0.3">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row>
    <row r="226" spans="1:47" x14ac:dyDescent="0.3">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row>
    <row r="227" spans="1:47" x14ac:dyDescent="0.3">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row>
    <row r="228" spans="1:47" x14ac:dyDescent="0.3">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row>
    <row r="229" spans="1:47" x14ac:dyDescent="0.3">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row>
    <row r="230" spans="1:47" x14ac:dyDescent="0.3">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row>
    <row r="231" spans="1:47" x14ac:dyDescent="0.3">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row>
    <row r="232" spans="1:47" x14ac:dyDescent="0.3">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row>
    <row r="233" spans="1:47" x14ac:dyDescent="0.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row>
    <row r="234" spans="1:47" x14ac:dyDescent="0.3">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row>
    <row r="235" spans="1:47" x14ac:dyDescent="0.3">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row>
    <row r="236" spans="1:47" x14ac:dyDescent="0.3">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row>
    <row r="237" spans="1:47" x14ac:dyDescent="0.3">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row>
    <row r="238" spans="1:47" x14ac:dyDescent="0.3">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row>
    <row r="239" spans="1:47" x14ac:dyDescent="0.3">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row>
    <row r="240" spans="1:47" x14ac:dyDescent="0.3">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row>
    <row r="241" spans="1:47" x14ac:dyDescent="0.3">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row>
    <row r="242" spans="1:47" x14ac:dyDescent="0.3">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row>
    <row r="243" spans="1:47" x14ac:dyDescent="0.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row>
    <row r="244" spans="1:47" x14ac:dyDescent="0.3">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row>
    <row r="245" spans="1:47" x14ac:dyDescent="0.3">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row>
    <row r="246" spans="1:47" x14ac:dyDescent="0.3">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row>
    <row r="247" spans="1:47" x14ac:dyDescent="0.3">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row>
    <row r="248" spans="1:47" x14ac:dyDescent="0.3">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row>
    <row r="249" spans="1:47" x14ac:dyDescent="0.3">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row>
    <row r="250" spans="1:47" x14ac:dyDescent="0.3">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row>
    <row r="251" spans="1:47" x14ac:dyDescent="0.3">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row>
    <row r="252" spans="1:47" x14ac:dyDescent="0.3">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row>
    <row r="253" spans="1:47" x14ac:dyDescent="0.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row>
    <row r="254" spans="1:47" x14ac:dyDescent="0.3">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row>
    <row r="255" spans="1:47" x14ac:dyDescent="0.3">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row>
    <row r="256" spans="1:47" x14ac:dyDescent="0.3">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row>
    <row r="257" spans="1:47" x14ac:dyDescent="0.3">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row>
    <row r="258" spans="1:47" x14ac:dyDescent="0.3">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row>
    <row r="259" spans="1:47" x14ac:dyDescent="0.3">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row>
    <row r="260" spans="1:47" x14ac:dyDescent="0.3">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row>
    <row r="261" spans="1:47" x14ac:dyDescent="0.3">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row>
    <row r="262" spans="1:47" x14ac:dyDescent="0.3">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row>
    <row r="263" spans="1:47" x14ac:dyDescent="0.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row>
    <row r="264" spans="1:47" x14ac:dyDescent="0.3">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row>
    <row r="265" spans="1:47" x14ac:dyDescent="0.3">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row>
    <row r="266" spans="1:47" x14ac:dyDescent="0.3">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row>
    <row r="267" spans="1:47" x14ac:dyDescent="0.3">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row>
    <row r="268" spans="1:47" x14ac:dyDescent="0.3">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row>
    <row r="269" spans="1:47" x14ac:dyDescent="0.3">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row>
    <row r="270" spans="1:47" x14ac:dyDescent="0.3">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row>
    <row r="271" spans="1:47" x14ac:dyDescent="0.3">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row>
    <row r="272" spans="1:47" x14ac:dyDescent="0.3">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row>
    <row r="273" spans="1:47" x14ac:dyDescent="0.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row>
    <row r="274" spans="1:47" x14ac:dyDescent="0.3">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row>
    <row r="275" spans="1:47" x14ac:dyDescent="0.3">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row>
    <row r="276" spans="1:47" x14ac:dyDescent="0.3">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row>
    <row r="277" spans="1:47" x14ac:dyDescent="0.3">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row>
    <row r="278" spans="1:47" x14ac:dyDescent="0.3">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row>
    <row r="279" spans="1:47" x14ac:dyDescent="0.3">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row>
    <row r="280" spans="1:47" x14ac:dyDescent="0.3">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row>
    <row r="281" spans="1:47" x14ac:dyDescent="0.3">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row>
    <row r="282" spans="1:47" x14ac:dyDescent="0.3">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row>
    <row r="283" spans="1:47" x14ac:dyDescent="0.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row>
    <row r="284" spans="1:47" x14ac:dyDescent="0.3">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row>
    <row r="285" spans="1:47" x14ac:dyDescent="0.3">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row>
    <row r="286" spans="1:47" x14ac:dyDescent="0.3">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row>
    <row r="287" spans="1:47" x14ac:dyDescent="0.3">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row>
    <row r="288" spans="1:47" x14ac:dyDescent="0.3">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row>
    <row r="289" spans="1:47" x14ac:dyDescent="0.3">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row>
    <row r="290" spans="1:47" x14ac:dyDescent="0.3">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row>
    <row r="291" spans="1:47" x14ac:dyDescent="0.3">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row>
    <row r="292" spans="1:47" x14ac:dyDescent="0.3">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row>
    <row r="293" spans="1:47" x14ac:dyDescent="0.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row>
    <row r="294" spans="1:47" x14ac:dyDescent="0.3">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row>
    <row r="295" spans="1:47" x14ac:dyDescent="0.3">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row>
    <row r="296" spans="1:47" x14ac:dyDescent="0.3">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row>
    <row r="297" spans="1:47" x14ac:dyDescent="0.3">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row>
    <row r="298" spans="1:47" x14ac:dyDescent="0.3">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row>
    <row r="299" spans="1:47" x14ac:dyDescent="0.3">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row>
    <row r="300" spans="1:47" x14ac:dyDescent="0.3">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row>
    <row r="301" spans="1:47" x14ac:dyDescent="0.3">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row>
    <row r="302" spans="1:47" x14ac:dyDescent="0.3">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row>
    <row r="303" spans="1:47" x14ac:dyDescent="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row>
    <row r="304" spans="1:47" x14ac:dyDescent="0.3">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row>
    <row r="305" spans="1:47" x14ac:dyDescent="0.3">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row>
    <row r="306" spans="1:47" x14ac:dyDescent="0.3">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row>
    <row r="307" spans="1:47" x14ac:dyDescent="0.3">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row>
    <row r="308" spans="1:47" x14ac:dyDescent="0.3">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row>
    <row r="309" spans="1:47" x14ac:dyDescent="0.3">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row>
    <row r="310" spans="1:47" x14ac:dyDescent="0.3">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row>
    <row r="311" spans="1:47" x14ac:dyDescent="0.3">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row>
    <row r="312" spans="1:47" x14ac:dyDescent="0.3">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row>
    <row r="313" spans="1:47" x14ac:dyDescent="0.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row>
    <row r="314" spans="1:47" x14ac:dyDescent="0.3">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row>
    <row r="315" spans="1:47" x14ac:dyDescent="0.3">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row>
    <row r="316" spans="1:47" x14ac:dyDescent="0.3">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row>
    <row r="317" spans="1:47" x14ac:dyDescent="0.3">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row>
    <row r="318" spans="1:47" x14ac:dyDescent="0.3">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row>
    <row r="319" spans="1:47" x14ac:dyDescent="0.3">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row>
    <row r="320" spans="1:47" x14ac:dyDescent="0.3">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row>
    <row r="321" spans="1:47" x14ac:dyDescent="0.3">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row>
    <row r="322" spans="1:47" x14ac:dyDescent="0.3">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row>
    <row r="323" spans="1:47" x14ac:dyDescent="0.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row>
    <row r="324" spans="1:47" x14ac:dyDescent="0.3">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row>
    <row r="325" spans="1:47" x14ac:dyDescent="0.3">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row>
    <row r="326" spans="1:47" x14ac:dyDescent="0.3">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row>
    <row r="327" spans="1:47" x14ac:dyDescent="0.3">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row>
    <row r="328" spans="1:47" x14ac:dyDescent="0.3">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row>
    <row r="329" spans="1:47" x14ac:dyDescent="0.3">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row>
    <row r="330" spans="1:47" x14ac:dyDescent="0.3">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row>
    <row r="331" spans="1:47" x14ac:dyDescent="0.3">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row>
    <row r="332" spans="1:47" x14ac:dyDescent="0.3">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row>
    <row r="333" spans="1:47" x14ac:dyDescent="0.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row>
    <row r="334" spans="1:47" x14ac:dyDescent="0.3">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row>
    <row r="335" spans="1:47" x14ac:dyDescent="0.3">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row>
    <row r="336" spans="1:47" x14ac:dyDescent="0.3">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row>
    <row r="337" spans="1:47" x14ac:dyDescent="0.3">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row>
    <row r="338" spans="1:47" x14ac:dyDescent="0.3">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row>
    <row r="339" spans="1:47" x14ac:dyDescent="0.3">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row>
    <row r="340" spans="1:47" x14ac:dyDescent="0.3">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row>
    <row r="341" spans="1:47" x14ac:dyDescent="0.3">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row>
    <row r="342" spans="1:47" x14ac:dyDescent="0.3">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row>
    <row r="343" spans="1:47" x14ac:dyDescent="0.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row>
    <row r="344" spans="1:47" x14ac:dyDescent="0.3">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row>
    <row r="345" spans="1:47" x14ac:dyDescent="0.3">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row>
    <row r="346" spans="1:47" x14ac:dyDescent="0.3">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row>
    <row r="347" spans="1:47" x14ac:dyDescent="0.3">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row>
    <row r="348" spans="1:47" x14ac:dyDescent="0.3">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row>
    <row r="349" spans="1:47" x14ac:dyDescent="0.3">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row>
    <row r="350" spans="1:47" x14ac:dyDescent="0.3">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row>
    <row r="351" spans="1:47" x14ac:dyDescent="0.3">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row>
    <row r="352" spans="1:47" x14ac:dyDescent="0.3">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row>
    <row r="353" spans="1:47" x14ac:dyDescent="0.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row>
    <row r="354" spans="1:47" x14ac:dyDescent="0.3">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row>
    <row r="355" spans="1:47" x14ac:dyDescent="0.3">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row>
    <row r="356" spans="1:47" x14ac:dyDescent="0.3">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row>
    <row r="357" spans="1:47" x14ac:dyDescent="0.3">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row>
    <row r="358" spans="1:47" x14ac:dyDescent="0.3">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row>
    <row r="359" spans="1:47" x14ac:dyDescent="0.3">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row>
    <row r="360" spans="1:47" x14ac:dyDescent="0.3">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row>
    <row r="361" spans="1:47" x14ac:dyDescent="0.3">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row>
    <row r="362" spans="1:47" x14ac:dyDescent="0.3">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row>
    <row r="363" spans="1:47" x14ac:dyDescent="0.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row>
    <row r="364" spans="1:47" x14ac:dyDescent="0.3">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row>
    <row r="365" spans="1:47" x14ac:dyDescent="0.3">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row>
    <row r="366" spans="1:47" x14ac:dyDescent="0.3">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row>
    <row r="367" spans="1:47" x14ac:dyDescent="0.3">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row>
    <row r="368" spans="1:47" x14ac:dyDescent="0.3">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row>
    <row r="369" spans="1:47" x14ac:dyDescent="0.3">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row>
    <row r="370" spans="1:47" x14ac:dyDescent="0.3">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row>
    <row r="371" spans="1:47" x14ac:dyDescent="0.3">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row>
    <row r="372" spans="1:47" x14ac:dyDescent="0.3">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row>
    <row r="373" spans="1:47" x14ac:dyDescent="0.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row>
    <row r="374" spans="1:47" x14ac:dyDescent="0.3">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row>
    <row r="375" spans="1:47" x14ac:dyDescent="0.3">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row>
    <row r="376" spans="1:47" x14ac:dyDescent="0.3">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row>
    <row r="377" spans="1:47" x14ac:dyDescent="0.3">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row>
    <row r="378" spans="1:47" x14ac:dyDescent="0.3">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row>
    <row r="379" spans="1:47" x14ac:dyDescent="0.3">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row>
    <row r="380" spans="1:47" x14ac:dyDescent="0.3">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row>
    <row r="381" spans="1:47" x14ac:dyDescent="0.3">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row>
    <row r="382" spans="1:47" x14ac:dyDescent="0.3">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row>
    <row r="383" spans="1:47" x14ac:dyDescent="0.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row>
    <row r="384" spans="1:47" x14ac:dyDescent="0.3">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row>
    <row r="385" spans="1:47" x14ac:dyDescent="0.3">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row>
    <row r="386" spans="1:47" x14ac:dyDescent="0.3">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row>
    <row r="387" spans="1:47" x14ac:dyDescent="0.3">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row>
    <row r="388" spans="1:47" x14ac:dyDescent="0.3">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row>
    <row r="389" spans="1:47" x14ac:dyDescent="0.3">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row>
    <row r="390" spans="1:47" x14ac:dyDescent="0.3">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row>
    <row r="391" spans="1:47" x14ac:dyDescent="0.3">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row>
    <row r="392" spans="1:47" x14ac:dyDescent="0.3">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row>
    <row r="393" spans="1:47" x14ac:dyDescent="0.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row>
    <row r="394" spans="1:47" x14ac:dyDescent="0.3">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row>
    <row r="395" spans="1:47" x14ac:dyDescent="0.3">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row>
    <row r="396" spans="1:47" x14ac:dyDescent="0.3">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row>
    <row r="397" spans="1:47" x14ac:dyDescent="0.3">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row>
    <row r="398" spans="1:47" x14ac:dyDescent="0.3">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row>
    <row r="399" spans="1:47" x14ac:dyDescent="0.3">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row>
    <row r="400" spans="1:47" x14ac:dyDescent="0.3">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row>
    <row r="401" spans="1:47" x14ac:dyDescent="0.3">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row>
    <row r="402" spans="1:47" x14ac:dyDescent="0.3">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row>
    <row r="403" spans="1:47" x14ac:dyDescent="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row>
    <row r="404" spans="1:47" x14ac:dyDescent="0.3">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row>
    <row r="405" spans="1:47" x14ac:dyDescent="0.3">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row>
    <row r="406" spans="1:47" x14ac:dyDescent="0.3">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row>
    <row r="407" spans="1:47" x14ac:dyDescent="0.3">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row>
    <row r="408" spans="1:47" x14ac:dyDescent="0.3">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row>
    <row r="409" spans="1:47" x14ac:dyDescent="0.3">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row>
    <row r="410" spans="1:47" x14ac:dyDescent="0.3">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row>
    <row r="411" spans="1:47" x14ac:dyDescent="0.3">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row>
    <row r="412" spans="1:47" x14ac:dyDescent="0.3">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row>
    <row r="413" spans="1:47" x14ac:dyDescent="0.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row>
    <row r="414" spans="1:47" x14ac:dyDescent="0.3">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row>
    <row r="415" spans="1:47" x14ac:dyDescent="0.3">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row>
    <row r="416" spans="1:47" x14ac:dyDescent="0.3">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row>
    <row r="417" spans="1:47" x14ac:dyDescent="0.3">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row>
    <row r="418" spans="1:47" x14ac:dyDescent="0.3">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row>
    <row r="419" spans="1:47" x14ac:dyDescent="0.3">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row>
    <row r="420" spans="1:47" x14ac:dyDescent="0.3">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row>
    <row r="421" spans="1:47" x14ac:dyDescent="0.3">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row>
    <row r="422" spans="1:47" x14ac:dyDescent="0.3">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row>
    <row r="423" spans="1:47" x14ac:dyDescent="0.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row>
    <row r="424" spans="1:47" x14ac:dyDescent="0.3">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row>
    <row r="425" spans="1:47" x14ac:dyDescent="0.3">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row>
    <row r="426" spans="1:47" x14ac:dyDescent="0.3">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row>
    <row r="427" spans="1:47" x14ac:dyDescent="0.3">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row>
    <row r="428" spans="1:47" x14ac:dyDescent="0.3">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row>
    <row r="429" spans="1:47" x14ac:dyDescent="0.3">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row>
    <row r="430" spans="1:47" x14ac:dyDescent="0.3">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row>
    <row r="431" spans="1:47" x14ac:dyDescent="0.3">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row>
    <row r="432" spans="1:47" x14ac:dyDescent="0.3">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row>
    <row r="433" spans="1:47" x14ac:dyDescent="0.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row>
    <row r="434" spans="1:47" x14ac:dyDescent="0.3">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row>
    <row r="435" spans="1:47" x14ac:dyDescent="0.3">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row>
    <row r="436" spans="1:47" x14ac:dyDescent="0.3">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row>
    <row r="437" spans="1:47" x14ac:dyDescent="0.3">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row>
    <row r="438" spans="1:47" x14ac:dyDescent="0.3">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row>
    <row r="439" spans="1:47" x14ac:dyDescent="0.3">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row>
    <row r="440" spans="1:47" x14ac:dyDescent="0.3">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row>
    <row r="441" spans="1:47" x14ac:dyDescent="0.3">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row>
    <row r="442" spans="1:47" x14ac:dyDescent="0.3">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row>
    <row r="443" spans="1:47" x14ac:dyDescent="0.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row>
    <row r="444" spans="1:47" x14ac:dyDescent="0.3">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row>
    <row r="445" spans="1:47" x14ac:dyDescent="0.3">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row>
    <row r="446" spans="1:47" x14ac:dyDescent="0.3">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row>
    <row r="447" spans="1:47" x14ac:dyDescent="0.3">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row>
    <row r="448" spans="1:47" x14ac:dyDescent="0.3">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row>
    <row r="449" spans="1:47" x14ac:dyDescent="0.3">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row>
    <row r="450" spans="1:47" x14ac:dyDescent="0.3">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row>
    <row r="451" spans="1:47" x14ac:dyDescent="0.3">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row>
    <row r="452" spans="1:47" x14ac:dyDescent="0.3">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row>
    <row r="453" spans="1:47" x14ac:dyDescent="0.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row>
    <row r="454" spans="1:47" x14ac:dyDescent="0.3">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row>
    <row r="455" spans="1:47" x14ac:dyDescent="0.3">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row>
    <row r="456" spans="1:47" x14ac:dyDescent="0.3">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row>
    <row r="457" spans="1:47" x14ac:dyDescent="0.3">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row>
    <row r="458" spans="1:47" x14ac:dyDescent="0.3">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row>
    <row r="459" spans="1:47" x14ac:dyDescent="0.3">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row>
    <row r="460" spans="1:47" x14ac:dyDescent="0.3">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row>
    <row r="461" spans="1:47" x14ac:dyDescent="0.3">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row>
    <row r="462" spans="1:47" x14ac:dyDescent="0.3">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row>
    <row r="463" spans="1:47" x14ac:dyDescent="0.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row>
    <row r="464" spans="1:47" x14ac:dyDescent="0.3">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row>
    <row r="465" spans="1:47" x14ac:dyDescent="0.3">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row>
    <row r="466" spans="1:47" x14ac:dyDescent="0.3">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row>
    <row r="467" spans="1:47" x14ac:dyDescent="0.3">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row>
    <row r="468" spans="1:47" x14ac:dyDescent="0.3">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row>
    <row r="469" spans="1:47" x14ac:dyDescent="0.3">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row>
    <row r="470" spans="1:47" x14ac:dyDescent="0.3">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row>
    <row r="471" spans="1:47" x14ac:dyDescent="0.3">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row>
    <row r="472" spans="1:47" x14ac:dyDescent="0.3">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row>
    <row r="473" spans="1:47" x14ac:dyDescent="0.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row>
    <row r="474" spans="1:47" x14ac:dyDescent="0.3">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row>
    <row r="475" spans="1:47" x14ac:dyDescent="0.3">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row>
    <row r="476" spans="1:47" x14ac:dyDescent="0.3">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row>
    <row r="477" spans="1:47" x14ac:dyDescent="0.3">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row>
    <row r="478" spans="1:47" x14ac:dyDescent="0.3">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row>
    <row r="479" spans="1:47" x14ac:dyDescent="0.3">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row>
    <row r="480" spans="1:47" x14ac:dyDescent="0.3">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row>
    <row r="481" spans="1:47" x14ac:dyDescent="0.3">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row>
    <row r="482" spans="1:47" x14ac:dyDescent="0.3">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row>
    <row r="483" spans="1:47" x14ac:dyDescent="0.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row>
    <row r="484" spans="1:47" x14ac:dyDescent="0.3">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row>
    <row r="485" spans="1:47" x14ac:dyDescent="0.3">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row>
    <row r="486" spans="1:47" x14ac:dyDescent="0.3">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row>
    <row r="487" spans="1:47" x14ac:dyDescent="0.3">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row>
    <row r="488" spans="1:47" x14ac:dyDescent="0.3">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row>
    <row r="489" spans="1:47" x14ac:dyDescent="0.3">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row>
    <row r="490" spans="1:47" x14ac:dyDescent="0.3">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row>
    <row r="491" spans="1:47" x14ac:dyDescent="0.3">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row>
    <row r="492" spans="1:47" x14ac:dyDescent="0.3">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row>
    <row r="493" spans="1:47" x14ac:dyDescent="0.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row>
    <row r="494" spans="1:47" x14ac:dyDescent="0.3">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row>
    <row r="495" spans="1:47" x14ac:dyDescent="0.3">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row>
    <row r="496" spans="1:47" x14ac:dyDescent="0.3">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row>
    <row r="497" spans="1:47" x14ac:dyDescent="0.3">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row>
    <row r="498" spans="1:47" x14ac:dyDescent="0.3">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row>
    <row r="499" spans="1:47" x14ac:dyDescent="0.3">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row>
    <row r="500" spans="1:47" x14ac:dyDescent="0.3">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row>
    <row r="501" spans="1:47" x14ac:dyDescent="0.3">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row>
    <row r="502" spans="1:47" x14ac:dyDescent="0.3">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row>
    <row r="503" spans="1:47" x14ac:dyDescent="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row>
    <row r="504" spans="1:47" x14ac:dyDescent="0.3">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row>
    <row r="505" spans="1:47" x14ac:dyDescent="0.3">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row>
    <row r="506" spans="1:47" x14ac:dyDescent="0.3">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row>
    <row r="507" spans="1:47" x14ac:dyDescent="0.3">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row>
    <row r="508" spans="1:47" x14ac:dyDescent="0.3">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row>
    <row r="509" spans="1:47" x14ac:dyDescent="0.3">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row>
    <row r="510" spans="1:47" x14ac:dyDescent="0.3">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row>
    <row r="511" spans="1:47" x14ac:dyDescent="0.3">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row>
    <row r="512" spans="1:47" x14ac:dyDescent="0.3">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row>
    <row r="513" spans="1:47" x14ac:dyDescent="0.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row>
    <row r="514" spans="1:47" x14ac:dyDescent="0.3">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row>
    <row r="515" spans="1:47" x14ac:dyDescent="0.3">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row>
    <row r="516" spans="1:47" x14ac:dyDescent="0.3">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row>
    <row r="517" spans="1:47" x14ac:dyDescent="0.3">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row>
    <row r="518" spans="1:47" x14ac:dyDescent="0.3">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row>
    <row r="519" spans="1:47" x14ac:dyDescent="0.3">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row>
    <row r="520" spans="1:47" x14ac:dyDescent="0.3">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row>
    <row r="521" spans="1:47" x14ac:dyDescent="0.3">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row>
    <row r="522" spans="1:47" x14ac:dyDescent="0.3">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row>
    <row r="523" spans="1:47" x14ac:dyDescent="0.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row>
    <row r="524" spans="1:47" x14ac:dyDescent="0.3">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row>
    <row r="525" spans="1:47" x14ac:dyDescent="0.3">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row>
    <row r="526" spans="1:47" x14ac:dyDescent="0.3">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row>
    <row r="527" spans="1:47" x14ac:dyDescent="0.3">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row>
    <row r="528" spans="1:47" x14ac:dyDescent="0.3">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row>
    <row r="529" spans="1:47" x14ac:dyDescent="0.3">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row>
    <row r="530" spans="1:47" x14ac:dyDescent="0.3">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row>
    <row r="531" spans="1:47" x14ac:dyDescent="0.3">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row>
    <row r="532" spans="1:47" x14ac:dyDescent="0.3">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row>
    <row r="533" spans="1:47" x14ac:dyDescent="0.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row>
    <row r="534" spans="1:47" x14ac:dyDescent="0.3">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row>
    <row r="535" spans="1:47" x14ac:dyDescent="0.3">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row>
    <row r="536" spans="1:47" x14ac:dyDescent="0.3">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row>
    <row r="537" spans="1:47" x14ac:dyDescent="0.3">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row>
    <row r="538" spans="1:47" x14ac:dyDescent="0.3">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row>
    <row r="539" spans="1:47" x14ac:dyDescent="0.3">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row>
    <row r="540" spans="1:47" x14ac:dyDescent="0.3">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row>
    <row r="541" spans="1:47" x14ac:dyDescent="0.3">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row>
    <row r="542" spans="1:47" x14ac:dyDescent="0.3">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row>
    <row r="543" spans="1:47" x14ac:dyDescent="0.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row>
    <row r="544" spans="1:47" x14ac:dyDescent="0.3">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row>
    <row r="545" spans="1:47" x14ac:dyDescent="0.3">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row>
    <row r="546" spans="1:47" x14ac:dyDescent="0.3">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row>
    <row r="547" spans="1:47" x14ac:dyDescent="0.3">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row>
    <row r="548" spans="1:47" x14ac:dyDescent="0.3">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row>
    <row r="549" spans="1:47" x14ac:dyDescent="0.3">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row>
    <row r="550" spans="1:47" x14ac:dyDescent="0.3">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row>
    <row r="551" spans="1:47" x14ac:dyDescent="0.3">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row>
    <row r="552" spans="1:47" x14ac:dyDescent="0.3">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row>
    <row r="553" spans="1:47" x14ac:dyDescent="0.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row>
    <row r="554" spans="1:47" x14ac:dyDescent="0.3">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row>
    <row r="555" spans="1:47" x14ac:dyDescent="0.3">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row>
    <row r="556" spans="1:47" x14ac:dyDescent="0.3">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row>
    <row r="557" spans="1:47" x14ac:dyDescent="0.3">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row>
    <row r="558" spans="1:47" x14ac:dyDescent="0.3">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row>
    <row r="559" spans="1:47" x14ac:dyDescent="0.3">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row>
    <row r="560" spans="1:47" x14ac:dyDescent="0.3">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row>
    <row r="561" spans="1:47" x14ac:dyDescent="0.3">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row>
    <row r="562" spans="1:47" x14ac:dyDescent="0.3">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row>
    <row r="563" spans="1:47" x14ac:dyDescent="0.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row>
    <row r="564" spans="1:47" x14ac:dyDescent="0.3">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row>
    <row r="565" spans="1:47" x14ac:dyDescent="0.3">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row>
    <row r="566" spans="1:47" x14ac:dyDescent="0.3">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row>
    <row r="567" spans="1:47" x14ac:dyDescent="0.3">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row>
    <row r="568" spans="1:47" x14ac:dyDescent="0.3">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row>
    <row r="569" spans="1:47" x14ac:dyDescent="0.3">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row>
    <row r="570" spans="1:47" x14ac:dyDescent="0.3">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row>
    <row r="571" spans="1:47" x14ac:dyDescent="0.3">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row>
    <row r="572" spans="1:47" x14ac:dyDescent="0.3">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row>
    <row r="573" spans="1:47" x14ac:dyDescent="0.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row>
    <row r="574" spans="1:47" x14ac:dyDescent="0.3">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row>
    <row r="575" spans="1:47" x14ac:dyDescent="0.3">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row>
    <row r="576" spans="1:47" x14ac:dyDescent="0.3">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row>
    <row r="577" spans="1:47" x14ac:dyDescent="0.3">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row>
    <row r="578" spans="1:47" x14ac:dyDescent="0.3">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row>
    <row r="579" spans="1:47" x14ac:dyDescent="0.3">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row>
    <row r="580" spans="1:47" x14ac:dyDescent="0.3">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row>
    <row r="581" spans="1:47" x14ac:dyDescent="0.3">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row>
    <row r="582" spans="1:47" x14ac:dyDescent="0.3">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row>
    <row r="583" spans="1:47" x14ac:dyDescent="0.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row>
    <row r="584" spans="1:47" x14ac:dyDescent="0.3">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row>
    <row r="585" spans="1:47" x14ac:dyDescent="0.3">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row>
    <row r="586" spans="1:47" x14ac:dyDescent="0.3">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row>
    <row r="587" spans="1:47" x14ac:dyDescent="0.3">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row>
    <row r="588" spans="1:47" x14ac:dyDescent="0.3">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row>
    <row r="589" spans="1:47" x14ac:dyDescent="0.3">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row>
    <row r="590" spans="1:47" x14ac:dyDescent="0.3">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row>
    <row r="591" spans="1:47" x14ac:dyDescent="0.3">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row>
    <row r="592" spans="1:47" x14ac:dyDescent="0.3">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row>
    <row r="593" spans="1:47" x14ac:dyDescent="0.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row>
    <row r="594" spans="1:47" x14ac:dyDescent="0.3">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row>
    <row r="595" spans="1:47" x14ac:dyDescent="0.3">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row>
    <row r="596" spans="1:47" x14ac:dyDescent="0.3">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row>
    <row r="597" spans="1:47" x14ac:dyDescent="0.3">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row>
    <row r="598" spans="1:47" x14ac:dyDescent="0.3">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row>
    <row r="599" spans="1:47" x14ac:dyDescent="0.3">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row>
    <row r="600" spans="1:47" x14ac:dyDescent="0.3">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row>
    <row r="601" spans="1:47" x14ac:dyDescent="0.3">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row>
    <row r="602" spans="1:47" x14ac:dyDescent="0.3">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row>
    <row r="603" spans="1:47" x14ac:dyDescent="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row>
    <row r="604" spans="1:47" x14ac:dyDescent="0.3">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row>
    <row r="605" spans="1:47" x14ac:dyDescent="0.3">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row>
    <row r="606" spans="1:47" x14ac:dyDescent="0.3">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row>
    <row r="607" spans="1:47" x14ac:dyDescent="0.3">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row>
    <row r="608" spans="1:47" x14ac:dyDescent="0.3">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row>
    <row r="609" spans="1:47" x14ac:dyDescent="0.3">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row>
    <row r="610" spans="1:47" x14ac:dyDescent="0.3">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row>
    <row r="611" spans="1:47" x14ac:dyDescent="0.3">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row>
    <row r="612" spans="1:47" x14ac:dyDescent="0.3">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row>
    <row r="613" spans="1:47" x14ac:dyDescent="0.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row>
    <row r="614" spans="1:47" x14ac:dyDescent="0.3">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row>
    <row r="615" spans="1:47" x14ac:dyDescent="0.3">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row>
    <row r="616" spans="1:47" x14ac:dyDescent="0.3">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row>
    <row r="617" spans="1:47" x14ac:dyDescent="0.3">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row>
    <row r="618" spans="1:47" x14ac:dyDescent="0.3">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row>
    <row r="619" spans="1:47" x14ac:dyDescent="0.3">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row>
    <row r="620" spans="1:47" x14ac:dyDescent="0.3">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row>
    <row r="621" spans="1:47" x14ac:dyDescent="0.3">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row>
    <row r="622" spans="1:47" x14ac:dyDescent="0.3">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row>
    <row r="623" spans="1:47" x14ac:dyDescent="0.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row>
    <row r="624" spans="1:47" x14ac:dyDescent="0.3">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row>
    <row r="625" spans="1:47" x14ac:dyDescent="0.3">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row>
    <row r="626" spans="1:47" x14ac:dyDescent="0.3">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row>
    <row r="627" spans="1:47" x14ac:dyDescent="0.3">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row>
    <row r="628" spans="1:47" x14ac:dyDescent="0.3">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row>
    <row r="629" spans="1:47" x14ac:dyDescent="0.3">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row>
    <row r="630" spans="1:47" x14ac:dyDescent="0.3">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row>
    <row r="631" spans="1:47" x14ac:dyDescent="0.3">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row>
    <row r="632" spans="1:47" x14ac:dyDescent="0.3">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row>
    <row r="633" spans="1:47" x14ac:dyDescent="0.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row>
    <row r="634" spans="1:47" x14ac:dyDescent="0.3">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row>
    <row r="635" spans="1:47" x14ac:dyDescent="0.3">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row>
    <row r="636" spans="1:47" x14ac:dyDescent="0.3">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row>
    <row r="637" spans="1:47" x14ac:dyDescent="0.3">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row>
    <row r="638" spans="1:47" x14ac:dyDescent="0.3">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row>
    <row r="639" spans="1:47" x14ac:dyDescent="0.3">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row>
    <row r="640" spans="1:47" x14ac:dyDescent="0.3">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row>
    <row r="641" spans="1:47" x14ac:dyDescent="0.3">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row>
    <row r="642" spans="1:47" x14ac:dyDescent="0.3">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row>
    <row r="643" spans="1:47" x14ac:dyDescent="0.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row>
    <row r="644" spans="1:47" x14ac:dyDescent="0.3">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row>
    <row r="645" spans="1:47" x14ac:dyDescent="0.3">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row>
    <row r="646" spans="1:47" x14ac:dyDescent="0.3">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row>
    <row r="647" spans="1:47" x14ac:dyDescent="0.3">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row>
    <row r="648" spans="1:47" x14ac:dyDescent="0.3">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row>
    <row r="649" spans="1:47" x14ac:dyDescent="0.3">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row>
    <row r="650" spans="1:47" x14ac:dyDescent="0.3">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row>
    <row r="651" spans="1:47" x14ac:dyDescent="0.3">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row>
    <row r="652" spans="1:47" x14ac:dyDescent="0.3">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row>
    <row r="653" spans="1:47" x14ac:dyDescent="0.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row>
    <row r="654" spans="1:47" x14ac:dyDescent="0.3">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row>
    <row r="655" spans="1:47" x14ac:dyDescent="0.3">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row>
  </sheetData>
  <mergeCells count="6">
    <mergeCell ref="A76:M78"/>
    <mergeCell ref="I1:L1"/>
    <mergeCell ref="A7:C8"/>
    <mergeCell ref="A28:H30"/>
    <mergeCell ref="A51:H53"/>
    <mergeCell ref="A72:H74"/>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Linear Regression</vt:lpstr>
      <vt:lpstr>Descriptive Statistics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marakana</dc:creator>
  <cp:lastModifiedBy>shivani marakana</cp:lastModifiedBy>
  <dcterms:created xsi:type="dcterms:W3CDTF">2026-02-11T08:11:20Z</dcterms:created>
  <dcterms:modified xsi:type="dcterms:W3CDTF">2026-02-17T07:25:55Z</dcterms:modified>
</cp:coreProperties>
</file>