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213CCD8E-8A9B-415E-ADBC-6BA1BFD7D38D}" xr6:coauthVersionLast="47" xr6:coauthVersionMax="47" xr10:uidLastSave="{00000000-0000-0000-0000-000000000000}"/>
  <bookViews>
    <workbookView xWindow="-108" yWindow="-108" windowWidth="23256" windowHeight="12456" xr2:uid="{249DBE88-D988-41D6-A5C7-D43792689C95}"/>
  </bookViews>
  <sheets>
    <sheet name="student Grade" sheetId="1" r:id="rId1"/>
    <sheet name="sales Data" sheetId="2" r:id="rId2"/>
    <sheet name="employee data" sheetId="3" r:id="rId3"/>
    <sheet name="TEXT FILE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2" l="1"/>
  <c r="L2" i="2"/>
  <c r="J7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J3" i="3"/>
  <c r="J4" i="3"/>
  <c r="J5" i="3"/>
  <c r="J6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F3" i="3"/>
  <c r="F4" i="3"/>
  <c r="F5" i="3"/>
  <c r="F6" i="3"/>
  <c r="F2" i="3"/>
  <c r="H2" i="3"/>
  <c r="G2" i="3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K2" i="2"/>
  <c r="I2" i="2"/>
  <c r="H2" i="2"/>
  <c r="G2" i="2"/>
  <c r="N21" i="1"/>
  <c r="M21" i="1"/>
  <c r="K21" i="1"/>
  <c r="J21" i="1"/>
  <c r="L21" i="1" s="1"/>
  <c r="I21" i="1"/>
  <c r="G21" i="1"/>
  <c r="N20" i="1"/>
  <c r="M20" i="1"/>
  <c r="K20" i="1"/>
  <c r="J20" i="1"/>
  <c r="I20" i="1"/>
  <c r="G20" i="1"/>
  <c r="N19" i="1"/>
  <c r="M19" i="1"/>
  <c r="K19" i="1"/>
  <c r="J19" i="1"/>
  <c r="I19" i="1"/>
  <c r="G19" i="1"/>
  <c r="N18" i="1"/>
  <c r="M18" i="1"/>
  <c r="K18" i="1"/>
  <c r="J18" i="1"/>
  <c r="I18" i="1"/>
  <c r="G18" i="1"/>
  <c r="N17" i="1"/>
  <c r="M17" i="1"/>
  <c r="K17" i="1"/>
  <c r="J17" i="1"/>
  <c r="I17" i="1"/>
  <c r="G17" i="1"/>
  <c r="N16" i="1"/>
  <c r="M16" i="1"/>
  <c r="K16" i="1"/>
  <c r="J16" i="1"/>
  <c r="I16" i="1"/>
  <c r="G16" i="1"/>
  <c r="N15" i="1"/>
  <c r="M15" i="1"/>
  <c r="K15" i="1"/>
  <c r="J15" i="1"/>
  <c r="I15" i="1"/>
  <c r="G15" i="1"/>
  <c r="N14" i="1"/>
  <c r="M14" i="1"/>
  <c r="K14" i="1"/>
  <c r="J14" i="1"/>
  <c r="I14" i="1"/>
  <c r="G14" i="1"/>
  <c r="N13" i="1"/>
  <c r="M13" i="1"/>
  <c r="K13" i="1"/>
  <c r="J13" i="1"/>
  <c r="I13" i="1"/>
  <c r="G13" i="1"/>
  <c r="N12" i="1"/>
  <c r="M12" i="1"/>
  <c r="K12" i="1"/>
  <c r="J12" i="1"/>
  <c r="I12" i="1"/>
  <c r="G12" i="1"/>
  <c r="N11" i="1"/>
  <c r="M11" i="1"/>
  <c r="K11" i="1"/>
  <c r="J11" i="1"/>
  <c r="I11" i="1"/>
  <c r="G11" i="1"/>
  <c r="N10" i="1"/>
  <c r="M10" i="1"/>
  <c r="K10" i="1"/>
  <c r="J10" i="1"/>
  <c r="I10" i="1"/>
  <c r="G10" i="1"/>
  <c r="N9" i="1"/>
  <c r="M9" i="1"/>
  <c r="K9" i="1"/>
  <c r="J9" i="1"/>
  <c r="I9" i="1"/>
  <c r="G9" i="1"/>
  <c r="N8" i="1"/>
  <c r="M8" i="1"/>
  <c r="K8" i="1"/>
  <c r="J8" i="1"/>
  <c r="I8" i="1"/>
  <c r="G8" i="1"/>
  <c r="N7" i="1"/>
  <c r="M7" i="1"/>
  <c r="K7" i="1"/>
  <c r="J7" i="1"/>
  <c r="I7" i="1"/>
  <c r="G7" i="1"/>
  <c r="N6" i="1"/>
  <c r="M6" i="1"/>
  <c r="K6" i="1"/>
  <c r="J6" i="1"/>
  <c r="I6" i="1"/>
  <c r="G6" i="1"/>
  <c r="N5" i="1"/>
  <c r="M5" i="1"/>
  <c r="K5" i="1"/>
  <c r="J5" i="1"/>
  <c r="I5" i="1"/>
  <c r="G5" i="1"/>
  <c r="N4" i="1"/>
  <c r="M4" i="1"/>
  <c r="K4" i="1"/>
  <c r="J4" i="1"/>
  <c r="I4" i="1"/>
  <c r="G4" i="1"/>
  <c r="N3" i="1"/>
  <c r="M3" i="1"/>
  <c r="K3" i="1"/>
  <c r="J3" i="1"/>
  <c r="I3" i="1"/>
  <c r="G3" i="1"/>
  <c r="P2" i="1"/>
  <c r="O2" i="1"/>
  <c r="N2" i="1"/>
  <c r="M2" i="1"/>
  <c r="K2" i="1"/>
  <c r="J2" i="1"/>
  <c r="I2" i="1"/>
  <c r="H2" i="1"/>
  <c r="G2" i="1"/>
  <c r="Q2" i="1"/>
  <c r="L19" i="1" l="1"/>
  <c r="L6" i="1"/>
  <c r="L2" i="1"/>
  <c r="L20" i="1"/>
  <c r="L12" i="1"/>
  <c r="L10" i="1"/>
  <c r="L18" i="1"/>
  <c r="L13" i="1"/>
  <c r="L16" i="1"/>
  <c r="L8" i="1"/>
  <c r="L3" i="1"/>
  <c r="L9" i="1"/>
  <c r="L5" i="1"/>
  <c r="L11" i="1"/>
  <c r="L17" i="1"/>
  <c r="L4" i="1"/>
  <c r="L7" i="1"/>
  <c r="L15" i="1"/>
  <c r="L14" i="1"/>
  <c r="J2" i="2"/>
  <c r="J3" i="2"/>
  <c r="J4" i="2"/>
</calcChain>
</file>

<file path=xl/sharedStrings.xml><?xml version="1.0" encoding="utf-8"?>
<sst xmlns="http://schemas.openxmlformats.org/spreadsheetml/2006/main" count="195" uniqueCount="143">
  <si>
    <t>Student ID</t>
  </si>
  <si>
    <t>Name</t>
  </si>
  <si>
    <t>Math</t>
  </si>
  <si>
    <t>Science</t>
  </si>
  <si>
    <t>English</t>
  </si>
  <si>
    <t>Enrollment Date</t>
  </si>
  <si>
    <t>GRADE</t>
  </si>
  <si>
    <t>COUNTIF</t>
  </si>
  <si>
    <t>IF/AVERAGE</t>
  </si>
  <si>
    <t>TOTAL</t>
  </si>
  <si>
    <t>RESULT</t>
  </si>
  <si>
    <t>AVARAGEIF</t>
  </si>
  <si>
    <t>UPPERCASE</t>
  </si>
  <si>
    <t>VLOOKUP</t>
  </si>
  <si>
    <t>LEFT TEXT</t>
  </si>
  <si>
    <t>DATEDIF</t>
  </si>
  <si>
    <t>Student 1</t>
  </si>
  <si>
    <t>Student 2</t>
  </si>
  <si>
    <t xml:space="preserve"> 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</si>
  <si>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</si>
  <si>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</si>
  <si>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</si>
  <si>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</si>
  <si>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</si>
  <si>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</si>
  <si>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</si>
  <si>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</si>
  <si>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</si>
  <si>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</si>
  <si>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</si>
  <si>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</si>
  <si>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</si>
  <si>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</si>
  <si>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</si>
  <si>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</si>
  <si>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</si>
  <si>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</si>
  <si>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</si>
  <si>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</si>
  <si>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</si>
  <si>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</si>
  <si>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</si>
  <si>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</si>
  <si>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INDEX/MATCH</t>
  </si>
  <si>
    <t>SUMIF</t>
  </si>
  <si>
    <t>XMATCH</t>
  </si>
  <si>
    <t>ROUND</t>
  </si>
  <si>
    <t>Keyboard</t>
  </si>
  <si>
    <t>South</t>
  </si>
  <si>
    <t>Person 1</t>
  </si>
  <si>
    <t>Printer</t>
  </si>
  <si>
    <t>West</t>
  </si>
  <si>
    <t>Person 2</t>
  </si>
  <si>
    <t xml:space="preserve">  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</si>
  <si>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</si>
  <si>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</si>
  <si>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</si>
  <si>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</si>
  <si>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</si>
  <si>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</si>
  <si>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</si>
  <si>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</si>
  <si>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</si>
  <si>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</si>
  <si>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</si>
  <si>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</si>
  <si>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</si>
  <si>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</si>
  <si>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</si>
  <si>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</si>
  <si>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</si>
  <si>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</si>
  <si>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</si>
  <si>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</si>
  <si>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</si>
  <si>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</si>
  <si>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</si>
  <si>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</si>
  <si>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</si>
  <si>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</si>
  <si>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</si>
  <si>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</si>
  <si>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</si>
  <si>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</si>
  <si>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</si>
  <si>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</si>
  <si>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</si>
  <si>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</si>
  <si>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</si>
  <si>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</si>
  <si>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</si>
  <si>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</si>
  <si>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</si>
  <si>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</si>
  <si>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</si>
  <si>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</si>
  <si>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</si>
  <si>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</si>
  <si>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</si>
  <si>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</si>
  <si>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</si>
  <si>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</si>
  <si>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</si>
  <si>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</si>
  <si>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</si>
  <si>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LEFT</t>
  </si>
  <si>
    <t>EXTRACT YEAR</t>
  </si>
  <si>
    <t>EXTRACT MONTH</t>
  </si>
  <si>
    <t>EXTRACT DAY</t>
  </si>
  <si>
    <t>DYNAMIC XLOOKUP</t>
  </si>
  <si>
    <t>CELLING</t>
  </si>
  <si>
    <t>OFFSET</t>
  </si>
  <si>
    <t>EXCEL PROJECT DESCRIPTION</t>
  </si>
  <si>
    <t>In this Excel project, I have created and worked on three different datasets: Student Data, Sales Data, and Employee Data.</t>
  </si>
  <si>
    <t>1. STUDENT DATA</t>
  </si>
  <si>
    <t>In this sheet, I entered Student ID, Name, Marks in Math, Science and English, and Enrollment Date.</t>
  </si>
  <si>
    <t>I applied different Excel formulas such as:</t>
  </si>
  <si>
    <t>Used COUNTIF function to count values based on conditions.</t>
  </si>
  <si>
    <t>Used IF and AVERAGE functions to check student performance (Above 50 or Below 50).</t>
  </si>
  <si>
    <t>Created a Result column using IF condition for Pass or Fail.</t>
  </si>
  <si>
    <t>Calculated Total marks using SUM function.</t>
  </si>
  <si>
    <t>Used AVERAGEIF for conditional average calculation.</t>
  </si>
  <si>
    <t>Converted names into capital letters using UPPER function.</t>
  </si>
  <si>
    <t>Used VLOOKUP to fetch student names.</t>
  </si>
  <si>
    <t>Used LEFT function to extract characters from text.</t>
  </si>
  <si>
    <t>Calculated date difference using DATEDIF function.</t>
  </si>
  <si>
    <t>2. SALES DATA</t>
  </si>
  <si>
    <t>In this sheet, I created a sales table with Sales ID, Product, Region, Salesperson, Amount, and Date.</t>
  </si>
  <si>
    <t>I used the following functions:</t>
  </si>
  <si>
    <t>Used INDEX and MATCH for flexible lookup.</t>
  </si>
  <si>
    <t>Used VLOOKUP to retrieve sales amount.</t>
  </si>
  <si>
    <t>Used SUMIF to calculate total sales by condition.</t>
  </si>
  <si>
    <t>Used XMATCH to find position of product.</t>
  </si>
  <si>
    <t>Used ROUND and CEILING functions for financial calculations.</t>
  </si>
  <si>
    <t>Used OFFSET function for dynamic reference.</t>
  </si>
  <si>
    <t>3. EMPLOYEE DATA</t>
  </si>
  <si>
    <t>In this sheet, I entered Employee ID, Name, Department, Salary, and Joining Date.</t>
  </si>
  <si>
    <t>I applied the following functions:</t>
  </si>
  <si>
    <t>Used XLOOKUP for department search.</t>
  </si>
  <si>
    <t>Converted names into uppercase using UPPER function.</t>
  </si>
  <si>
    <t>Extracted text using LEFT function.</t>
  </si>
  <si>
    <t>Used YEAR, MONTH, and DAY functions to extract date parts.</t>
  </si>
  <si>
    <t>Used COUNTIF to count number of employees in a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</si>
</sst>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rgb="FFFFF2CC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F67D-F476-4C18-9210-32F01B4D0F47}">
  <dimension ref="A1:Z1000"/>
  <sheetViews>
    <sheetView tabSelected="1" workbookViewId="0">
      <selection activeCell="G13" sqref="G13"/>
    </sheetView>
  </sheetViews>
  <sheetFormatPr defaultColWidth="14.44140625" defaultRowHeight="14.4" x14ac:dyDescent="0.3"/>
  <cols>
    <col min="1" max="1" width="10.33203125" customWidth="1"/>
    <col min="2" max="2" width="10.44140625" customWidth="1"/>
    <col min="3" max="3" width="5.88671875" customWidth="1"/>
    <col min="4" max="4" width="7.5546875" customWidth="1"/>
    <col min="5" max="5" width="7.33203125" customWidth="1"/>
    <col min="6" max="6" width="18.88671875" customWidth="1"/>
    <col min="7" max="7" width="10.5546875" customWidth="1"/>
    <col min="8" max="8" width="11.21875" customWidth="1"/>
    <col min="9" max="9" width="13.21875" customWidth="1"/>
    <col min="10" max="11" width="8.6640625" customWidth="1"/>
    <col min="12" max="12" width="13.21875" customWidth="1"/>
    <col min="13" max="13" width="12.21875" customWidth="1"/>
    <col min="14" max="14" width="11.88671875" customWidth="1"/>
    <col min="15" max="15" width="10.5546875" customWidth="1"/>
    <col min="16" max="16" width="11.5546875" customWidth="1"/>
    <col min="17" max="17" width="10.33203125" customWidth="1"/>
    <col min="18" max="18" width="12.21875" customWidth="1"/>
    <col min="19" max="26" width="8.6640625" customWidth="1"/>
  </cols>
  <sheetData>
    <row r="1" spans="1:2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15</v>
      </c>
      <c r="S1" s="1"/>
      <c r="T1" s="1"/>
      <c r="U1" s="1"/>
      <c r="V1" s="1"/>
      <c r="W1" s="1"/>
      <c r="X1" s="1"/>
      <c r="Y1" s="1"/>
      <c r="Z1" s="1"/>
    </row>
    <row r="2" spans="1:26" x14ac:dyDescent="0.3">
      <c r="A2" s="4">
        <v>1001</v>
      </c>
      <c r="B2" s="4" t="s">
        <v>16</v>
      </c>
      <c r="C2" s="4">
        <v>61</v>
      </c>
      <c r="D2" s="4">
        <v>48</v>
      </c>
      <c r="E2" s="4">
        <v>76</v>
      </c>
      <c r="F2" s="5">
        <v>43101</v>
      </c>
      <c r="G2" s="3" t="str">
        <f>IF(SUM(C2:E2)&gt;=240,"A",IF(SUM(C2:E2)&gt;=180,"B",IF(SUM(C2:E2)&gt;=120,"C","Fail")))</f>
        <v>B</v>
      </c>
      <c r="H2" s="3">
        <f>COUNTIFS(C2:C21,"&gt;60")</f>
        <v>19</v>
      </c>
      <c r="I2" s="3" t="str">
        <f>IF(AVERAGE(C2:E2)&gt;=50,"Above 50","Below 50")</f>
        <v>Above 50</v>
      </c>
      <c r="J2" s="3">
        <f>C2+D2+E2</f>
        <v>185</v>
      </c>
      <c r="K2" s="3" t="str">
        <f>IF(AND(C2&gt;60,D2&gt;60),"Pass","Fail")</f>
        <v>Fail</v>
      </c>
      <c r="L2" s="6">
        <f>AVERAGEIFS(J2:J21,J2:J21,"&gt;160")</f>
        <v>208.94736842105263</v>
      </c>
      <c r="M2" s="3" t="str">
        <f>UPPER(B2)</f>
        <v>STUDENT 1</v>
      </c>
      <c r="N2" s="3" t="str">
        <f>VLOOKUP(A2, A:B, 2, FALSE)</f>
        <v>Student 1</v>
      </c>
      <c r="O2" s="3" t="str">
        <f>LEFT(B2,4)</f>
        <v>Stud</v>
      </c>
      <c r="P2" s="3">
        <f ca="1">DATEDIF(F2,TODAY(),"D")</f>
        <v>2963</v>
      </c>
      <c r="Q2" s="3">
        <f ca="1">SUM(INDIRECT("C2:C21"))</f>
        <v>1604</v>
      </c>
      <c r="S2" s="1"/>
      <c r="T2" s="1"/>
      <c r="U2" s="1"/>
      <c r="V2" s="1"/>
      <c r="W2" s="1"/>
      <c r="X2" s="1"/>
      <c r="Y2" s="1"/>
      <c r="Z2" s="1"/>
    </row>
    <row r="3" spans="1:26" x14ac:dyDescent="0.3">
      <c r="A3" s="4">
        <v>1002</v>
      </c>
      <c r="B3" s="4" t="s">
        <v>17</v>
      </c>
      <c r="C3" s="4">
        <v>78</v>
      </c>
      <c r="D3" s="4">
        <v>76</v>
      </c>
      <c r="E3" s="4">
        <v>70</v>
      </c>
      <c r="F3" s="5">
        <v>43281</v>
      </c>
      <c r="G3" s="3" t="str">
        <f t="shared" ref="G3:G20" si="0">IF(SUM(C3:E3)&gt;=240,"A",IF(SUM(C3:E3)&gt;=180,"B",IF(SUM(C3:E3)&gt;=120,"C","Fail")))</f>
        <v>B</v>
      </c>
      <c r="H3" s="1"/>
      <c r="I3" s="3" t="str">
        <f t="shared" ref="I3:I21" si="1">IF(AVERAGE(C3:E3)&gt;=50,"Above 50","Below 50")</f>
        <v>Above 50</v>
      </c>
      <c r="J3" s="3">
        <f t="shared" ref="J3:J21" si="2">C3+D3+E3</f>
        <v>224</v>
      </c>
      <c r="K3" s="3" t="str">
        <f t="shared" ref="K3:K21" si="3">IF(AND(C3&gt;60,D3&gt;60),"Pass","Fail")</f>
        <v>Pass</v>
      </c>
      <c r="L3" s="6">
        <f t="shared" ref="L3:L21" si="4">AVERAGEIFS(J3:J22,J3:J22,"&gt;160")</f>
        <v>210.27777777777777</v>
      </c>
      <c r="M3" s="3" t="str">
        <f t="shared" ref="M3:M21" si="5">UPPER(B3)</f>
        <v>STUDENT 2</v>
      </c>
      <c r="N3" s="3" t="str">
        <f>VLOOKUP(A3, A:B, 2, FALSE)</f>
        <v>Student 2</v>
      </c>
      <c r="O3" s="1" t="s">
        <v>18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4">
        <v>1003</v>
      </c>
      <c r="B4" s="4" t="s">
        <v>19</v>
      </c>
      <c r="C4" s="4">
        <v>97</v>
      </c>
      <c r="D4" s="4">
        <v>60</v>
      </c>
      <c r="E4" s="4">
        <v>51</v>
      </c>
      <c r="F4" s="5">
        <v>43461</v>
      </c>
      <c r="G4" s="3" t="str">
        <f t="shared" si="0"/>
        <v>B</v>
      </c>
      <c r="H4" s="1"/>
      <c r="I4" s="3" t="str">
        <f t="shared" si="1"/>
        <v>Above 50</v>
      </c>
      <c r="J4" s="3">
        <f t="shared" si="2"/>
        <v>208</v>
      </c>
      <c r="K4" s="3" t="str">
        <f t="shared" si="3"/>
        <v>Fail</v>
      </c>
      <c r="L4" s="6">
        <f t="shared" si="4"/>
        <v>209.47058823529412</v>
      </c>
      <c r="M4" s="3" t="str">
        <f t="shared" si="5"/>
        <v>STUDENT 3</v>
      </c>
      <c r="N4" s="3" t="str">
        <f>VLOOKUP(A4, A:B, 2, FALSE)</f>
        <v>Student 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4">
        <v>1004</v>
      </c>
      <c r="B5" s="4" t="s">
        <v>20</v>
      </c>
      <c r="C5" s="4">
        <v>74</v>
      </c>
      <c r="D5" s="4">
        <v>55</v>
      </c>
      <c r="E5" s="4">
        <v>46</v>
      </c>
      <c r="F5" s="5">
        <v>43641</v>
      </c>
      <c r="G5" s="3" t="str">
        <f t="shared" si="0"/>
        <v>C</v>
      </c>
      <c r="H5" s="1"/>
      <c r="I5" s="3" t="str">
        <f t="shared" si="1"/>
        <v>Above 50</v>
      </c>
      <c r="J5" s="3">
        <f t="shared" si="2"/>
        <v>175</v>
      </c>
      <c r="K5" s="3" t="str">
        <f t="shared" si="3"/>
        <v>Fail</v>
      </c>
      <c r="L5" s="6">
        <f t="shared" si="4"/>
        <v>209.5625</v>
      </c>
      <c r="M5" s="3" t="str">
        <f t="shared" si="5"/>
        <v>STUDENT 4</v>
      </c>
      <c r="N5" s="3" t="str">
        <f>VLOOKUP(A5, A:B, 2, FALSE)</f>
        <v>Student 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4">
        <v>1005</v>
      </c>
      <c r="B6" s="4" t="s">
        <v>21</v>
      </c>
      <c r="C6" s="4">
        <v>68</v>
      </c>
      <c r="D6" s="4">
        <v>74</v>
      </c>
      <c r="E6" s="4">
        <v>84</v>
      </c>
      <c r="F6" s="5">
        <v>43821</v>
      </c>
      <c r="G6" s="3" t="str">
        <f t="shared" si="0"/>
        <v>B</v>
      </c>
      <c r="H6" s="1"/>
      <c r="I6" s="3" t="str">
        <f t="shared" si="1"/>
        <v>Above 50</v>
      </c>
      <c r="J6" s="3">
        <f t="shared" si="2"/>
        <v>226</v>
      </c>
      <c r="K6" s="3" t="str">
        <f t="shared" si="3"/>
        <v>Pass</v>
      </c>
      <c r="L6" s="6">
        <f t="shared" si="4"/>
        <v>211.86666666666667</v>
      </c>
      <c r="M6" s="3" t="str">
        <f t="shared" si="5"/>
        <v>STUDENT 5</v>
      </c>
      <c r="N6" s="3" t="str">
        <f>VLOOKUP(A6, A:B, 2, FALSE)</f>
        <v>Student 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4">
        <v>1006</v>
      </c>
      <c r="B7" s="4" t="s">
        <v>22</v>
      </c>
      <c r="C7" s="4">
        <v>80</v>
      </c>
      <c r="D7" s="4">
        <v>70</v>
      </c>
      <c r="E7" s="4">
        <v>65</v>
      </c>
      <c r="F7" s="5">
        <v>44001</v>
      </c>
      <c r="G7" s="3" t="str">
        <f t="shared" si="0"/>
        <v>B</v>
      </c>
      <c r="H7" s="1"/>
      <c r="I7" s="3" t="str">
        <f t="shared" si="1"/>
        <v>Above 50</v>
      </c>
      <c r="J7" s="3">
        <f t="shared" si="2"/>
        <v>215</v>
      </c>
      <c r="K7" s="3" t="str">
        <f t="shared" si="3"/>
        <v>Pass</v>
      </c>
      <c r="L7" s="6">
        <f t="shared" si="4"/>
        <v>210.85714285714286</v>
      </c>
      <c r="M7" s="3" t="str">
        <f t="shared" si="5"/>
        <v>STUDENT 6</v>
      </c>
      <c r="N7" s="3" t="str">
        <f>VLOOKUP(A7, A:B, 2, FALSE)</f>
        <v>Student 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4">
        <v>1007</v>
      </c>
      <c r="B8" s="4" t="s">
        <v>23</v>
      </c>
      <c r="C8" s="4">
        <v>75</v>
      </c>
      <c r="D8" s="4">
        <v>47</v>
      </c>
      <c r="E8" s="4">
        <v>78</v>
      </c>
      <c r="F8" s="5">
        <v>44181</v>
      </c>
      <c r="G8" s="3" t="str">
        <f t="shared" si="0"/>
        <v>B</v>
      </c>
      <c r="H8" s="1"/>
      <c r="I8" s="3" t="str">
        <f t="shared" si="1"/>
        <v>Above 50</v>
      </c>
      <c r="J8" s="3">
        <f t="shared" si="2"/>
        <v>200</v>
      </c>
      <c r="K8" s="3" t="str">
        <f t="shared" si="3"/>
        <v>Fail</v>
      </c>
      <c r="L8" s="6">
        <f t="shared" si="4"/>
        <v>210.53846153846155</v>
      </c>
      <c r="M8" s="3" t="str">
        <f t="shared" si="5"/>
        <v>STUDENT 7</v>
      </c>
      <c r="N8" s="3" t="str">
        <f>VLOOKUP(A8, A:B, 2, FALSE)</f>
        <v>Student 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4">
        <v>1008</v>
      </c>
      <c r="B9" s="4" t="s">
        <v>24</v>
      </c>
      <c r="C9" s="4">
        <v>94</v>
      </c>
      <c r="D9" s="4">
        <v>67</v>
      </c>
      <c r="E9" s="4">
        <v>64</v>
      </c>
      <c r="F9" s="5">
        <v>44361</v>
      </c>
      <c r="G9" s="3" t="str">
        <f t="shared" si="0"/>
        <v>B</v>
      </c>
      <c r="H9" s="1"/>
      <c r="I9" s="3" t="str">
        <f t="shared" si="1"/>
        <v>Above 50</v>
      </c>
      <c r="J9" s="3">
        <f t="shared" si="2"/>
        <v>225</v>
      </c>
      <c r="K9" s="3" t="str">
        <f t="shared" si="3"/>
        <v>Pass</v>
      </c>
      <c r="L9" s="6">
        <f t="shared" si="4"/>
        <v>211.41666666666666</v>
      </c>
      <c r="M9" s="3" t="str">
        <f t="shared" si="5"/>
        <v>STUDENT 8</v>
      </c>
      <c r="N9" s="3" t="str">
        <f>VLOOKUP(A9, A:B, 2, FALSE)</f>
        <v>Student 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4">
        <v>1009</v>
      </c>
      <c r="B10" s="4" t="s">
        <v>25</v>
      </c>
      <c r="C10" s="4">
        <v>41</v>
      </c>
      <c r="D10" s="4">
        <v>75</v>
      </c>
      <c r="E10" s="4">
        <v>56</v>
      </c>
      <c r="F10" s="5">
        <v>44541</v>
      </c>
      <c r="G10" s="3" t="str">
        <f t="shared" si="0"/>
        <v>C</v>
      </c>
      <c r="H10" s="1"/>
      <c r="I10" s="3" t="str">
        <f t="shared" si="1"/>
        <v>Above 50</v>
      </c>
      <c r="J10" s="3">
        <f t="shared" si="2"/>
        <v>172</v>
      </c>
      <c r="K10" s="3" t="str">
        <f t="shared" si="3"/>
        <v>Fail</v>
      </c>
      <c r="L10" s="6">
        <f t="shared" si="4"/>
        <v>210.18181818181819</v>
      </c>
      <c r="M10" s="3" t="str">
        <f t="shared" si="5"/>
        <v>STUDENT 9</v>
      </c>
      <c r="N10" s="3" t="str">
        <f>VLOOKUP(A10, A:B, 2, FALSE)</f>
        <v>Student 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4">
        <v>1010</v>
      </c>
      <c r="B11" s="4" t="s">
        <v>26</v>
      </c>
      <c r="C11" s="4">
        <v>98</v>
      </c>
      <c r="D11" s="4">
        <v>54</v>
      </c>
      <c r="E11" s="4">
        <v>58</v>
      </c>
      <c r="F11" s="5">
        <v>44721</v>
      </c>
      <c r="G11" s="3" t="str">
        <f t="shared" si="0"/>
        <v>B</v>
      </c>
      <c r="H11" s="1"/>
      <c r="I11" s="3" t="str">
        <f t="shared" si="1"/>
        <v>Above 50</v>
      </c>
      <c r="J11" s="3">
        <f t="shared" si="2"/>
        <v>210</v>
      </c>
      <c r="K11" s="3" t="str">
        <f t="shared" si="3"/>
        <v>Fail</v>
      </c>
      <c r="L11" s="6">
        <f t="shared" si="4"/>
        <v>214</v>
      </c>
      <c r="M11" s="3" t="str">
        <f t="shared" si="5"/>
        <v>STUDENT 10</v>
      </c>
      <c r="N11" s="3" t="str">
        <f>VLOOKUP(A11, A:B, 2, FALSE)</f>
        <v>Student 10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4">
        <v>1011</v>
      </c>
      <c r="B12" s="4" t="s">
        <v>27</v>
      </c>
      <c r="C12" s="4">
        <v>73</v>
      </c>
      <c r="D12" s="4">
        <v>79</v>
      </c>
      <c r="E12" s="4">
        <v>53</v>
      </c>
      <c r="F12" s="5">
        <v>44901</v>
      </c>
      <c r="G12" s="3" t="str">
        <f t="shared" si="0"/>
        <v>B</v>
      </c>
      <c r="H12" s="1"/>
      <c r="I12" s="3" t="str">
        <f t="shared" si="1"/>
        <v>Above 50</v>
      </c>
      <c r="J12" s="3">
        <f t="shared" si="2"/>
        <v>205</v>
      </c>
      <c r="K12" s="3" t="str">
        <f t="shared" si="3"/>
        <v>Pass</v>
      </c>
      <c r="L12" s="6">
        <f t="shared" si="4"/>
        <v>214.44444444444446</v>
      </c>
      <c r="M12" s="3" t="str">
        <f t="shared" si="5"/>
        <v>STUDENT 11</v>
      </c>
      <c r="N12" s="3" t="str">
        <f>VLOOKUP(A12, A:B, 2, FALSE)</f>
        <v>Student 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4">
        <v>1012</v>
      </c>
      <c r="B13" s="4" t="s">
        <v>28</v>
      </c>
      <c r="C13" s="4">
        <v>85</v>
      </c>
      <c r="D13" s="4">
        <v>19</v>
      </c>
      <c r="E13" s="4">
        <v>19</v>
      </c>
      <c r="F13" s="5">
        <v>45081</v>
      </c>
      <c r="G13" s="3" t="str">
        <f t="shared" si="0"/>
        <v>C</v>
      </c>
      <c r="H13" s="1"/>
      <c r="I13" s="3" t="str">
        <f t="shared" si="1"/>
        <v>Below 50</v>
      </c>
      <c r="J13" s="3">
        <f t="shared" si="2"/>
        <v>123</v>
      </c>
      <c r="K13" s="3" t="str">
        <f t="shared" si="3"/>
        <v>Fail</v>
      </c>
      <c r="L13" s="6">
        <f t="shared" si="4"/>
        <v>215.625</v>
      </c>
      <c r="M13" s="3" t="str">
        <f t="shared" si="5"/>
        <v>STUDENT 12</v>
      </c>
      <c r="N13" s="3" t="str">
        <f>VLOOKUP(A13, A:B, 2, FALSE)</f>
        <v>Student 12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4">
        <v>1013</v>
      </c>
      <c r="B14" s="4" t="s">
        <v>29</v>
      </c>
      <c r="C14" s="4">
        <v>98</v>
      </c>
      <c r="D14" s="4">
        <v>90</v>
      </c>
      <c r="E14" s="4">
        <v>97</v>
      </c>
      <c r="F14" s="5">
        <v>45261</v>
      </c>
      <c r="G14" s="3" t="str">
        <f t="shared" si="0"/>
        <v>A</v>
      </c>
      <c r="H14" s="1"/>
      <c r="I14" s="3" t="str">
        <f t="shared" si="1"/>
        <v>Above 50</v>
      </c>
      <c r="J14" s="3">
        <f t="shared" si="2"/>
        <v>285</v>
      </c>
      <c r="K14" s="3" t="str">
        <f t="shared" si="3"/>
        <v>Pass</v>
      </c>
      <c r="L14" s="6">
        <f t="shared" si="4"/>
        <v>215.625</v>
      </c>
      <c r="M14" s="3" t="str">
        <f t="shared" si="5"/>
        <v>STUDENT 13</v>
      </c>
      <c r="N14" s="3" t="str">
        <f>VLOOKUP(A14, A:B, 2, FALSE)</f>
        <v>Student 13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4">
        <v>1014</v>
      </c>
      <c r="B15" s="4" t="s">
        <v>30</v>
      </c>
      <c r="C15" s="4">
        <v>93</v>
      </c>
      <c r="D15" s="4">
        <v>40</v>
      </c>
      <c r="E15" s="4">
        <v>44</v>
      </c>
      <c r="F15" s="5">
        <v>45441</v>
      </c>
      <c r="G15" s="3" t="str">
        <f t="shared" si="0"/>
        <v>C</v>
      </c>
      <c r="H15" s="1"/>
      <c r="I15" s="3" t="str">
        <f t="shared" si="1"/>
        <v>Above 50</v>
      </c>
      <c r="J15" s="3">
        <f t="shared" si="2"/>
        <v>177</v>
      </c>
      <c r="K15" s="3" t="str">
        <f t="shared" si="3"/>
        <v>Fail</v>
      </c>
      <c r="L15" s="6">
        <f t="shared" si="4"/>
        <v>205.71428571428572</v>
      </c>
      <c r="M15" s="3" t="str">
        <f t="shared" si="5"/>
        <v>STUDENT 14</v>
      </c>
      <c r="N15" s="3" t="str">
        <f>VLOOKUP(A15, A:B, 2, FALSE)</f>
        <v>Student 14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4">
        <v>1015</v>
      </c>
      <c r="B16" s="4" t="s">
        <v>31</v>
      </c>
      <c r="C16" s="4">
        <v>70</v>
      </c>
      <c r="D16" s="4">
        <v>51</v>
      </c>
      <c r="E16" s="4">
        <v>75</v>
      </c>
      <c r="F16" s="5">
        <v>45621</v>
      </c>
      <c r="G16" s="3" t="str">
        <f t="shared" si="0"/>
        <v>B</v>
      </c>
      <c r="H16" s="1"/>
      <c r="I16" s="3" t="str">
        <f t="shared" si="1"/>
        <v>Above 50</v>
      </c>
      <c r="J16" s="3">
        <f t="shared" si="2"/>
        <v>196</v>
      </c>
      <c r="K16" s="3" t="str">
        <f t="shared" si="3"/>
        <v>Fail</v>
      </c>
      <c r="L16" s="6">
        <f t="shared" si="4"/>
        <v>210.5</v>
      </c>
      <c r="M16" s="3" t="str">
        <f t="shared" si="5"/>
        <v>STUDENT 15</v>
      </c>
      <c r="N16" s="3" t="str">
        <f>VLOOKUP(A16, A:B, 2, FALSE)</f>
        <v>Student 15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4">
        <v>1016</v>
      </c>
      <c r="B17" s="4" t="s">
        <v>32</v>
      </c>
      <c r="C17" s="4">
        <v>98</v>
      </c>
      <c r="D17" s="4">
        <v>77</v>
      </c>
      <c r="E17" s="4">
        <v>60</v>
      </c>
      <c r="F17" s="5">
        <v>45801</v>
      </c>
      <c r="G17" s="3" t="str">
        <f t="shared" si="0"/>
        <v>B</v>
      </c>
      <c r="H17" s="1"/>
      <c r="I17" s="3" t="str">
        <f t="shared" si="1"/>
        <v>Above 50</v>
      </c>
      <c r="J17" s="3">
        <f t="shared" si="2"/>
        <v>235</v>
      </c>
      <c r="K17" s="3" t="str">
        <f t="shared" si="3"/>
        <v>Pass</v>
      </c>
      <c r="L17" s="6">
        <f t="shared" si="4"/>
        <v>213.4</v>
      </c>
      <c r="M17" s="3" t="str">
        <f t="shared" si="5"/>
        <v>STUDENT 16</v>
      </c>
      <c r="N17" s="3" t="str">
        <f>VLOOKUP(A17, A:B, 2, FALSE)</f>
        <v>Student 16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4">
        <v>1017</v>
      </c>
      <c r="B18" s="4" t="s">
        <v>33</v>
      </c>
      <c r="C18" s="4">
        <v>66</v>
      </c>
      <c r="D18" s="4">
        <v>59</v>
      </c>
      <c r="E18" s="4">
        <v>40</v>
      </c>
      <c r="F18" s="5">
        <v>45981</v>
      </c>
      <c r="G18" s="3" t="str">
        <f t="shared" si="0"/>
        <v>C</v>
      </c>
      <c r="H18" s="1"/>
      <c r="I18" s="3" t="str">
        <f t="shared" si="1"/>
        <v>Above 50</v>
      </c>
      <c r="J18" s="3">
        <f t="shared" si="2"/>
        <v>165</v>
      </c>
      <c r="K18" s="3" t="str">
        <f t="shared" si="3"/>
        <v>Fail</v>
      </c>
      <c r="L18" s="6">
        <f t="shared" si="4"/>
        <v>208</v>
      </c>
      <c r="M18" s="3" t="str">
        <f t="shared" si="5"/>
        <v>STUDENT 17</v>
      </c>
      <c r="N18" s="3" t="str">
        <f>VLOOKUP(A18, A:B, 2, FALSE)</f>
        <v>Student 17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4">
        <v>1018</v>
      </c>
      <c r="B19" s="4" t="s">
        <v>34</v>
      </c>
      <c r="C19" s="4">
        <v>82</v>
      </c>
      <c r="D19" s="4">
        <v>48</v>
      </c>
      <c r="E19" s="4">
        <v>79</v>
      </c>
      <c r="F19" s="5">
        <v>46161</v>
      </c>
      <c r="G19" s="3" t="str">
        <f t="shared" si="0"/>
        <v>B</v>
      </c>
      <c r="H19" s="1"/>
      <c r="I19" s="3" t="str">
        <f t="shared" si="1"/>
        <v>Above 50</v>
      </c>
      <c r="J19" s="3">
        <f t="shared" si="2"/>
        <v>209</v>
      </c>
      <c r="K19" s="3" t="str">
        <f t="shared" si="3"/>
        <v>Fail</v>
      </c>
      <c r="L19" s="6">
        <f t="shared" si="4"/>
        <v>222.33333333333334</v>
      </c>
      <c r="M19" s="3" t="str">
        <f t="shared" si="5"/>
        <v>STUDENT 18</v>
      </c>
      <c r="N19" s="3" t="str">
        <f>VLOOKUP(A19, A:B, 2, FALSE)</f>
        <v>Student 18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4">
        <v>1019</v>
      </c>
      <c r="B20" s="4" t="s">
        <v>35</v>
      </c>
      <c r="C20" s="4">
        <v>90</v>
      </c>
      <c r="D20" s="4">
        <v>78</v>
      </c>
      <c r="E20" s="4">
        <v>60</v>
      </c>
      <c r="F20" s="5">
        <v>46341</v>
      </c>
      <c r="G20" s="3" t="str">
        <f t="shared" si="0"/>
        <v>B</v>
      </c>
      <c r="H20" s="1"/>
      <c r="I20" s="3" t="str">
        <f t="shared" si="1"/>
        <v>Above 50</v>
      </c>
      <c r="J20" s="3">
        <f t="shared" si="2"/>
        <v>228</v>
      </c>
      <c r="K20" s="3" t="str">
        <f t="shared" si="3"/>
        <v>Pass</v>
      </c>
      <c r="L20" s="6">
        <f t="shared" si="4"/>
        <v>229</v>
      </c>
      <c r="M20" s="3" t="str">
        <f t="shared" si="5"/>
        <v>STUDENT 19</v>
      </c>
      <c r="N20" s="3" t="str">
        <f>VLOOKUP(A20, A:B, 2, FALSE)</f>
        <v>Student 19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">
        <v>1020</v>
      </c>
      <c r="B21" s="4" t="s">
        <v>36</v>
      </c>
      <c r="C21" s="4">
        <v>83</v>
      </c>
      <c r="D21" s="4">
        <v>92</v>
      </c>
      <c r="E21" s="4">
        <v>55</v>
      </c>
      <c r="F21" s="5">
        <v>46521</v>
      </c>
      <c r="G21" s="3" t="str">
        <f>IF(SUM(C21:E21)&gt;=240,"A",IF(SUM(C21:E21)&gt;=180,"B",IF(SUM(C21:E21)&gt;=120,"C","Fail")))</f>
        <v>B</v>
      </c>
      <c r="H21" s="1"/>
      <c r="I21" s="3" t="str">
        <f t="shared" si="1"/>
        <v>Above 50</v>
      </c>
      <c r="J21" s="3">
        <f t="shared" si="2"/>
        <v>230</v>
      </c>
      <c r="K21" s="3" t="str">
        <f t="shared" si="3"/>
        <v>Pass</v>
      </c>
      <c r="L21" s="6">
        <f t="shared" si="4"/>
        <v>230</v>
      </c>
      <c r="M21" s="3" t="str">
        <f t="shared" si="5"/>
        <v>STUDENT 20</v>
      </c>
      <c r="N21" s="3" t="str">
        <f>VLOOKUP(A21, A:B, 2, FALSE)</f>
        <v>Student 20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8514-5FE8-4FAB-858B-58EBD07E85CB}">
  <dimension ref="A1:Z1000"/>
  <sheetViews>
    <sheetView workbookViewId="0">
      <selection activeCell="M2" sqref="M2"/>
    </sheetView>
  </sheetViews>
  <sheetFormatPr defaultColWidth="14.44140625" defaultRowHeight="14.4" x14ac:dyDescent="0.3"/>
  <cols>
    <col min="1" max="1" width="7.88671875" customWidth="1"/>
    <col min="2" max="2" width="9.109375" customWidth="1"/>
    <col min="3" max="3" width="7.109375" customWidth="1"/>
    <col min="4" max="4" width="11.5546875" customWidth="1"/>
    <col min="5" max="5" width="8.109375" customWidth="1"/>
    <col min="6" max="6" width="18.88671875" customWidth="1"/>
    <col min="7" max="7" width="15" customWidth="1"/>
    <col min="8" max="8" width="12.77734375" customWidth="1"/>
    <col min="9" max="9" width="10" customWidth="1"/>
    <col min="10" max="10" width="11.88671875" customWidth="1"/>
    <col min="11" max="11" width="11.77734375" customWidth="1"/>
    <col min="12" max="12" width="12.44140625" customWidth="1"/>
    <col min="13" max="13" width="11.44140625" customWidth="1"/>
    <col min="14" max="26" width="8.6640625" customWidth="1"/>
  </cols>
  <sheetData>
    <row r="1" spans="1:26" x14ac:dyDescent="0.3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13</v>
      </c>
      <c r="I1" s="2" t="s">
        <v>44</v>
      </c>
      <c r="J1" s="2" t="s">
        <v>45</v>
      </c>
      <c r="K1" s="2" t="s">
        <v>46</v>
      </c>
      <c r="L1" s="2" t="s">
        <v>110</v>
      </c>
      <c r="M1" s="2" t="s">
        <v>111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4">
        <v>2001</v>
      </c>
      <c r="B2" s="4" t="s">
        <v>47</v>
      </c>
      <c r="C2" s="4" t="s">
        <v>48</v>
      </c>
      <c r="D2" s="4" t="s">
        <v>49</v>
      </c>
      <c r="E2" s="7">
        <v>7048</v>
      </c>
      <c r="F2" s="5">
        <v>44927</v>
      </c>
      <c r="G2" s="3">
        <f>INDEX($E$2:$E$21, MATCH(B2, $B$2:$B$21, 0))</f>
        <v>7048</v>
      </c>
      <c r="H2" s="3">
        <f>VLOOKUP(A2,A:E,5,FALSE)</f>
        <v>7048</v>
      </c>
      <c r="I2" s="3">
        <f>SUMIFS(E2:E21,B2:B21,"Keyboard",C2:C21,"East")</f>
        <v>80349</v>
      </c>
      <c r="J2" s="3">
        <f ca="1">MATCH(J2,B2:B21,0)</f>
        <v>0</v>
      </c>
      <c r="K2" s="3">
        <f>ROUND(E2,0)</f>
        <v>7048</v>
      </c>
      <c r="L2" s="3">
        <f>CEILING(E2,1)</f>
        <v>7048</v>
      </c>
      <c r="M2" s="3">
        <f ca="1">SUM(OFFSET(E2,0,0,COUNTA(A2:A21),1))</f>
        <v>507725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4">
        <v>2002</v>
      </c>
      <c r="B3" s="4" t="s">
        <v>50</v>
      </c>
      <c r="C3" s="4" t="s">
        <v>51</v>
      </c>
      <c r="D3" s="4" t="s">
        <v>52</v>
      </c>
      <c r="E3" s="4">
        <v>17428</v>
      </c>
      <c r="F3" s="5">
        <v>44942</v>
      </c>
      <c r="G3" s="3">
        <f t="shared" ref="G3:G21" si="0">INDEX($E$2:$E$21, MATCH(B3, $B$2:$B$21, 0))</f>
        <v>17428</v>
      </c>
      <c r="H3" s="3">
        <f t="shared" ref="H3:H21" si="1">VLOOKUP(A3,A:E,5,FALSE)</f>
        <v>17428</v>
      </c>
      <c r="I3" s="3">
        <f t="shared" ref="I3:I21" si="2">SUMIFS(E3:E22,B3:B22,"Keyboard",C3:C22,"East")</f>
        <v>80349</v>
      </c>
      <c r="J3" s="3">
        <f t="shared" ref="J3:J4" ca="1" si="3">MATCH(J3,B3:B22,0)</f>
        <v>0</v>
      </c>
      <c r="K3" s="8"/>
      <c r="L3" s="1" t="s">
        <v>53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4">
        <v>2003</v>
      </c>
      <c r="B4" s="4" t="s">
        <v>54</v>
      </c>
      <c r="C4" s="4" t="s">
        <v>48</v>
      </c>
      <c r="D4" s="4" t="s">
        <v>55</v>
      </c>
      <c r="E4" s="4">
        <v>23672</v>
      </c>
      <c r="F4" s="5">
        <v>44957</v>
      </c>
      <c r="G4" s="3">
        <f t="shared" si="0"/>
        <v>23672</v>
      </c>
      <c r="H4" s="3">
        <f t="shared" si="1"/>
        <v>23672</v>
      </c>
      <c r="I4" s="3">
        <f t="shared" si="2"/>
        <v>80349</v>
      </c>
      <c r="J4" s="3">
        <f t="shared" ca="1" si="3"/>
        <v>0</v>
      </c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4">
        <v>2004</v>
      </c>
      <c r="B5" s="4" t="s">
        <v>50</v>
      </c>
      <c r="C5" s="4" t="s">
        <v>56</v>
      </c>
      <c r="D5" s="4" t="s">
        <v>57</v>
      </c>
      <c r="E5" s="4">
        <v>5264</v>
      </c>
      <c r="F5" s="5">
        <v>44972</v>
      </c>
      <c r="G5" s="3">
        <f t="shared" si="0"/>
        <v>17428</v>
      </c>
      <c r="H5" s="3">
        <f t="shared" si="1"/>
        <v>5264</v>
      </c>
      <c r="I5" s="3">
        <f t="shared" si="2"/>
        <v>80349</v>
      </c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4">
        <v>2005</v>
      </c>
      <c r="B6" s="4" t="s">
        <v>47</v>
      </c>
      <c r="C6" s="4" t="s">
        <v>58</v>
      </c>
      <c r="D6" s="4" t="s">
        <v>59</v>
      </c>
      <c r="E6" s="4">
        <v>43388</v>
      </c>
      <c r="F6" s="5">
        <v>44987</v>
      </c>
      <c r="G6" s="3">
        <f t="shared" si="0"/>
        <v>7048</v>
      </c>
      <c r="H6" s="3">
        <f t="shared" si="1"/>
        <v>43388</v>
      </c>
      <c r="I6" s="3">
        <f t="shared" si="2"/>
        <v>80349</v>
      </c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4">
        <v>2006</v>
      </c>
      <c r="B7" s="4" t="s">
        <v>54</v>
      </c>
      <c r="C7" s="4" t="s">
        <v>58</v>
      </c>
      <c r="D7" s="4" t="s">
        <v>60</v>
      </c>
      <c r="E7" s="4">
        <v>19757</v>
      </c>
      <c r="F7" s="5">
        <v>45002</v>
      </c>
      <c r="G7" s="3">
        <f t="shared" si="0"/>
        <v>23672</v>
      </c>
      <c r="H7" s="3">
        <f t="shared" si="1"/>
        <v>19757</v>
      </c>
      <c r="I7" s="3">
        <f t="shared" si="2"/>
        <v>80349</v>
      </c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4">
        <v>2007</v>
      </c>
      <c r="B8" s="4" t="s">
        <v>54</v>
      </c>
      <c r="C8" s="4" t="s">
        <v>56</v>
      </c>
      <c r="D8" s="4" t="s">
        <v>61</v>
      </c>
      <c r="E8" s="4">
        <v>32058</v>
      </c>
      <c r="F8" s="5">
        <v>45017</v>
      </c>
      <c r="G8" s="3">
        <f t="shared" si="0"/>
        <v>23672</v>
      </c>
      <c r="H8" s="3">
        <f t="shared" si="1"/>
        <v>32058</v>
      </c>
      <c r="I8" s="3">
        <f t="shared" si="2"/>
        <v>80349</v>
      </c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4">
        <v>2008</v>
      </c>
      <c r="B9" s="4" t="s">
        <v>47</v>
      </c>
      <c r="C9" s="4" t="s">
        <v>56</v>
      </c>
      <c r="D9" s="4" t="s">
        <v>62</v>
      </c>
      <c r="E9" s="4">
        <v>46429</v>
      </c>
      <c r="F9" s="5">
        <v>45032</v>
      </c>
      <c r="G9" s="3">
        <f t="shared" si="0"/>
        <v>7048</v>
      </c>
      <c r="H9" s="3">
        <f t="shared" si="1"/>
        <v>46429</v>
      </c>
      <c r="I9" s="3">
        <f t="shared" si="2"/>
        <v>80349</v>
      </c>
      <c r="J9" s="1"/>
      <c r="K9" s="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4">
        <v>2009</v>
      </c>
      <c r="B10" s="4" t="s">
        <v>50</v>
      </c>
      <c r="C10" s="4" t="s">
        <v>56</v>
      </c>
      <c r="D10" s="4" t="s">
        <v>63</v>
      </c>
      <c r="E10" s="4">
        <v>19746</v>
      </c>
      <c r="F10" s="5">
        <v>45047</v>
      </c>
      <c r="G10" s="3">
        <f t="shared" si="0"/>
        <v>17428</v>
      </c>
      <c r="H10" s="3">
        <f t="shared" si="1"/>
        <v>19746</v>
      </c>
      <c r="I10" s="3">
        <f t="shared" si="2"/>
        <v>33920</v>
      </c>
      <c r="J10" s="1"/>
      <c r="K10" s="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4">
        <v>2010</v>
      </c>
      <c r="B11" s="4" t="s">
        <v>47</v>
      </c>
      <c r="C11" s="4" t="s">
        <v>48</v>
      </c>
      <c r="D11" s="4" t="s">
        <v>64</v>
      </c>
      <c r="E11" s="4">
        <v>35185</v>
      </c>
      <c r="F11" s="5">
        <v>45062</v>
      </c>
      <c r="G11" s="3">
        <f t="shared" si="0"/>
        <v>7048</v>
      </c>
      <c r="H11" s="3">
        <f t="shared" si="1"/>
        <v>35185</v>
      </c>
      <c r="I11" s="3">
        <f t="shared" si="2"/>
        <v>33920</v>
      </c>
      <c r="J11" s="1"/>
      <c r="K11" s="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4">
        <v>2011</v>
      </c>
      <c r="B12" s="4" t="s">
        <v>47</v>
      </c>
      <c r="C12" s="4" t="s">
        <v>56</v>
      </c>
      <c r="D12" s="4" t="s">
        <v>65</v>
      </c>
      <c r="E12" s="4">
        <v>33920</v>
      </c>
      <c r="F12" s="5">
        <v>45077</v>
      </c>
      <c r="G12" s="3">
        <f t="shared" si="0"/>
        <v>7048</v>
      </c>
      <c r="H12" s="3">
        <f t="shared" si="1"/>
        <v>33920</v>
      </c>
      <c r="I12" s="3">
        <f t="shared" si="2"/>
        <v>33920</v>
      </c>
      <c r="J12" s="1"/>
      <c r="K12" s="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4">
        <v>2012</v>
      </c>
      <c r="B13" s="4" t="s">
        <v>66</v>
      </c>
      <c r="C13" s="4" t="s">
        <v>58</v>
      </c>
      <c r="D13" s="4" t="s">
        <v>67</v>
      </c>
      <c r="E13" s="4">
        <v>35611</v>
      </c>
      <c r="F13" s="5">
        <v>45092</v>
      </c>
      <c r="G13" s="3">
        <f t="shared" si="0"/>
        <v>35611</v>
      </c>
      <c r="H13" s="3">
        <f t="shared" si="1"/>
        <v>35611</v>
      </c>
      <c r="I13" s="3">
        <f t="shared" si="2"/>
        <v>0</v>
      </c>
      <c r="J13" s="1"/>
      <c r="K13" s="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4">
        <v>2013</v>
      </c>
      <c r="B14" s="4" t="s">
        <v>68</v>
      </c>
      <c r="C14" s="4" t="s">
        <v>56</v>
      </c>
      <c r="D14" s="4" t="s">
        <v>69</v>
      </c>
      <c r="E14" s="4">
        <v>15560</v>
      </c>
      <c r="F14" s="5">
        <v>45107</v>
      </c>
      <c r="G14" s="3">
        <f t="shared" si="0"/>
        <v>15560</v>
      </c>
      <c r="H14" s="3">
        <f t="shared" si="1"/>
        <v>15560</v>
      </c>
      <c r="I14" s="3">
        <f t="shared" si="2"/>
        <v>0</v>
      </c>
      <c r="J14" s="1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4">
        <v>2014</v>
      </c>
      <c r="B15" s="4" t="s">
        <v>68</v>
      </c>
      <c r="C15" s="4" t="s">
        <v>48</v>
      </c>
      <c r="D15" s="4" t="s">
        <v>70</v>
      </c>
      <c r="E15" s="4">
        <v>7283</v>
      </c>
      <c r="F15" s="5">
        <v>45122</v>
      </c>
      <c r="G15" s="3">
        <f t="shared" si="0"/>
        <v>15560</v>
      </c>
      <c r="H15" s="3">
        <f t="shared" si="1"/>
        <v>7283</v>
      </c>
      <c r="I15" s="3">
        <f t="shared" si="2"/>
        <v>0</v>
      </c>
      <c r="J15" s="1"/>
      <c r="K15" s="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4">
        <v>2015</v>
      </c>
      <c r="B16" s="4" t="s">
        <v>68</v>
      </c>
      <c r="C16" s="4" t="s">
        <v>56</v>
      </c>
      <c r="D16" s="4" t="s">
        <v>71</v>
      </c>
      <c r="E16" s="4">
        <v>15678</v>
      </c>
      <c r="F16" s="5">
        <v>45137</v>
      </c>
      <c r="G16" s="3">
        <f t="shared" si="0"/>
        <v>15560</v>
      </c>
      <c r="H16" s="3">
        <f t="shared" si="1"/>
        <v>15678</v>
      </c>
      <c r="I16" s="3">
        <f t="shared" si="2"/>
        <v>0</v>
      </c>
      <c r="J16" s="1"/>
      <c r="K16" s="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4">
        <v>2016</v>
      </c>
      <c r="B17" s="4" t="s">
        <v>54</v>
      </c>
      <c r="C17" s="4" t="s">
        <v>56</v>
      </c>
      <c r="D17" s="4" t="s">
        <v>72</v>
      </c>
      <c r="E17" s="4">
        <v>5277</v>
      </c>
      <c r="F17" s="5">
        <v>45152</v>
      </c>
      <c r="G17" s="3">
        <f t="shared" si="0"/>
        <v>23672</v>
      </c>
      <c r="H17" s="3">
        <f t="shared" si="1"/>
        <v>5277</v>
      </c>
      <c r="I17" s="3">
        <f t="shared" si="2"/>
        <v>0</v>
      </c>
      <c r="J17" s="1"/>
      <c r="K17" s="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4">
        <v>2017</v>
      </c>
      <c r="B18" s="4" t="s">
        <v>66</v>
      </c>
      <c r="C18" s="4" t="s">
        <v>58</v>
      </c>
      <c r="D18" s="4" t="s">
        <v>73</v>
      </c>
      <c r="E18" s="4">
        <v>41871</v>
      </c>
      <c r="F18" s="5">
        <v>45167</v>
      </c>
      <c r="G18" s="3">
        <f t="shared" si="0"/>
        <v>35611</v>
      </c>
      <c r="H18" s="3">
        <f t="shared" si="1"/>
        <v>41871</v>
      </c>
      <c r="I18" s="3">
        <f t="shared" si="2"/>
        <v>0</v>
      </c>
      <c r="J18" s="1"/>
      <c r="K18" s="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4">
        <v>2018</v>
      </c>
      <c r="B19" s="4" t="s">
        <v>66</v>
      </c>
      <c r="C19" s="4" t="s">
        <v>51</v>
      </c>
      <c r="D19" s="4" t="s">
        <v>74</v>
      </c>
      <c r="E19" s="4">
        <v>38161</v>
      </c>
      <c r="F19" s="5">
        <v>45182</v>
      </c>
      <c r="G19" s="3">
        <f t="shared" si="0"/>
        <v>35611</v>
      </c>
      <c r="H19" s="3">
        <f t="shared" si="1"/>
        <v>38161</v>
      </c>
      <c r="I19" s="3">
        <f t="shared" si="2"/>
        <v>0</v>
      </c>
      <c r="J19" s="1"/>
      <c r="K19" s="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4">
        <v>2019</v>
      </c>
      <c r="B20" s="4" t="s">
        <v>54</v>
      </c>
      <c r="C20" s="4" t="s">
        <v>51</v>
      </c>
      <c r="D20" s="4" t="s">
        <v>75</v>
      </c>
      <c r="E20" s="4">
        <v>30436</v>
      </c>
      <c r="F20" s="5">
        <v>45197</v>
      </c>
      <c r="G20" s="3">
        <f t="shared" si="0"/>
        <v>23672</v>
      </c>
      <c r="H20" s="3">
        <f t="shared" si="1"/>
        <v>30436</v>
      </c>
      <c r="I20" s="3">
        <f t="shared" si="2"/>
        <v>0</v>
      </c>
      <c r="J20" s="1"/>
      <c r="K20" s="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">
        <v>2020</v>
      </c>
      <c r="B21" s="4" t="s">
        <v>50</v>
      </c>
      <c r="C21" s="4" t="s">
        <v>51</v>
      </c>
      <c r="D21" s="4" t="s">
        <v>76</v>
      </c>
      <c r="E21" s="4">
        <v>33953</v>
      </c>
      <c r="F21" s="5">
        <v>45212</v>
      </c>
      <c r="G21" s="3">
        <f t="shared" si="0"/>
        <v>17428</v>
      </c>
      <c r="H21" s="3">
        <f t="shared" si="1"/>
        <v>33953</v>
      </c>
      <c r="I21" s="3">
        <f t="shared" si="2"/>
        <v>0</v>
      </c>
      <c r="J21" s="1"/>
      <c r="K21" s="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3423-EBA7-41A8-A1FF-774F91BFD3EC}">
  <dimension ref="A1:Y1000"/>
  <sheetViews>
    <sheetView zoomScaleNormal="100" workbookViewId="0">
      <selection activeCell="F12" sqref="F12"/>
    </sheetView>
  </sheetViews>
  <sheetFormatPr defaultColWidth="14.44140625" defaultRowHeight="14.4" x14ac:dyDescent="0.3"/>
  <cols>
    <col min="1" max="1" width="12" customWidth="1"/>
    <col min="2" max="2" width="12.109375" customWidth="1"/>
    <col min="3" max="3" width="11.6640625" customWidth="1"/>
    <col min="4" max="4" width="7.5546875" customWidth="1"/>
    <col min="5" max="5" width="18.88671875" customWidth="1"/>
    <col min="6" max="6" width="20.77734375" customWidth="1"/>
    <col min="7" max="7" width="13.88671875" customWidth="1"/>
    <col min="8" max="8" width="11.88671875" customWidth="1"/>
    <col min="9" max="9" width="13.5546875" customWidth="1"/>
    <col min="10" max="10" width="17.33203125" customWidth="1"/>
    <col min="11" max="11" width="15" customWidth="1"/>
    <col min="12" max="12" width="11.5546875" customWidth="1"/>
    <col min="13" max="25" width="8.6640625" customWidth="1"/>
  </cols>
  <sheetData>
    <row r="1" spans="1:25" x14ac:dyDescent="0.3">
      <c r="A1" s="2" t="s">
        <v>77</v>
      </c>
      <c r="B1" s="2" t="s">
        <v>1</v>
      </c>
      <c r="C1" s="2" t="s">
        <v>78</v>
      </c>
      <c r="D1" s="2" t="s">
        <v>79</v>
      </c>
      <c r="E1" s="2" t="s">
        <v>80</v>
      </c>
      <c r="F1" s="2" t="s">
        <v>109</v>
      </c>
      <c r="G1" s="2" t="s">
        <v>12</v>
      </c>
      <c r="H1" s="2" t="s">
        <v>105</v>
      </c>
      <c r="I1" s="2" t="s">
        <v>106</v>
      </c>
      <c r="J1" s="2" t="s">
        <v>107</v>
      </c>
      <c r="K1" s="2" t="s">
        <v>108</v>
      </c>
      <c r="L1" s="2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4">
        <v>3001</v>
      </c>
      <c r="B2" s="4" t="s">
        <v>81</v>
      </c>
      <c r="C2" s="4" t="s">
        <v>82</v>
      </c>
      <c r="D2" s="4">
        <v>86766</v>
      </c>
      <c r="E2" s="5">
        <v>42005</v>
      </c>
      <c r="F2" s="3" t="str">
        <f>IFERROR(INDEX($C$2:$C$21,MATCH($A2,$A$2:$A$21,0)),"Not Found")</f>
        <v>Finance</v>
      </c>
      <c r="G2" s="3" t="str">
        <f>UPPER(B2)</f>
        <v>EMPLOYEE 1</v>
      </c>
      <c r="H2" s="3" t="str">
        <f>LEFT(B2,5)</f>
        <v>Emplo</v>
      </c>
      <c r="I2" s="3">
        <f>YEAR(E2)</f>
        <v>2015</v>
      </c>
      <c r="J2" s="3" t="str">
        <f>TEXT(E2,"mmmm")</f>
        <v>January</v>
      </c>
      <c r="K2" s="3">
        <f>DAY(E2)</f>
        <v>1</v>
      </c>
      <c r="L2" s="3">
        <f>COUNTIF(E2:E21,"&gt;=2018-01-01")</f>
        <v>15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4">
        <v>3002</v>
      </c>
      <c r="B3" s="4" t="s">
        <v>83</v>
      </c>
      <c r="C3" s="4" t="s">
        <v>82</v>
      </c>
      <c r="D3" s="4">
        <v>31943</v>
      </c>
      <c r="E3" s="5">
        <v>42255</v>
      </c>
      <c r="F3" s="3" t="str">
        <f t="shared" ref="F3:F6" si="0">IFERROR(INDEX($C$2:$C$21,MATCH($A3,$A$2:$A$21,0)),"Not Found")</f>
        <v>Finance</v>
      </c>
      <c r="G3" s="1"/>
      <c r="H3" s="1"/>
      <c r="I3" s="3">
        <f t="shared" ref="I3:I21" si="1">YEAR(E3)</f>
        <v>2015</v>
      </c>
      <c r="J3" s="3" t="str">
        <f t="shared" ref="J3:J21" si="2">TEXT(E3,"mmmm")</f>
        <v>September</v>
      </c>
      <c r="K3" s="3">
        <f t="shared" ref="K3:K21" si="3">DAY(E3)</f>
        <v>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4">
        <v>3003</v>
      </c>
      <c r="B4" s="4" t="s">
        <v>84</v>
      </c>
      <c r="C4" s="4" t="s">
        <v>85</v>
      </c>
      <c r="D4" s="4">
        <v>63374</v>
      </c>
      <c r="E4" s="5">
        <v>42505</v>
      </c>
      <c r="F4" s="3" t="str">
        <f t="shared" si="0"/>
        <v>HR</v>
      </c>
      <c r="G4" s="1"/>
      <c r="H4" s="1"/>
      <c r="I4" s="3">
        <f t="shared" si="1"/>
        <v>2016</v>
      </c>
      <c r="J4" s="3" t="str">
        <f t="shared" si="2"/>
        <v>May</v>
      </c>
      <c r="K4" s="3">
        <f t="shared" si="3"/>
        <v>15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4">
        <v>3004</v>
      </c>
      <c r="B5" s="4" t="s">
        <v>86</v>
      </c>
      <c r="C5" s="4" t="s">
        <v>82</v>
      </c>
      <c r="D5" s="4">
        <v>109972</v>
      </c>
      <c r="E5" s="5">
        <v>42755</v>
      </c>
      <c r="F5" s="3" t="str">
        <f t="shared" si="0"/>
        <v>Finance</v>
      </c>
      <c r="G5" s="1"/>
      <c r="H5" s="1"/>
      <c r="I5" s="3">
        <f t="shared" si="1"/>
        <v>2017</v>
      </c>
      <c r="J5" s="3" t="str">
        <f t="shared" si="2"/>
        <v>January</v>
      </c>
      <c r="K5" s="3">
        <f t="shared" si="3"/>
        <v>20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4">
        <v>3005</v>
      </c>
      <c r="B6" s="4" t="s">
        <v>87</v>
      </c>
      <c r="C6" s="4" t="s">
        <v>88</v>
      </c>
      <c r="D6" s="4">
        <v>54149</v>
      </c>
      <c r="E6" s="5">
        <v>43005</v>
      </c>
      <c r="F6" s="3" t="str">
        <f t="shared" si="0"/>
        <v>IT</v>
      </c>
      <c r="G6" s="1"/>
      <c r="H6" s="1"/>
      <c r="I6" s="3">
        <f t="shared" si="1"/>
        <v>2017</v>
      </c>
      <c r="J6" s="3" t="str">
        <f t="shared" si="2"/>
        <v>September</v>
      </c>
      <c r="K6" s="3">
        <f t="shared" si="3"/>
        <v>27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4">
        <v>3006</v>
      </c>
      <c r="B7" s="4" t="s">
        <v>89</v>
      </c>
      <c r="C7" s="4" t="s">
        <v>88</v>
      </c>
      <c r="D7" s="4">
        <v>78689</v>
      </c>
      <c r="E7" s="5">
        <v>43255</v>
      </c>
      <c r="F7" s="1"/>
      <c r="G7" s="1"/>
      <c r="H7" s="1"/>
      <c r="I7" s="3">
        <f t="shared" si="1"/>
        <v>2018</v>
      </c>
      <c r="J7" s="3" t="str">
        <f t="shared" si="2"/>
        <v>June</v>
      </c>
      <c r="K7" s="3">
        <f t="shared" si="3"/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4">
        <v>3007</v>
      </c>
      <c r="B8" s="4" t="s">
        <v>90</v>
      </c>
      <c r="C8" s="4" t="s">
        <v>91</v>
      </c>
      <c r="D8" s="4">
        <v>35960</v>
      </c>
      <c r="E8" s="5">
        <v>43505</v>
      </c>
      <c r="F8" s="1"/>
      <c r="G8" s="1"/>
      <c r="H8" s="1"/>
      <c r="I8" s="3">
        <f t="shared" si="1"/>
        <v>2019</v>
      </c>
      <c r="J8" s="3" t="str">
        <f t="shared" si="2"/>
        <v>February</v>
      </c>
      <c r="K8" s="3">
        <f t="shared" si="3"/>
        <v>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4">
        <v>3008</v>
      </c>
      <c r="B9" s="4" t="s">
        <v>92</v>
      </c>
      <c r="C9" s="4" t="s">
        <v>88</v>
      </c>
      <c r="D9" s="4">
        <v>91659</v>
      </c>
      <c r="E9" s="5">
        <v>43755</v>
      </c>
      <c r="F9" s="1"/>
      <c r="G9" s="1"/>
      <c r="H9" s="1"/>
      <c r="I9" s="3">
        <f t="shared" si="1"/>
        <v>2019</v>
      </c>
      <c r="J9" s="3" t="str">
        <f t="shared" si="2"/>
        <v>October</v>
      </c>
      <c r="K9" s="3">
        <f t="shared" si="3"/>
        <v>17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4">
        <v>3009</v>
      </c>
      <c r="B10" s="4" t="s">
        <v>93</v>
      </c>
      <c r="C10" s="4" t="s">
        <v>88</v>
      </c>
      <c r="D10" s="4">
        <v>90423</v>
      </c>
      <c r="E10" s="5">
        <v>44005</v>
      </c>
      <c r="F10" s="1"/>
      <c r="G10" s="1"/>
      <c r="H10" s="1"/>
      <c r="I10" s="3">
        <f t="shared" si="1"/>
        <v>2020</v>
      </c>
      <c r="J10" s="3" t="str">
        <f t="shared" si="2"/>
        <v>June</v>
      </c>
      <c r="K10" s="3">
        <f t="shared" si="3"/>
        <v>23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4">
        <v>3010</v>
      </c>
      <c r="B11" s="4" t="s">
        <v>94</v>
      </c>
      <c r="C11" s="4" t="s">
        <v>85</v>
      </c>
      <c r="D11" s="4">
        <v>107877</v>
      </c>
      <c r="E11" s="5">
        <v>44255</v>
      </c>
      <c r="F11" s="1"/>
      <c r="G11" s="1"/>
      <c r="H11" s="1"/>
      <c r="I11" s="3">
        <f t="shared" si="1"/>
        <v>2021</v>
      </c>
      <c r="J11" s="3" t="str">
        <f t="shared" si="2"/>
        <v>February</v>
      </c>
      <c r="K11" s="3">
        <f t="shared" si="3"/>
        <v>28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4">
        <v>3011</v>
      </c>
      <c r="B12" s="4" t="s">
        <v>95</v>
      </c>
      <c r="C12" s="4" t="s">
        <v>82</v>
      </c>
      <c r="D12" s="4">
        <v>107634</v>
      </c>
      <c r="E12" s="5">
        <v>44505</v>
      </c>
      <c r="F12" s="1"/>
      <c r="G12" s="1"/>
      <c r="H12" s="1"/>
      <c r="I12" s="3">
        <f t="shared" si="1"/>
        <v>2021</v>
      </c>
      <c r="J12" s="3" t="str">
        <f t="shared" si="2"/>
        <v>November</v>
      </c>
      <c r="K12" s="3">
        <f t="shared" si="3"/>
        <v>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">
      <c r="A13" s="4">
        <v>3012</v>
      </c>
      <c r="B13" s="4" t="s">
        <v>96</v>
      </c>
      <c r="C13" s="4" t="s">
        <v>82</v>
      </c>
      <c r="D13" s="4">
        <v>35226</v>
      </c>
      <c r="E13" s="5">
        <v>44755</v>
      </c>
      <c r="F13" s="1"/>
      <c r="G13" s="1"/>
      <c r="H13" s="1"/>
      <c r="I13" s="3">
        <f t="shared" si="1"/>
        <v>2022</v>
      </c>
      <c r="J13" s="3" t="str">
        <f t="shared" si="2"/>
        <v>July</v>
      </c>
      <c r="K13" s="3">
        <f t="shared" si="3"/>
        <v>13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4">
        <v>3013</v>
      </c>
      <c r="B14" s="4" t="s">
        <v>97</v>
      </c>
      <c r="C14" s="4" t="s">
        <v>85</v>
      </c>
      <c r="D14" s="4">
        <v>40872</v>
      </c>
      <c r="E14" s="5">
        <v>45005</v>
      </c>
      <c r="F14" s="1"/>
      <c r="G14" s="1"/>
      <c r="H14" s="1"/>
      <c r="I14" s="3">
        <f t="shared" si="1"/>
        <v>2023</v>
      </c>
      <c r="J14" s="3" t="str">
        <f t="shared" si="2"/>
        <v>March</v>
      </c>
      <c r="K14" s="3">
        <f t="shared" si="3"/>
        <v>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">
      <c r="A15" s="4">
        <v>3014</v>
      </c>
      <c r="B15" s="4" t="s">
        <v>98</v>
      </c>
      <c r="C15" s="4" t="s">
        <v>85</v>
      </c>
      <c r="D15" s="4">
        <v>55378</v>
      </c>
      <c r="E15" s="5">
        <v>45255</v>
      </c>
      <c r="F15" s="1"/>
      <c r="G15" s="1"/>
      <c r="H15" s="1"/>
      <c r="I15" s="3">
        <f t="shared" si="1"/>
        <v>2023</v>
      </c>
      <c r="J15" s="3" t="str">
        <f t="shared" si="2"/>
        <v>November</v>
      </c>
      <c r="K15" s="3">
        <f t="shared" si="3"/>
        <v>25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4">
        <v>3015</v>
      </c>
      <c r="B16" s="4" t="s">
        <v>99</v>
      </c>
      <c r="C16" s="4" t="s">
        <v>85</v>
      </c>
      <c r="D16" s="4">
        <v>63297</v>
      </c>
      <c r="E16" s="5">
        <v>45505</v>
      </c>
      <c r="F16" s="1"/>
      <c r="G16" s="1"/>
      <c r="H16" s="1"/>
      <c r="I16" s="3">
        <f t="shared" si="1"/>
        <v>2024</v>
      </c>
      <c r="J16" s="3" t="str">
        <f t="shared" si="2"/>
        <v>August</v>
      </c>
      <c r="K16" s="3">
        <f t="shared" si="3"/>
        <v>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4">
        <v>3016</v>
      </c>
      <c r="B17" s="4" t="s">
        <v>100</v>
      </c>
      <c r="C17" s="4" t="s">
        <v>82</v>
      </c>
      <c r="D17" s="4">
        <v>114173</v>
      </c>
      <c r="E17" s="5">
        <v>45755</v>
      </c>
      <c r="F17" s="1"/>
      <c r="G17" s="1"/>
      <c r="H17" s="1"/>
      <c r="I17" s="3">
        <f t="shared" si="1"/>
        <v>2025</v>
      </c>
      <c r="J17" s="3" t="str">
        <f t="shared" si="2"/>
        <v>April</v>
      </c>
      <c r="K17" s="3">
        <f t="shared" si="3"/>
        <v>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4">
        <v>3017</v>
      </c>
      <c r="B18" s="4" t="s">
        <v>101</v>
      </c>
      <c r="C18" s="4" t="s">
        <v>85</v>
      </c>
      <c r="D18" s="4">
        <v>86915</v>
      </c>
      <c r="E18" s="5">
        <v>46005</v>
      </c>
      <c r="F18" s="1"/>
      <c r="G18" s="1"/>
      <c r="H18" s="1"/>
      <c r="I18" s="3">
        <f t="shared" si="1"/>
        <v>2025</v>
      </c>
      <c r="J18" s="3" t="str">
        <f t="shared" si="2"/>
        <v>December</v>
      </c>
      <c r="K18" s="3">
        <f t="shared" si="3"/>
        <v>14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4">
        <v>3018</v>
      </c>
      <c r="B19" s="4" t="s">
        <v>102</v>
      </c>
      <c r="C19" s="4" t="s">
        <v>88</v>
      </c>
      <c r="D19" s="4">
        <v>116284</v>
      </c>
      <c r="E19" s="5">
        <v>46255</v>
      </c>
      <c r="F19" s="1"/>
      <c r="G19" s="1"/>
      <c r="H19" s="1"/>
      <c r="I19" s="3">
        <f t="shared" si="1"/>
        <v>2026</v>
      </c>
      <c r="J19" s="3" t="str">
        <f t="shared" si="2"/>
        <v>August</v>
      </c>
      <c r="K19" s="3">
        <f t="shared" si="3"/>
        <v>21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">
      <c r="A20" s="4">
        <v>3019</v>
      </c>
      <c r="B20" s="4" t="s">
        <v>103</v>
      </c>
      <c r="C20" s="4" t="s">
        <v>91</v>
      </c>
      <c r="D20" s="4">
        <v>116283</v>
      </c>
      <c r="E20" s="5">
        <v>46505</v>
      </c>
      <c r="F20" s="1"/>
      <c r="G20" s="1"/>
      <c r="H20" s="1"/>
      <c r="I20" s="3">
        <f t="shared" si="1"/>
        <v>2027</v>
      </c>
      <c r="J20" s="3" t="str">
        <f t="shared" si="2"/>
        <v>April</v>
      </c>
      <c r="K20" s="3">
        <f t="shared" si="3"/>
        <v>28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">
      <c r="A21" s="4">
        <v>3020</v>
      </c>
      <c r="B21" s="4" t="s">
        <v>104</v>
      </c>
      <c r="C21" s="4" t="s">
        <v>91</v>
      </c>
      <c r="D21" s="4">
        <v>99924</v>
      </c>
      <c r="E21" s="5">
        <v>46755</v>
      </c>
      <c r="F21" s="1"/>
      <c r="G21" s="1"/>
      <c r="H21" s="1"/>
      <c r="I21" s="3">
        <f t="shared" si="1"/>
        <v>2028</v>
      </c>
      <c r="J21" s="3" t="str">
        <f t="shared" si="2"/>
        <v>January</v>
      </c>
      <c r="K21" s="3">
        <f t="shared" si="3"/>
        <v>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DD84-7696-4289-A8D0-9A04CA9D1A0F}">
  <dimension ref="A1:A67"/>
  <sheetViews>
    <sheetView topLeftCell="A49" workbookViewId="0">
      <selection activeCell="E12" sqref="E12"/>
    </sheetView>
  </sheetViews>
  <sheetFormatPr defaultRowHeight="14.4" x14ac:dyDescent="0.3"/>
  <sheetData>
    <row r="1" spans="1:1" ht="18" x14ac:dyDescent="0.3">
      <c r="A1" s="9" t="s">
        <v>112</v>
      </c>
    </row>
    <row r="3" spans="1:1" x14ac:dyDescent="0.3">
      <c r="A3" t="s">
        <v>113</v>
      </c>
    </row>
    <row r="7" spans="1:1" ht="18" x14ac:dyDescent="0.3">
      <c r="A7" s="9" t="s">
        <v>114</v>
      </c>
    </row>
    <row r="9" spans="1:1" x14ac:dyDescent="0.3">
      <c r="A9" t="s">
        <v>115</v>
      </c>
    </row>
    <row r="11" spans="1:1" x14ac:dyDescent="0.3">
      <c r="A11" t="s">
        <v>116</v>
      </c>
    </row>
    <row r="12" spans="1:1" x14ac:dyDescent="0.3">
      <c r="A12" s="10"/>
    </row>
    <row r="13" spans="1:1" x14ac:dyDescent="0.3">
      <c r="A13" s="10" t="s">
        <v>117</v>
      </c>
    </row>
    <row r="14" spans="1:1" x14ac:dyDescent="0.3">
      <c r="A14" s="10"/>
    </row>
    <row r="15" spans="1:1" x14ac:dyDescent="0.3">
      <c r="A15" s="10" t="s">
        <v>118</v>
      </c>
    </row>
    <row r="16" spans="1:1" x14ac:dyDescent="0.3">
      <c r="A16" s="10"/>
    </row>
    <row r="17" spans="1:1" x14ac:dyDescent="0.3">
      <c r="A17" s="10" t="s">
        <v>119</v>
      </c>
    </row>
    <row r="18" spans="1:1" x14ac:dyDescent="0.3">
      <c r="A18" s="10"/>
    </row>
    <row r="19" spans="1:1" x14ac:dyDescent="0.3">
      <c r="A19" s="10" t="s">
        <v>120</v>
      </c>
    </row>
    <row r="20" spans="1:1" x14ac:dyDescent="0.3">
      <c r="A20" s="10"/>
    </row>
    <row r="21" spans="1:1" x14ac:dyDescent="0.3">
      <c r="A21" s="10" t="s">
        <v>121</v>
      </c>
    </row>
    <row r="22" spans="1:1" x14ac:dyDescent="0.3">
      <c r="A22" s="10"/>
    </row>
    <row r="23" spans="1:1" x14ac:dyDescent="0.3">
      <c r="A23" s="10" t="s">
        <v>122</v>
      </c>
    </row>
    <row r="24" spans="1:1" x14ac:dyDescent="0.3">
      <c r="A24" s="10"/>
    </row>
    <row r="25" spans="1:1" x14ac:dyDescent="0.3">
      <c r="A25" s="10" t="s">
        <v>123</v>
      </c>
    </row>
    <row r="26" spans="1:1" x14ac:dyDescent="0.3">
      <c r="A26" s="10"/>
    </row>
    <row r="27" spans="1:1" x14ac:dyDescent="0.3">
      <c r="A27" s="10" t="s">
        <v>124</v>
      </c>
    </row>
    <row r="28" spans="1:1" x14ac:dyDescent="0.3">
      <c r="A28" s="10"/>
    </row>
    <row r="29" spans="1:1" x14ac:dyDescent="0.3">
      <c r="A29" s="10" t="s">
        <v>125</v>
      </c>
    </row>
    <row r="33" spans="1:1" ht="18" x14ac:dyDescent="0.3">
      <c r="A33" s="9" t="s">
        <v>126</v>
      </c>
    </row>
    <row r="35" spans="1:1" x14ac:dyDescent="0.3">
      <c r="A35" t="s">
        <v>127</v>
      </c>
    </row>
    <row r="37" spans="1:1" x14ac:dyDescent="0.3">
      <c r="A37" t="s">
        <v>128</v>
      </c>
    </row>
    <row r="38" spans="1:1" x14ac:dyDescent="0.3">
      <c r="A38" s="10"/>
    </row>
    <row r="39" spans="1:1" x14ac:dyDescent="0.3">
      <c r="A39" s="10" t="s">
        <v>129</v>
      </c>
    </row>
    <row r="40" spans="1:1" x14ac:dyDescent="0.3">
      <c r="A40" s="10"/>
    </row>
    <row r="41" spans="1:1" x14ac:dyDescent="0.3">
      <c r="A41" s="10" t="s">
        <v>130</v>
      </c>
    </row>
    <row r="42" spans="1:1" x14ac:dyDescent="0.3">
      <c r="A42" s="10"/>
    </row>
    <row r="43" spans="1:1" x14ac:dyDescent="0.3">
      <c r="A43" s="10" t="s">
        <v>131</v>
      </c>
    </row>
    <row r="44" spans="1:1" x14ac:dyDescent="0.3">
      <c r="A44" s="10"/>
    </row>
    <row r="45" spans="1:1" x14ac:dyDescent="0.3">
      <c r="A45" s="10" t="s">
        <v>132</v>
      </c>
    </row>
    <row r="46" spans="1:1" x14ac:dyDescent="0.3">
      <c r="A46" s="10"/>
    </row>
    <row r="47" spans="1:1" x14ac:dyDescent="0.3">
      <c r="A47" s="10" t="s">
        <v>133</v>
      </c>
    </row>
    <row r="48" spans="1:1" x14ac:dyDescent="0.3">
      <c r="A48" s="10"/>
    </row>
    <row r="49" spans="1:1" x14ac:dyDescent="0.3">
      <c r="A49" s="10" t="s">
        <v>134</v>
      </c>
    </row>
    <row r="53" spans="1:1" ht="18" x14ac:dyDescent="0.3">
      <c r="A53" s="9" t="s">
        <v>135</v>
      </c>
    </row>
    <row r="55" spans="1:1" x14ac:dyDescent="0.3">
      <c r="A55" t="s">
        <v>136</v>
      </c>
    </row>
    <row r="57" spans="1:1" x14ac:dyDescent="0.3">
      <c r="A57" t="s">
        <v>137</v>
      </c>
    </row>
    <row r="58" spans="1:1" x14ac:dyDescent="0.3">
      <c r="A58" s="10"/>
    </row>
    <row r="59" spans="1:1" x14ac:dyDescent="0.3">
      <c r="A59" s="10" t="s">
        <v>138</v>
      </c>
    </row>
    <row r="60" spans="1:1" x14ac:dyDescent="0.3">
      <c r="A60" s="10"/>
    </row>
    <row r="61" spans="1:1" x14ac:dyDescent="0.3">
      <c r="A61" s="10" t="s">
        <v>139</v>
      </c>
    </row>
    <row r="62" spans="1:1" x14ac:dyDescent="0.3">
      <c r="A62" s="10"/>
    </row>
    <row r="63" spans="1:1" x14ac:dyDescent="0.3">
      <c r="A63" s="10" t="s">
        <v>140</v>
      </c>
    </row>
    <row r="64" spans="1:1" x14ac:dyDescent="0.3">
      <c r="A64" s="10"/>
    </row>
    <row r="65" spans="1:1" x14ac:dyDescent="0.3">
      <c r="A65" s="10" t="s">
        <v>141</v>
      </c>
    </row>
    <row r="66" spans="1:1" x14ac:dyDescent="0.3">
      <c r="A66" s="10"/>
    </row>
    <row r="67" spans="1:1" x14ac:dyDescent="0.3">
      <c r="A67" s="10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Grade</vt:lpstr>
      <vt:lpstr>sales Data</vt:lpstr>
      <vt:lpstr>employee data</vt:lpstr>
      <vt:lpstr>TEXT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vishu movaliya</dc:creator>
  <cp:lastModifiedBy>vishu movaliya</cp:lastModifiedBy>
  <dcterms:created xsi:type="dcterms:W3CDTF">2026-02-11T06:09:52Z</dcterms:created>
  <dcterms:modified xsi:type="dcterms:W3CDTF">2026-02-11T07:04:53Z</dcterms:modified>
</cp:coreProperties>
</file>