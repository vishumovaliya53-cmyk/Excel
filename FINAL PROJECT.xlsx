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0883BDE2-3554-4BF2-8CAD-28A01B8B7DB3}" xr6:coauthVersionLast="47" xr6:coauthVersionMax="47" xr10:uidLastSave="{00000000-0000-0000-0000-000000000000}"/>
  <bookViews>
    <workbookView xWindow="-108" yWindow="-108" windowWidth="23256" windowHeight="12456" xr2:uid="{50FCC464-5B60-437F-833F-9A4F0AD939D6}"/>
  </bookViews>
  <sheets>
    <sheet name="DATASET" sheetId="1" r:id="rId1"/>
    <sheet name="SENERIO SUMMARY" sheetId="2" r:id="rId2"/>
    <sheet name="LINER REGRESSION" sheetId="3" r:id="rId3"/>
    <sheet name="PIVOT TABLE" sheetId="4" r:id="rId4"/>
    <sheet name="DASHBOARD" sheetId="6" r:id="rId5"/>
    <sheet name="PROJECT SUMMARY" sheetId="8" r:id="rId6"/>
  </sheets>
  <definedNames>
    <definedName name="NativeTimeline_Customer_Since">#N/A</definedName>
    <definedName name="NativeTimeline_Date1">#N/A</definedName>
    <definedName name="NativeTimeline_Now">#N/A</definedName>
    <definedName name="Slicer_Category">#N/A</definedName>
    <definedName name="Slicer_Date">#N/A</definedName>
    <definedName name="Slicer_Region">#N/A</definedName>
    <definedName name="Slicer_Total_Amount">#N/A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 r:id="rId1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 i="1"/>
  <c r="Z251" i="1"/>
  <c r="AA251" i="1" s="1"/>
  <c r="AB251" i="1" s="1"/>
  <c r="Z3" i="1"/>
  <c r="AA3" i="1" s="1"/>
  <c r="AB3" i="1" s="1"/>
  <c r="Z4" i="1"/>
  <c r="AA4" i="1" s="1"/>
  <c r="AB4" i="1" s="1"/>
  <c r="Z5" i="1"/>
  <c r="AA5" i="1" s="1"/>
  <c r="AB5" i="1" s="1"/>
  <c r="Z6" i="1"/>
  <c r="AA6" i="1" s="1"/>
  <c r="AB6" i="1" s="1"/>
  <c r="Z7" i="1"/>
  <c r="AA7" i="1" s="1"/>
  <c r="AB7" i="1" s="1"/>
  <c r="Z8" i="1"/>
  <c r="AA8" i="1" s="1"/>
  <c r="AB8" i="1" s="1"/>
  <c r="Z9" i="1"/>
  <c r="AA9" i="1" s="1"/>
  <c r="AB9" i="1" s="1"/>
  <c r="Z10" i="1"/>
  <c r="AA10" i="1" s="1"/>
  <c r="AB10" i="1" s="1"/>
  <c r="Z11" i="1"/>
  <c r="AA11" i="1" s="1"/>
  <c r="AB11" i="1" s="1"/>
  <c r="Z12" i="1"/>
  <c r="AA12" i="1" s="1"/>
  <c r="AB12" i="1" s="1"/>
  <c r="Z13" i="1"/>
  <c r="AA13" i="1" s="1"/>
  <c r="AB13" i="1" s="1"/>
  <c r="Z14" i="1"/>
  <c r="AA14" i="1" s="1"/>
  <c r="AB14" i="1" s="1"/>
  <c r="Z15" i="1"/>
  <c r="AA15" i="1" s="1"/>
  <c r="AB15" i="1" s="1"/>
  <c r="Z16" i="1"/>
  <c r="AA16" i="1" s="1"/>
  <c r="AB16" i="1" s="1"/>
  <c r="Z17" i="1"/>
  <c r="AA17" i="1" s="1"/>
  <c r="AB17" i="1" s="1"/>
  <c r="Z18" i="1"/>
  <c r="AA18" i="1" s="1"/>
  <c r="AB18" i="1" s="1"/>
  <c r="Z19" i="1"/>
  <c r="AA19" i="1" s="1"/>
  <c r="AB19" i="1" s="1"/>
  <c r="Z20" i="1"/>
  <c r="AA20" i="1" s="1"/>
  <c r="AB20" i="1" s="1"/>
  <c r="Z21" i="1"/>
  <c r="AA21" i="1" s="1"/>
  <c r="AB21" i="1" s="1"/>
  <c r="Z22" i="1"/>
  <c r="AA22" i="1" s="1"/>
  <c r="AB22" i="1" s="1"/>
  <c r="Z23" i="1"/>
  <c r="AA23" i="1" s="1"/>
  <c r="AB23" i="1" s="1"/>
  <c r="Z24" i="1"/>
  <c r="AA24" i="1" s="1"/>
  <c r="AB24" i="1" s="1"/>
  <c r="Z25" i="1"/>
  <c r="AA25" i="1" s="1"/>
  <c r="AB25" i="1" s="1"/>
  <c r="Z26" i="1"/>
  <c r="AA26" i="1" s="1"/>
  <c r="AB26" i="1" s="1"/>
  <c r="Z27" i="1"/>
  <c r="AA27" i="1" s="1"/>
  <c r="AB27" i="1" s="1"/>
  <c r="Z28" i="1"/>
  <c r="AA28" i="1" s="1"/>
  <c r="AB28" i="1" s="1"/>
  <c r="Z29" i="1"/>
  <c r="AA29" i="1" s="1"/>
  <c r="AB29" i="1" s="1"/>
  <c r="Z30" i="1"/>
  <c r="AA30" i="1" s="1"/>
  <c r="AB30" i="1" s="1"/>
  <c r="Z31" i="1"/>
  <c r="AA31" i="1" s="1"/>
  <c r="AB31" i="1" s="1"/>
  <c r="Z32" i="1"/>
  <c r="AA32" i="1" s="1"/>
  <c r="AB32" i="1" s="1"/>
  <c r="Z33" i="1"/>
  <c r="AA33" i="1" s="1"/>
  <c r="AB33" i="1" s="1"/>
  <c r="Z34" i="1"/>
  <c r="AA34" i="1" s="1"/>
  <c r="AB34" i="1" s="1"/>
  <c r="Z35" i="1"/>
  <c r="AA35" i="1" s="1"/>
  <c r="AB35" i="1" s="1"/>
  <c r="Z36" i="1"/>
  <c r="AA36" i="1" s="1"/>
  <c r="AB36" i="1" s="1"/>
  <c r="Z37" i="1"/>
  <c r="AA37" i="1" s="1"/>
  <c r="AB37" i="1" s="1"/>
  <c r="Z38" i="1"/>
  <c r="AA38" i="1" s="1"/>
  <c r="AB38" i="1" s="1"/>
  <c r="Z39" i="1"/>
  <c r="AA39" i="1" s="1"/>
  <c r="AB39" i="1" s="1"/>
  <c r="Z40" i="1"/>
  <c r="AA40" i="1" s="1"/>
  <c r="AB40" i="1" s="1"/>
  <c r="Z41" i="1"/>
  <c r="AA41" i="1" s="1"/>
  <c r="AB41" i="1" s="1"/>
  <c r="Z42" i="1"/>
  <c r="AA42" i="1" s="1"/>
  <c r="AB42" i="1" s="1"/>
  <c r="Z43" i="1"/>
  <c r="AA43" i="1" s="1"/>
  <c r="AB43" i="1" s="1"/>
  <c r="Z44" i="1"/>
  <c r="AA44" i="1" s="1"/>
  <c r="AB44" i="1" s="1"/>
  <c r="Z45" i="1"/>
  <c r="AA45" i="1" s="1"/>
  <c r="AB45" i="1" s="1"/>
  <c r="Z46" i="1"/>
  <c r="AA46" i="1" s="1"/>
  <c r="AB46" i="1" s="1"/>
  <c r="Z47" i="1"/>
  <c r="AA47" i="1" s="1"/>
  <c r="AB47" i="1" s="1"/>
  <c r="Z48" i="1"/>
  <c r="AA48" i="1" s="1"/>
  <c r="AB48" i="1" s="1"/>
  <c r="Z49" i="1"/>
  <c r="AA49" i="1" s="1"/>
  <c r="AB49" i="1" s="1"/>
  <c r="Z50" i="1"/>
  <c r="AA50" i="1" s="1"/>
  <c r="AB50" i="1" s="1"/>
  <c r="Z51" i="1"/>
  <c r="AA51" i="1" s="1"/>
  <c r="AB51" i="1" s="1"/>
  <c r="Z52" i="1"/>
  <c r="AA52" i="1" s="1"/>
  <c r="AB52" i="1" s="1"/>
  <c r="Z53" i="1"/>
  <c r="AA53" i="1" s="1"/>
  <c r="AB53" i="1" s="1"/>
  <c r="Z54" i="1"/>
  <c r="AA54" i="1" s="1"/>
  <c r="AB54" i="1" s="1"/>
  <c r="Z55" i="1"/>
  <c r="AA55" i="1" s="1"/>
  <c r="AB55" i="1" s="1"/>
  <c r="Z56" i="1"/>
  <c r="AA56" i="1" s="1"/>
  <c r="AB56" i="1" s="1"/>
  <c r="Z57" i="1"/>
  <c r="AA57" i="1" s="1"/>
  <c r="AB57" i="1" s="1"/>
  <c r="Z58" i="1"/>
  <c r="AA58" i="1" s="1"/>
  <c r="AB58" i="1" s="1"/>
  <c r="Z59" i="1"/>
  <c r="AA59" i="1" s="1"/>
  <c r="AB59" i="1" s="1"/>
  <c r="Z60" i="1"/>
  <c r="AA60" i="1" s="1"/>
  <c r="AB60" i="1" s="1"/>
  <c r="Z61" i="1"/>
  <c r="AA61" i="1" s="1"/>
  <c r="AB61" i="1" s="1"/>
  <c r="Z62" i="1"/>
  <c r="AA62" i="1" s="1"/>
  <c r="AB62" i="1" s="1"/>
  <c r="Z63" i="1"/>
  <c r="AA63" i="1" s="1"/>
  <c r="AB63" i="1" s="1"/>
  <c r="Z64" i="1"/>
  <c r="AA64" i="1" s="1"/>
  <c r="AB64" i="1" s="1"/>
  <c r="Z65" i="1"/>
  <c r="AA65" i="1" s="1"/>
  <c r="AB65" i="1" s="1"/>
  <c r="Z66" i="1"/>
  <c r="AA66" i="1" s="1"/>
  <c r="AB66" i="1" s="1"/>
  <c r="Z67" i="1"/>
  <c r="AA67" i="1" s="1"/>
  <c r="AB67" i="1" s="1"/>
  <c r="Z68" i="1"/>
  <c r="AA68" i="1" s="1"/>
  <c r="AB68" i="1" s="1"/>
  <c r="Z69" i="1"/>
  <c r="AA69" i="1" s="1"/>
  <c r="AB69" i="1" s="1"/>
  <c r="Z70" i="1"/>
  <c r="AA70" i="1" s="1"/>
  <c r="AB70" i="1" s="1"/>
  <c r="Z71" i="1"/>
  <c r="AA71" i="1" s="1"/>
  <c r="AB71" i="1" s="1"/>
  <c r="Z72" i="1"/>
  <c r="AA72" i="1" s="1"/>
  <c r="AB72" i="1" s="1"/>
  <c r="Z73" i="1"/>
  <c r="AA73" i="1" s="1"/>
  <c r="AB73" i="1" s="1"/>
  <c r="Z74" i="1"/>
  <c r="AA74" i="1" s="1"/>
  <c r="AB74" i="1" s="1"/>
  <c r="Z75" i="1"/>
  <c r="AA75" i="1" s="1"/>
  <c r="AB75" i="1" s="1"/>
  <c r="Z76" i="1"/>
  <c r="AA76" i="1" s="1"/>
  <c r="AB76" i="1" s="1"/>
  <c r="Z77" i="1"/>
  <c r="AA77" i="1" s="1"/>
  <c r="AB77" i="1" s="1"/>
  <c r="Z78" i="1"/>
  <c r="AA78" i="1" s="1"/>
  <c r="AB78" i="1" s="1"/>
  <c r="Z79" i="1"/>
  <c r="AA79" i="1" s="1"/>
  <c r="AB79" i="1" s="1"/>
  <c r="Z80" i="1"/>
  <c r="AA80" i="1" s="1"/>
  <c r="AB80" i="1" s="1"/>
  <c r="Z81" i="1"/>
  <c r="AA81" i="1" s="1"/>
  <c r="AB81" i="1" s="1"/>
  <c r="Z82" i="1"/>
  <c r="AA82" i="1" s="1"/>
  <c r="AB82" i="1" s="1"/>
  <c r="Z83" i="1"/>
  <c r="AA83" i="1" s="1"/>
  <c r="AB83" i="1" s="1"/>
  <c r="Z84" i="1"/>
  <c r="AA84" i="1" s="1"/>
  <c r="AB84" i="1" s="1"/>
  <c r="Z85" i="1"/>
  <c r="AA85" i="1" s="1"/>
  <c r="AB85" i="1" s="1"/>
  <c r="Z86" i="1"/>
  <c r="AA86" i="1" s="1"/>
  <c r="AB86" i="1" s="1"/>
  <c r="Z87" i="1"/>
  <c r="AA87" i="1" s="1"/>
  <c r="AB87" i="1" s="1"/>
  <c r="Z88" i="1"/>
  <c r="AA88" i="1" s="1"/>
  <c r="AB88" i="1" s="1"/>
  <c r="Z89" i="1"/>
  <c r="AA89" i="1" s="1"/>
  <c r="AB89" i="1" s="1"/>
  <c r="Z90" i="1"/>
  <c r="AA90" i="1" s="1"/>
  <c r="AB90" i="1" s="1"/>
  <c r="Z91" i="1"/>
  <c r="AA91" i="1" s="1"/>
  <c r="AB91" i="1" s="1"/>
  <c r="Z92" i="1"/>
  <c r="AA92" i="1" s="1"/>
  <c r="AB92" i="1" s="1"/>
  <c r="Z93" i="1"/>
  <c r="AA93" i="1" s="1"/>
  <c r="AB93" i="1" s="1"/>
  <c r="Z94" i="1"/>
  <c r="AA94" i="1" s="1"/>
  <c r="AB94" i="1" s="1"/>
  <c r="Z95" i="1"/>
  <c r="AA95" i="1" s="1"/>
  <c r="AB95" i="1" s="1"/>
  <c r="Z96" i="1"/>
  <c r="AA96" i="1" s="1"/>
  <c r="AB96" i="1" s="1"/>
  <c r="Z97" i="1"/>
  <c r="AA97" i="1" s="1"/>
  <c r="AB97" i="1" s="1"/>
  <c r="Z98" i="1"/>
  <c r="AA98" i="1" s="1"/>
  <c r="AB98" i="1" s="1"/>
  <c r="Z99" i="1"/>
  <c r="AA99" i="1" s="1"/>
  <c r="AB99" i="1" s="1"/>
  <c r="Z100" i="1"/>
  <c r="AA100" i="1" s="1"/>
  <c r="AB100" i="1" s="1"/>
  <c r="Z101" i="1"/>
  <c r="AA101" i="1" s="1"/>
  <c r="AB101" i="1" s="1"/>
  <c r="Z102" i="1"/>
  <c r="AA102" i="1" s="1"/>
  <c r="AB102" i="1" s="1"/>
  <c r="Z103" i="1"/>
  <c r="AA103" i="1" s="1"/>
  <c r="AB103" i="1" s="1"/>
  <c r="Z104" i="1"/>
  <c r="AA104" i="1" s="1"/>
  <c r="AB104" i="1" s="1"/>
  <c r="Z105" i="1"/>
  <c r="AA105" i="1" s="1"/>
  <c r="AB105" i="1" s="1"/>
  <c r="Z106" i="1"/>
  <c r="AA106" i="1" s="1"/>
  <c r="AB106" i="1" s="1"/>
  <c r="Z107" i="1"/>
  <c r="AA107" i="1" s="1"/>
  <c r="AB107" i="1" s="1"/>
  <c r="Z108" i="1"/>
  <c r="AA108" i="1" s="1"/>
  <c r="AB108" i="1" s="1"/>
  <c r="Z109" i="1"/>
  <c r="AA109" i="1" s="1"/>
  <c r="AB109" i="1" s="1"/>
  <c r="Z110" i="1"/>
  <c r="AA110" i="1" s="1"/>
  <c r="AB110" i="1" s="1"/>
  <c r="Z111" i="1"/>
  <c r="AA111" i="1" s="1"/>
  <c r="AB111" i="1" s="1"/>
  <c r="Z112" i="1"/>
  <c r="AA112" i="1" s="1"/>
  <c r="AB112" i="1" s="1"/>
  <c r="Z113" i="1"/>
  <c r="AA113" i="1" s="1"/>
  <c r="AB113" i="1" s="1"/>
  <c r="Z114" i="1"/>
  <c r="AA114" i="1" s="1"/>
  <c r="AB114" i="1" s="1"/>
  <c r="Z115" i="1"/>
  <c r="AA115" i="1" s="1"/>
  <c r="AB115" i="1" s="1"/>
  <c r="Z116" i="1"/>
  <c r="AA116" i="1" s="1"/>
  <c r="AB116" i="1" s="1"/>
  <c r="Z117" i="1"/>
  <c r="AA117" i="1" s="1"/>
  <c r="AB117" i="1" s="1"/>
  <c r="Z118" i="1"/>
  <c r="AA118" i="1" s="1"/>
  <c r="AB118" i="1" s="1"/>
  <c r="Z119" i="1"/>
  <c r="AA119" i="1" s="1"/>
  <c r="AB119" i="1" s="1"/>
  <c r="Z120" i="1"/>
  <c r="AA120" i="1" s="1"/>
  <c r="AB120" i="1" s="1"/>
  <c r="Z121" i="1"/>
  <c r="AA121" i="1" s="1"/>
  <c r="AB121" i="1" s="1"/>
  <c r="Z122" i="1"/>
  <c r="AA122" i="1" s="1"/>
  <c r="AB122" i="1" s="1"/>
  <c r="Z123" i="1"/>
  <c r="AA123" i="1" s="1"/>
  <c r="AB123" i="1" s="1"/>
  <c r="Z124" i="1"/>
  <c r="AA124" i="1" s="1"/>
  <c r="AB124" i="1" s="1"/>
  <c r="Z125" i="1"/>
  <c r="AA125" i="1" s="1"/>
  <c r="AB125" i="1" s="1"/>
  <c r="Z126" i="1"/>
  <c r="AA126" i="1" s="1"/>
  <c r="AB126" i="1" s="1"/>
  <c r="Z127" i="1"/>
  <c r="AA127" i="1" s="1"/>
  <c r="AB127" i="1" s="1"/>
  <c r="Z128" i="1"/>
  <c r="AA128" i="1" s="1"/>
  <c r="AB128" i="1" s="1"/>
  <c r="Z129" i="1"/>
  <c r="AA129" i="1" s="1"/>
  <c r="AB129" i="1" s="1"/>
  <c r="Z130" i="1"/>
  <c r="AA130" i="1" s="1"/>
  <c r="AB130" i="1" s="1"/>
  <c r="Z131" i="1"/>
  <c r="AA131" i="1" s="1"/>
  <c r="AB131" i="1" s="1"/>
  <c r="Z132" i="1"/>
  <c r="AA132" i="1" s="1"/>
  <c r="AB132" i="1" s="1"/>
  <c r="Z133" i="1"/>
  <c r="AA133" i="1" s="1"/>
  <c r="AB133" i="1" s="1"/>
  <c r="Z134" i="1"/>
  <c r="AA134" i="1" s="1"/>
  <c r="AB134" i="1" s="1"/>
  <c r="Z135" i="1"/>
  <c r="AA135" i="1" s="1"/>
  <c r="AB135" i="1" s="1"/>
  <c r="Z136" i="1"/>
  <c r="AA136" i="1" s="1"/>
  <c r="AB136" i="1" s="1"/>
  <c r="Z137" i="1"/>
  <c r="AA137" i="1" s="1"/>
  <c r="AB137" i="1" s="1"/>
  <c r="Z138" i="1"/>
  <c r="AA138" i="1" s="1"/>
  <c r="AB138" i="1" s="1"/>
  <c r="Z139" i="1"/>
  <c r="AA139" i="1" s="1"/>
  <c r="AB139" i="1" s="1"/>
  <c r="Z140" i="1"/>
  <c r="AA140" i="1" s="1"/>
  <c r="AB140" i="1" s="1"/>
  <c r="Z141" i="1"/>
  <c r="AA141" i="1" s="1"/>
  <c r="AB141" i="1" s="1"/>
  <c r="Z142" i="1"/>
  <c r="AA142" i="1" s="1"/>
  <c r="AB142" i="1" s="1"/>
  <c r="Z143" i="1"/>
  <c r="AA143" i="1" s="1"/>
  <c r="AB143" i="1" s="1"/>
  <c r="Z144" i="1"/>
  <c r="AA144" i="1" s="1"/>
  <c r="AB144" i="1" s="1"/>
  <c r="Z145" i="1"/>
  <c r="AA145" i="1" s="1"/>
  <c r="AB145" i="1" s="1"/>
  <c r="Z146" i="1"/>
  <c r="AA146" i="1" s="1"/>
  <c r="AB146" i="1" s="1"/>
  <c r="Z147" i="1"/>
  <c r="AA147" i="1" s="1"/>
  <c r="AB147" i="1" s="1"/>
  <c r="Z148" i="1"/>
  <c r="AA148" i="1" s="1"/>
  <c r="AB148" i="1" s="1"/>
  <c r="Z149" i="1"/>
  <c r="AA149" i="1" s="1"/>
  <c r="AB149" i="1" s="1"/>
  <c r="Z150" i="1"/>
  <c r="AA150" i="1" s="1"/>
  <c r="AB150" i="1" s="1"/>
  <c r="Z151" i="1"/>
  <c r="AA151" i="1" s="1"/>
  <c r="AB151" i="1" s="1"/>
  <c r="Z152" i="1"/>
  <c r="AA152" i="1" s="1"/>
  <c r="AB152" i="1" s="1"/>
  <c r="Z153" i="1"/>
  <c r="AA153" i="1" s="1"/>
  <c r="AB153" i="1" s="1"/>
  <c r="Z154" i="1"/>
  <c r="AA154" i="1" s="1"/>
  <c r="AB154" i="1" s="1"/>
  <c r="Z155" i="1"/>
  <c r="AA155" i="1" s="1"/>
  <c r="AB155" i="1" s="1"/>
  <c r="Z156" i="1"/>
  <c r="AA156" i="1" s="1"/>
  <c r="AB156" i="1" s="1"/>
  <c r="Z157" i="1"/>
  <c r="AA157" i="1" s="1"/>
  <c r="AB157" i="1" s="1"/>
  <c r="Z158" i="1"/>
  <c r="AA158" i="1" s="1"/>
  <c r="AB158" i="1" s="1"/>
  <c r="Z159" i="1"/>
  <c r="AA159" i="1" s="1"/>
  <c r="AB159" i="1" s="1"/>
  <c r="Z160" i="1"/>
  <c r="AA160" i="1" s="1"/>
  <c r="AB160" i="1" s="1"/>
  <c r="Z161" i="1"/>
  <c r="AA161" i="1" s="1"/>
  <c r="AB161" i="1" s="1"/>
  <c r="Z162" i="1"/>
  <c r="AA162" i="1" s="1"/>
  <c r="AB162" i="1" s="1"/>
  <c r="Z163" i="1"/>
  <c r="AA163" i="1" s="1"/>
  <c r="AB163" i="1" s="1"/>
  <c r="Z164" i="1"/>
  <c r="AA164" i="1" s="1"/>
  <c r="AB164" i="1" s="1"/>
  <c r="Z165" i="1"/>
  <c r="AA165" i="1" s="1"/>
  <c r="AB165" i="1" s="1"/>
  <c r="Z166" i="1"/>
  <c r="AA166" i="1" s="1"/>
  <c r="AB166" i="1" s="1"/>
  <c r="Z167" i="1"/>
  <c r="AA167" i="1" s="1"/>
  <c r="AB167" i="1" s="1"/>
  <c r="Z168" i="1"/>
  <c r="AA168" i="1" s="1"/>
  <c r="AB168" i="1" s="1"/>
  <c r="Z169" i="1"/>
  <c r="AA169" i="1" s="1"/>
  <c r="AB169" i="1" s="1"/>
  <c r="Z170" i="1"/>
  <c r="AA170" i="1" s="1"/>
  <c r="AB170" i="1" s="1"/>
  <c r="Z171" i="1"/>
  <c r="AA171" i="1" s="1"/>
  <c r="AB171" i="1" s="1"/>
  <c r="Z172" i="1"/>
  <c r="AA172" i="1" s="1"/>
  <c r="AB172" i="1" s="1"/>
  <c r="Z173" i="1"/>
  <c r="AA173" i="1" s="1"/>
  <c r="AB173" i="1" s="1"/>
  <c r="Z174" i="1"/>
  <c r="AA174" i="1" s="1"/>
  <c r="AB174" i="1" s="1"/>
  <c r="Z175" i="1"/>
  <c r="AA175" i="1" s="1"/>
  <c r="AB175" i="1" s="1"/>
  <c r="Z176" i="1"/>
  <c r="AA176" i="1" s="1"/>
  <c r="AB176" i="1" s="1"/>
  <c r="Z177" i="1"/>
  <c r="AA177" i="1" s="1"/>
  <c r="AB177" i="1" s="1"/>
  <c r="Z178" i="1"/>
  <c r="AA178" i="1" s="1"/>
  <c r="AB178" i="1" s="1"/>
  <c r="Z179" i="1"/>
  <c r="AA179" i="1" s="1"/>
  <c r="AB179" i="1" s="1"/>
  <c r="Z180" i="1"/>
  <c r="AA180" i="1" s="1"/>
  <c r="AB180" i="1" s="1"/>
  <c r="Z181" i="1"/>
  <c r="AA181" i="1" s="1"/>
  <c r="AB181" i="1" s="1"/>
  <c r="Z182" i="1"/>
  <c r="AA182" i="1" s="1"/>
  <c r="AB182" i="1" s="1"/>
  <c r="Z183" i="1"/>
  <c r="AA183" i="1" s="1"/>
  <c r="AB183" i="1" s="1"/>
  <c r="Z184" i="1"/>
  <c r="AA184" i="1" s="1"/>
  <c r="AB184" i="1" s="1"/>
  <c r="Z185" i="1"/>
  <c r="AA185" i="1" s="1"/>
  <c r="AB185" i="1" s="1"/>
  <c r="Z186" i="1"/>
  <c r="AA186" i="1" s="1"/>
  <c r="AB186" i="1" s="1"/>
  <c r="Z187" i="1"/>
  <c r="AA187" i="1" s="1"/>
  <c r="AB187" i="1" s="1"/>
  <c r="Z188" i="1"/>
  <c r="AA188" i="1" s="1"/>
  <c r="AB188" i="1" s="1"/>
  <c r="Z189" i="1"/>
  <c r="AA189" i="1" s="1"/>
  <c r="AB189" i="1" s="1"/>
  <c r="Z190" i="1"/>
  <c r="AA190" i="1" s="1"/>
  <c r="AB190" i="1" s="1"/>
  <c r="Z191" i="1"/>
  <c r="AA191" i="1" s="1"/>
  <c r="AB191" i="1" s="1"/>
  <c r="Z192" i="1"/>
  <c r="AA192" i="1" s="1"/>
  <c r="AB192" i="1" s="1"/>
  <c r="Z193" i="1"/>
  <c r="AA193" i="1" s="1"/>
  <c r="AB193" i="1" s="1"/>
  <c r="Z194" i="1"/>
  <c r="AA194" i="1" s="1"/>
  <c r="AB194" i="1" s="1"/>
  <c r="Z195" i="1"/>
  <c r="AA195" i="1" s="1"/>
  <c r="AB195" i="1" s="1"/>
  <c r="Z196" i="1"/>
  <c r="AA196" i="1" s="1"/>
  <c r="AB196" i="1" s="1"/>
  <c r="Z197" i="1"/>
  <c r="AA197" i="1" s="1"/>
  <c r="AB197" i="1" s="1"/>
  <c r="Z198" i="1"/>
  <c r="AA198" i="1" s="1"/>
  <c r="AB198" i="1" s="1"/>
  <c r="Z199" i="1"/>
  <c r="AA199" i="1" s="1"/>
  <c r="AB199" i="1" s="1"/>
  <c r="Z200" i="1"/>
  <c r="AA200" i="1" s="1"/>
  <c r="AB200" i="1" s="1"/>
  <c r="Z201" i="1"/>
  <c r="AA201" i="1" s="1"/>
  <c r="AB201" i="1" s="1"/>
  <c r="Z202" i="1"/>
  <c r="AA202" i="1" s="1"/>
  <c r="AB202" i="1" s="1"/>
  <c r="Z203" i="1"/>
  <c r="AA203" i="1" s="1"/>
  <c r="AB203" i="1" s="1"/>
  <c r="Z204" i="1"/>
  <c r="AA204" i="1" s="1"/>
  <c r="AB204" i="1" s="1"/>
  <c r="Z205" i="1"/>
  <c r="AA205" i="1" s="1"/>
  <c r="AB205" i="1" s="1"/>
  <c r="Z206" i="1"/>
  <c r="AA206" i="1" s="1"/>
  <c r="AB206" i="1" s="1"/>
  <c r="Z207" i="1"/>
  <c r="AA207" i="1" s="1"/>
  <c r="AB207" i="1" s="1"/>
  <c r="Z208" i="1"/>
  <c r="AA208" i="1" s="1"/>
  <c r="AB208" i="1" s="1"/>
  <c r="Z209" i="1"/>
  <c r="AA209" i="1" s="1"/>
  <c r="AB209" i="1" s="1"/>
  <c r="Z210" i="1"/>
  <c r="AA210" i="1" s="1"/>
  <c r="AB210" i="1" s="1"/>
  <c r="Z211" i="1"/>
  <c r="AA211" i="1" s="1"/>
  <c r="AB211" i="1" s="1"/>
  <c r="Z212" i="1"/>
  <c r="AA212" i="1" s="1"/>
  <c r="AB212" i="1" s="1"/>
  <c r="Z213" i="1"/>
  <c r="AA213" i="1" s="1"/>
  <c r="AB213" i="1" s="1"/>
  <c r="Z214" i="1"/>
  <c r="AA214" i="1" s="1"/>
  <c r="AB214" i="1" s="1"/>
  <c r="Z215" i="1"/>
  <c r="AA215" i="1" s="1"/>
  <c r="AB215" i="1" s="1"/>
  <c r="Z216" i="1"/>
  <c r="AA216" i="1" s="1"/>
  <c r="AB216" i="1" s="1"/>
  <c r="Z217" i="1"/>
  <c r="AA217" i="1" s="1"/>
  <c r="AB217" i="1" s="1"/>
  <c r="Z218" i="1"/>
  <c r="AA218" i="1" s="1"/>
  <c r="AB218" i="1" s="1"/>
  <c r="Z219" i="1"/>
  <c r="AA219" i="1" s="1"/>
  <c r="AB219" i="1" s="1"/>
  <c r="Z220" i="1"/>
  <c r="AA220" i="1" s="1"/>
  <c r="AB220" i="1" s="1"/>
  <c r="Z221" i="1"/>
  <c r="AA221" i="1" s="1"/>
  <c r="AB221" i="1" s="1"/>
  <c r="Z222" i="1"/>
  <c r="AA222" i="1" s="1"/>
  <c r="AB222" i="1" s="1"/>
  <c r="Z223" i="1"/>
  <c r="AA223" i="1" s="1"/>
  <c r="AB223" i="1" s="1"/>
  <c r="Z224" i="1"/>
  <c r="AA224" i="1" s="1"/>
  <c r="AB224" i="1" s="1"/>
  <c r="Z225" i="1"/>
  <c r="AA225" i="1" s="1"/>
  <c r="AB225" i="1" s="1"/>
  <c r="Z226" i="1"/>
  <c r="AA226" i="1" s="1"/>
  <c r="AB226" i="1" s="1"/>
  <c r="Z227" i="1"/>
  <c r="AA227" i="1" s="1"/>
  <c r="AB227" i="1" s="1"/>
  <c r="Z228" i="1"/>
  <c r="AA228" i="1" s="1"/>
  <c r="AB228" i="1" s="1"/>
  <c r="Z229" i="1"/>
  <c r="AA229" i="1" s="1"/>
  <c r="AB229" i="1" s="1"/>
  <c r="Z230" i="1"/>
  <c r="AA230" i="1" s="1"/>
  <c r="AB230" i="1" s="1"/>
  <c r="Z231" i="1"/>
  <c r="AA231" i="1" s="1"/>
  <c r="AB231" i="1" s="1"/>
  <c r="Z232" i="1"/>
  <c r="AA232" i="1" s="1"/>
  <c r="AB232" i="1" s="1"/>
  <c r="Z233" i="1"/>
  <c r="AA233" i="1" s="1"/>
  <c r="AB233" i="1" s="1"/>
  <c r="Z234" i="1"/>
  <c r="AA234" i="1" s="1"/>
  <c r="AB234" i="1" s="1"/>
  <c r="Z235" i="1"/>
  <c r="AA235" i="1" s="1"/>
  <c r="AB235" i="1" s="1"/>
  <c r="Z236" i="1"/>
  <c r="AA236" i="1" s="1"/>
  <c r="AB236" i="1" s="1"/>
  <c r="Z237" i="1"/>
  <c r="AA237" i="1" s="1"/>
  <c r="AB237" i="1" s="1"/>
  <c r="Z238" i="1"/>
  <c r="AA238" i="1" s="1"/>
  <c r="AB238" i="1" s="1"/>
  <c r="Z239" i="1"/>
  <c r="AA239" i="1" s="1"/>
  <c r="AB239" i="1" s="1"/>
  <c r="Z240" i="1"/>
  <c r="AA240" i="1" s="1"/>
  <c r="AB240" i="1" s="1"/>
  <c r="Z241" i="1"/>
  <c r="AA241" i="1" s="1"/>
  <c r="AB241" i="1" s="1"/>
  <c r="Z242" i="1"/>
  <c r="AA242" i="1" s="1"/>
  <c r="AB242" i="1" s="1"/>
  <c r="Z243" i="1"/>
  <c r="AA243" i="1" s="1"/>
  <c r="AB243" i="1" s="1"/>
  <c r="Z244" i="1"/>
  <c r="AA244" i="1" s="1"/>
  <c r="AB244" i="1" s="1"/>
  <c r="Z245" i="1"/>
  <c r="AA245" i="1" s="1"/>
  <c r="AB245" i="1" s="1"/>
  <c r="Z246" i="1"/>
  <c r="AA246" i="1" s="1"/>
  <c r="AB246" i="1" s="1"/>
  <c r="Z247" i="1"/>
  <c r="AA247" i="1" s="1"/>
  <c r="AB247" i="1" s="1"/>
  <c r="Z248" i="1"/>
  <c r="AA248" i="1" s="1"/>
  <c r="AB248" i="1" s="1"/>
  <c r="Z249" i="1"/>
  <c r="AA249" i="1" s="1"/>
  <c r="AB249" i="1" s="1"/>
  <c r="Z250" i="1"/>
  <c r="AA250" i="1" s="1"/>
  <c r="AB250" i="1" s="1"/>
  <c r="Z2" i="1"/>
  <c r="AA2" i="1" s="1"/>
  <c r="AB2" i="1" s="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3" i="1"/>
  <c r="W4" i="1"/>
  <c r="W5" i="1"/>
  <c r="W6" i="1"/>
  <c r="W7" i="1"/>
  <c r="W8" i="1"/>
  <c r="W9" i="1"/>
  <c r="W10" i="1"/>
  <c r="W11" i="1"/>
  <c r="W12" i="1"/>
  <c r="W13" i="1"/>
  <c r="W14" i="1"/>
  <c r="W15" i="1"/>
  <c r="W16" i="1"/>
  <c r="W17" i="1"/>
  <c r="W18" i="1"/>
  <c r="W19" i="1"/>
  <c r="W20" i="1"/>
  <c r="W21" i="1"/>
  <c r="W2" i="1"/>
  <c r="D5" i="6"/>
  <c r="B5" i="6"/>
  <c r="Y2" i="1" l="1"/>
  <c r="X2" i="1"/>
  <c r="N51" i="1"/>
  <c r="N253"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U48" i="1" s="1"/>
  <c r="V48" i="1" s="1"/>
  <c r="N49" i="1"/>
  <c r="N50"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U162" i="1" s="1"/>
  <c r="V162" i="1" s="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U240" i="1" s="1"/>
  <c r="V240" i="1" s="1"/>
  <c r="N241" i="1"/>
  <c r="N242" i="1"/>
  <c r="N243" i="1"/>
  <c r="N244" i="1"/>
  <c r="N245" i="1"/>
  <c r="N246" i="1"/>
  <c r="N247" i="1"/>
  <c r="N248" i="1"/>
  <c r="N249" i="1"/>
  <c r="N250" i="1"/>
  <c r="N251" i="1"/>
  <c r="N2" i="1"/>
  <c r="T2" i="1"/>
  <c r="R2" i="1"/>
  <c r="Q2" i="1"/>
  <c r="P2" i="1"/>
  <c r="O2" i="1"/>
  <c r="U55" i="1" l="1"/>
  <c r="V55" i="1" s="1"/>
  <c r="U137" i="1"/>
  <c r="V137" i="1" s="1"/>
  <c r="U130" i="1"/>
  <c r="V130" i="1" s="1"/>
  <c r="U68" i="1"/>
  <c r="V68" i="1" s="1"/>
  <c r="U191" i="1"/>
  <c r="V191" i="1" s="1"/>
  <c r="U136" i="1"/>
  <c r="V136" i="1" s="1"/>
  <c r="U53" i="1"/>
  <c r="V53" i="1" s="1"/>
  <c r="U93" i="1"/>
  <c r="V93" i="1" s="1"/>
  <c r="U46" i="1"/>
  <c r="V46" i="1" s="1"/>
  <c r="U167" i="1"/>
  <c r="V167" i="1" s="1"/>
  <c r="U223" i="1"/>
  <c r="V223" i="1" s="1"/>
  <c r="U38" i="1"/>
  <c r="V38" i="1" s="1"/>
  <c r="U251" i="1"/>
  <c r="V251" i="1" s="1"/>
  <c r="U106" i="1"/>
  <c r="V106" i="1" s="1"/>
  <c r="U187" i="1"/>
  <c r="V187" i="1" s="1"/>
  <c r="U192" i="1"/>
  <c r="V192" i="1" s="1"/>
  <c r="U176" i="1"/>
  <c r="V176" i="1" s="1"/>
  <c r="U30" i="1"/>
  <c r="V30" i="1" s="1"/>
  <c r="U60" i="1"/>
  <c r="V60" i="1" s="1"/>
  <c r="U84" i="1"/>
  <c r="V84" i="1" s="1"/>
  <c r="U164" i="1"/>
  <c r="V164" i="1" s="1"/>
  <c r="U230" i="1"/>
  <c r="V230" i="1" s="1"/>
  <c r="U216" i="1"/>
  <c r="V216" i="1" s="1"/>
  <c r="U79" i="1"/>
  <c r="V79" i="1" s="1"/>
  <c r="U129" i="1"/>
  <c r="V129" i="1" s="1"/>
  <c r="U22" i="1"/>
  <c r="V22" i="1" s="1"/>
  <c r="U67" i="1"/>
  <c r="V67" i="1" s="1"/>
  <c r="U143" i="1"/>
  <c r="V143" i="1" s="1"/>
  <c r="U73" i="1"/>
  <c r="V73" i="1" s="1"/>
  <c r="U14" i="1"/>
  <c r="V14" i="1" s="1"/>
  <c r="U165" i="1"/>
  <c r="V165" i="1" s="1"/>
  <c r="U117" i="1"/>
  <c r="V117" i="1" s="1"/>
  <c r="U47" i="1"/>
  <c r="V47" i="1" s="1"/>
  <c r="U175" i="1"/>
  <c r="V175" i="1" s="1"/>
  <c r="U183" i="1"/>
  <c r="V183" i="1" s="1"/>
  <c r="U66" i="1"/>
  <c r="V66" i="1" s="1"/>
  <c r="U122" i="1"/>
  <c r="V122" i="1" s="1"/>
  <c r="U171" i="1"/>
  <c r="V171" i="1" s="1"/>
  <c r="U205" i="1"/>
  <c r="V205" i="1" s="1"/>
  <c r="U6" i="1"/>
  <c r="V6" i="1" s="1"/>
  <c r="U215" i="1"/>
  <c r="V215" i="1" s="1"/>
  <c r="U249" i="1"/>
  <c r="V249" i="1" s="1"/>
  <c r="U153" i="1"/>
  <c r="V153" i="1" s="1"/>
  <c r="U202" i="1"/>
  <c r="V202" i="1" s="1"/>
  <c r="U189" i="1"/>
  <c r="V189" i="1" s="1"/>
  <c r="U232" i="1"/>
  <c r="V232" i="1" s="1"/>
  <c r="U40" i="1"/>
  <c r="V40" i="1" s="1"/>
  <c r="U234" i="1"/>
  <c r="V234" i="1" s="1"/>
  <c r="U99" i="1"/>
  <c r="V99" i="1" s="1"/>
  <c r="U241" i="1"/>
  <c r="V241" i="1" s="1"/>
  <c r="U24" i="1"/>
  <c r="V24" i="1" s="1"/>
  <c r="U97" i="1"/>
  <c r="V97" i="1" s="1"/>
  <c r="U86" i="1"/>
  <c r="V86" i="1" s="1"/>
  <c r="U245" i="1"/>
  <c r="V245" i="1" s="1"/>
  <c r="U193" i="1"/>
  <c r="V193" i="1" s="1"/>
  <c r="U118" i="1"/>
  <c r="V118" i="1" s="1"/>
  <c r="U102" i="1"/>
  <c r="V102" i="1" s="1"/>
  <c r="U124" i="1"/>
  <c r="V124" i="1" s="1"/>
  <c r="U148" i="1"/>
  <c r="V148" i="1" s="1"/>
  <c r="U71" i="1"/>
  <c r="V71" i="1" s="1"/>
  <c r="U151" i="1"/>
  <c r="V151" i="1" s="1"/>
  <c r="U217" i="1"/>
  <c r="V217" i="1" s="1"/>
  <c r="U235" i="1"/>
  <c r="V235" i="1" s="1"/>
  <c r="U70" i="1"/>
  <c r="V70" i="1" s="1"/>
  <c r="U208" i="1"/>
  <c r="V208" i="1" s="1"/>
  <c r="U225" i="1"/>
  <c r="V225" i="1" s="1"/>
  <c r="U243" i="1"/>
  <c r="V243" i="1" s="1"/>
  <c r="U186" i="1"/>
  <c r="V186" i="1" s="1"/>
  <c r="U21" i="1"/>
  <c r="V21" i="1" s="1"/>
  <c r="U247" i="1"/>
  <c r="V247" i="1" s="1"/>
  <c r="U111" i="1"/>
  <c r="V111" i="1" s="1"/>
  <c r="U134" i="1"/>
  <c r="V134" i="1" s="1"/>
  <c r="U58" i="1"/>
  <c r="V58" i="1" s="1"/>
  <c r="U92" i="1"/>
  <c r="V92" i="1" s="1"/>
  <c r="U5" i="1"/>
  <c r="V5" i="1" s="1"/>
  <c r="U13" i="1"/>
  <c r="V13" i="1" s="1"/>
  <c r="U221" i="1"/>
  <c r="V221" i="1" s="1"/>
  <c r="U181" i="1"/>
  <c r="V181" i="1" s="1"/>
  <c r="U206" i="1"/>
  <c r="V206" i="1" s="1"/>
  <c r="U103" i="1"/>
  <c r="V103" i="1" s="1"/>
  <c r="U101" i="1"/>
  <c r="V101" i="1" s="1"/>
  <c r="U126" i="1"/>
  <c r="V126" i="1" s="1"/>
  <c r="U195" i="1"/>
  <c r="V195" i="1" s="1"/>
  <c r="U85" i="1"/>
  <c r="V85" i="1" s="1"/>
  <c r="U222" i="1"/>
  <c r="V222" i="1" s="1"/>
  <c r="U125" i="1"/>
  <c r="V125" i="1" s="1"/>
  <c r="U135" i="1"/>
  <c r="V135" i="1" s="1"/>
  <c r="U152" i="1"/>
  <c r="V152" i="1" s="1"/>
  <c r="U114" i="1"/>
  <c r="V114" i="1" s="1"/>
  <c r="U146" i="1"/>
  <c r="V146" i="1" s="1"/>
  <c r="U44" i="1"/>
  <c r="V44" i="1" s="1"/>
  <c r="U119" i="1"/>
  <c r="V119" i="1" s="1"/>
  <c r="U154" i="1"/>
  <c r="V154" i="1" s="1"/>
  <c r="U28" i="1"/>
  <c r="V28" i="1" s="1"/>
  <c r="U172" i="1"/>
  <c r="V172" i="1" s="1"/>
  <c r="U63" i="1"/>
  <c r="V63" i="1" s="1"/>
  <c r="U27" i="1"/>
  <c r="V27" i="1" s="1"/>
  <c r="U12" i="1"/>
  <c r="V12" i="1" s="1"/>
  <c r="U198" i="1"/>
  <c r="V198" i="1" s="1"/>
  <c r="U56" i="1"/>
  <c r="V56" i="1" s="1"/>
  <c r="U211" i="1"/>
  <c r="V211" i="1" s="1"/>
  <c r="U35" i="1"/>
  <c r="V35" i="1" s="1"/>
  <c r="U155" i="1"/>
  <c r="V155" i="1" s="1"/>
  <c r="U4" i="1"/>
  <c r="V4" i="1" s="1"/>
  <c r="U174" i="1"/>
  <c r="V174" i="1" s="1"/>
  <c r="C5" i="6"/>
  <c r="U2" i="1"/>
  <c r="V2" i="1" s="1"/>
  <c r="U104" i="1"/>
  <c r="V104" i="1" s="1"/>
  <c r="U144" i="1"/>
  <c r="V144" i="1" s="1"/>
  <c r="U138" i="1"/>
  <c r="V138" i="1" s="1"/>
  <c r="U212" i="1"/>
  <c r="V212" i="1" s="1"/>
  <c r="U51" i="1"/>
  <c r="V51" i="1" s="1"/>
  <c r="U229" i="1"/>
  <c r="V229" i="1" s="1"/>
  <c r="U239" i="1"/>
  <c r="V239" i="1" s="1"/>
  <c r="A5" i="6"/>
  <c r="U159" i="1"/>
  <c r="V159" i="1" s="1"/>
  <c r="U200" i="1"/>
  <c r="V200" i="1" s="1"/>
  <c r="U116" i="1"/>
  <c r="V116" i="1" s="1"/>
  <c r="U87" i="1"/>
  <c r="V87" i="1" s="1"/>
  <c r="U19" i="1"/>
  <c r="V19" i="1" s="1"/>
  <c r="U123" i="1"/>
  <c r="V123" i="1" s="1"/>
  <c r="U141" i="1"/>
  <c r="V141" i="1" s="1"/>
  <c r="U184" i="1"/>
  <c r="V184" i="1" s="1"/>
  <c r="U113" i="1"/>
  <c r="V113" i="1" s="1"/>
  <c r="U74" i="1"/>
  <c r="V74" i="1" s="1"/>
  <c r="U244" i="1"/>
  <c r="V244" i="1" s="1"/>
  <c r="U11" i="1"/>
  <c r="V11" i="1" s="1"/>
  <c r="U91" i="1"/>
  <c r="V91" i="1" s="1"/>
  <c r="U139" i="1"/>
  <c r="V139" i="1" s="1"/>
  <c r="U203" i="1"/>
  <c r="V203" i="1" s="1"/>
  <c r="U3" i="1"/>
  <c r="V3" i="1" s="1"/>
  <c r="U76" i="1"/>
  <c r="V76" i="1" s="1"/>
  <c r="U69" i="1"/>
  <c r="V69" i="1" s="1"/>
  <c r="U45" i="1"/>
  <c r="V45" i="1" s="1"/>
  <c r="U157" i="1"/>
  <c r="V157" i="1" s="1"/>
  <c r="U209" i="1"/>
  <c r="V209" i="1" s="1"/>
  <c r="U219" i="1"/>
  <c r="V219" i="1" s="1"/>
  <c r="U42" i="1"/>
  <c r="V42" i="1" s="1"/>
  <c r="U75" i="1"/>
  <c r="V75" i="1" s="1"/>
  <c r="U131" i="1"/>
  <c r="V131" i="1" s="1"/>
  <c r="U237" i="1"/>
  <c r="V237" i="1" s="1"/>
  <c r="U168" i="1"/>
  <c r="V168" i="1" s="1"/>
  <c r="U34" i="1"/>
  <c r="V34" i="1" s="1"/>
  <c r="U236" i="1"/>
  <c r="V236" i="1" s="1"/>
  <c r="U107" i="1"/>
  <c r="V107" i="1" s="1"/>
  <c r="U61" i="1"/>
  <c r="V61" i="1" s="1"/>
  <c r="U96" i="1"/>
  <c r="V96" i="1" s="1"/>
  <c r="U161" i="1"/>
  <c r="V161" i="1" s="1"/>
  <c r="U185" i="1"/>
  <c r="V185" i="1" s="1"/>
  <c r="U210" i="1"/>
  <c r="V210" i="1" s="1"/>
  <c r="U26" i="1"/>
  <c r="V26" i="1" s="1"/>
  <c r="U178" i="1"/>
  <c r="V178" i="1" s="1"/>
  <c r="U88" i="1"/>
  <c r="V88" i="1" s="1"/>
  <c r="U25" i="1"/>
  <c r="V25" i="1" s="1"/>
  <c r="U81" i="1"/>
  <c r="V81" i="1" s="1"/>
  <c r="U201" i="1"/>
  <c r="V201" i="1" s="1"/>
  <c r="U18" i="1"/>
  <c r="V18" i="1" s="1"/>
  <c r="U179" i="1"/>
  <c r="V179" i="1" s="1"/>
  <c r="U94" i="1"/>
  <c r="V94" i="1" s="1"/>
  <c r="U83" i="1"/>
  <c r="V83" i="1" s="1"/>
  <c r="U20" i="1"/>
  <c r="V20" i="1" s="1"/>
  <c r="U149" i="1"/>
  <c r="V149" i="1" s="1"/>
  <c r="U190" i="1"/>
  <c r="V190" i="1" s="1"/>
  <c r="U158" i="1"/>
  <c r="V158" i="1" s="1"/>
  <c r="U248" i="1"/>
  <c r="V248" i="1" s="1"/>
  <c r="U57" i="1"/>
  <c r="V57" i="1" s="1"/>
  <c r="U177" i="1"/>
  <c r="V177" i="1" s="1"/>
  <c r="U10" i="1"/>
  <c r="V10" i="1" s="1"/>
  <c r="U196" i="1"/>
  <c r="V196" i="1" s="1"/>
  <c r="U231" i="1"/>
  <c r="V231" i="1" s="1"/>
  <c r="U250" i="1"/>
  <c r="V250" i="1" s="1"/>
  <c r="U105" i="1"/>
  <c r="V105" i="1" s="1"/>
  <c r="U227" i="1"/>
  <c r="V227" i="1" s="1"/>
  <c r="U98" i="1"/>
  <c r="V98" i="1" s="1"/>
  <c r="U194" i="1"/>
  <c r="V194" i="1" s="1"/>
  <c r="U132" i="1"/>
  <c r="V132" i="1" s="1"/>
  <c r="U133" i="1"/>
  <c r="V133" i="1" s="1"/>
  <c r="U127" i="1"/>
  <c r="V127" i="1" s="1"/>
  <c r="U80" i="1"/>
  <c r="V80" i="1" s="1"/>
  <c r="U41" i="1"/>
  <c r="V41" i="1" s="1"/>
  <c r="U82" i="1"/>
  <c r="V82" i="1" s="1"/>
  <c r="U170" i="1"/>
  <c r="V170" i="1" s="1"/>
  <c r="U115" i="1"/>
  <c r="V115" i="1" s="1"/>
  <c r="U180" i="1"/>
  <c r="V180" i="1" s="1"/>
  <c r="U33" i="1"/>
  <c r="V33" i="1" s="1"/>
  <c r="U49" i="1"/>
  <c r="V49" i="1" s="1"/>
  <c r="U197" i="1"/>
  <c r="V197" i="1" s="1"/>
  <c r="U37" i="1"/>
  <c r="V37" i="1" s="1"/>
  <c r="U182" i="1"/>
  <c r="V182" i="1" s="1"/>
  <c r="U62" i="1"/>
  <c r="V62" i="1" s="1"/>
  <c r="U233" i="1"/>
  <c r="V233" i="1" s="1"/>
  <c r="U32" i="1"/>
  <c r="V32" i="1" s="1"/>
  <c r="U218" i="1"/>
  <c r="V218" i="1" s="1"/>
  <c r="U226" i="1"/>
  <c r="V226" i="1" s="1"/>
  <c r="U9" i="1"/>
  <c r="V9" i="1" s="1"/>
  <c r="U43" i="1"/>
  <c r="V43" i="1" s="1"/>
  <c r="U156" i="1"/>
  <c r="V156" i="1" s="1"/>
  <c r="U109" i="1"/>
  <c r="V109" i="1" s="1"/>
  <c r="U224" i="1"/>
  <c r="V224" i="1" s="1"/>
  <c r="U121" i="1"/>
  <c r="V121" i="1" s="1"/>
  <c r="U213" i="1"/>
  <c r="V213" i="1" s="1"/>
  <c r="U242" i="1"/>
  <c r="V242" i="1" s="1"/>
  <c r="U65" i="1"/>
  <c r="V65" i="1" s="1"/>
  <c r="U90" i="1"/>
  <c r="V90" i="1" s="1"/>
  <c r="U142" i="1"/>
  <c r="V142" i="1" s="1"/>
  <c r="U128" i="1"/>
  <c r="V128" i="1" s="1"/>
  <c r="U17" i="1"/>
  <c r="V17" i="1" s="1"/>
  <c r="U147" i="1"/>
  <c r="V147" i="1" s="1"/>
  <c r="U16" i="1"/>
  <c r="V16" i="1" s="1"/>
  <c r="U188" i="1"/>
  <c r="V188" i="1" s="1"/>
  <c r="U112" i="1"/>
  <c r="V112" i="1" s="1"/>
  <c r="U207" i="1"/>
  <c r="V207" i="1" s="1"/>
  <c r="U220" i="1"/>
  <c r="V220" i="1" s="1"/>
  <c r="U95" i="1"/>
  <c r="V95" i="1" s="1"/>
  <c r="U72" i="1"/>
  <c r="V72" i="1" s="1"/>
  <c r="U78" i="1"/>
  <c r="V78" i="1" s="1"/>
  <c r="U100" i="1"/>
  <c r="V100" i="1" s="1"/>
  <c r="U169" i="1"/>
  <c r="V169" i="1" s="1"/>
  <c r="U64" i="1"/>
  <c r="V64" i="1" s="1"/>
  <c r="U89" i="1"/>
  <c r="V89" i="1" s="1"/>
  <c r="U77" i="1"/>
  <c r="V77" i="1" s="1"/>
  <c r="U173" i="1"/>
  <c r="V173" i="1" s="1"/>
  <c r="U166" i="1"/>
  <c r="V166" i="1" s="1"/>
  <c r="U39" i="1"/>
  <c r="V39" i="1" s="1"/>
  <c r="U163" i="1"/>
  <c r="V163" i="1" s="1"/>
  <c r="U108" i="1"/>
  <c r="V108" i="1" s="1"/>
  <c r="U54" i="1"/>
  <c r="V54" i="1" s="1"/>
  <c r="U31" i="1"/>
  <c r="V31" i="1" s="1"/>
  <c r="U52" i="1"/>
  <c r="V52" i="1" s="1"/>
  <c r="U204" i="1"/>
  <c r="V204" i="1" s="1"/>
  <c r="U150" i="1"/>
  <c r="V150" i="1" s="1"/>
  <c r="U214" i="1"/>
  <c r="V214" i="1" s="1"/>
  <c r="U246" i="1"/>
  <c r="V246" i="1" s="1"/>
  <c r="U23" i="1"/>
  <c r="V23" i="1" s="1"/>
  <c r="U120" i="1"/>
  <c r="V120" i="1" s="1"/>
  <c r="U145" i="1"/>
  <c r="V145" i="1" s="1"/>
  <c r="U50" i="1"/>
  <c r="V50" i="1" s="1"/>
  <c r="U59" i="1"/>
  <c r="V59" i="1" s="1"/>
  <c r="U36" i="1"/>
  <c r="V36" i="1" s="1"/>
  <c r="U140" i="1"/>
  <c r="V140" i="1" s="1"/>
  <c r="U29" i="1"/>
  <c r="V29" i="1" s="1"/>
  <c r="U15" i="1"/>
  <c r="V15" i="1" s="1"/>
  <c r="U228" i="1"/>
  <c r="V228" i="1" s="1"/>
  <c r="U7" i="1"/>
  <c r="V7" i="1" s="1"/>
  <c r="U199" i="1"/>
  <c r="V199" i="1" s="1"/>
  <c r="U160" i="1"/>
  <c r="V160" i="1" s="1"/>
  <c r="U8" i="1"/>
  <c r="V8" i="1" s="1"/>
  <c r="U110" i="1"/>
  <c r="V110" i="1" s="1"/>
  <c r="U238" i="1"/>
  <c r="V238" i="1" s="1"/>
</calcChain>
</file>

<file path=xl/sharedStrings.xml><?xml version="1.0" encoding="utf-8"?>
<sst xmlns="http://schemas.openxmlformats.org/spreadsheetml/2006/main" count="2390" uniqueCount="500">
  <si>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</si>
  <si>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</si>
  <si>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</si>
  <si>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</si>
  <si>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</si>
  <si>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</si>
  <si>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</si>
  <si>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</si>
  <si>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</si>
  <si>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</si>
  <si>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</si>
  <si>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</si>
  <si>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</si>
  <si>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</si>
  <si>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</si>
  <si>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</si>
  <si>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</si>
  <si>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</si>
  <si>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</si>
  <si>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</si>
  <si>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</si>
  <si>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</si>
  <si>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</si>
  <si>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</si>
  <si>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</si>
  <si>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</si>
  <si>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</si>
  <si>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</si>
  <si>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</si>
  <si>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</si>
  <si>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</si>
  <si>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</si>
  <si>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</si>
  <si>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</si>
  <si>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</si>
  <si>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</si>
  <si>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</si>
  <si>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</si>
  <si>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</si>
  <si>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</si>
  <si>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</si>
  <si>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</si>
  <si>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</si>
  <si>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</si>
  <si>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</si>
  <si>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</si>
  <si>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</si>
  <si>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</si>
  <si>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</si>
  <si>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</si>
  <si>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</si>
  <si>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</si>
  <si>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</si>
  <si>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</si>
  <si>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</si>
  <si>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</si>
  <si>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</si>
  <si>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</si>
  <si>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</si>
  <si>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</si>
  <si>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</si>
  <si>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</si>
  <si>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</si>
  <si>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</si>
  <si>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</si>
  <si>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</si>
  <si>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</si>
  <si>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</si>
  <si>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</si>
  <si>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</si>
  <si>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</si>
  <si>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</si>
  <si>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</si>
  <si>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</si>
  <si>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</si>
  <si>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</si>
  <si>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</si>
  <si>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</si>
  <si>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</si>
  <si>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</si>
  <si>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</si>
  <si>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</si>
  <si>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</si>
  <si>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</si>
  <si>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</si>
  <si>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</si>
  <si>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</si>
  <si>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</si>
  <si>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</si>
  <si>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</si>
  <si>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</si>
  <si>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</si>
  <si>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</si>
  <si>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</si>
  <si>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</si>
  <si>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</si>
  <si>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</si>
  <si>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</si>
  <si>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</si>
  <si>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</si>
  <si>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</si>
  <si>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</si>
  <si>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</si>
  <si>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</si>
  <si>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</si>
  <si>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</si>
  <si>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</si>
  <si>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</si>
  <si>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</si>
  <si>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</si>
  <si>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</si>
  <si>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</si>
  <si>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</si>
  <si>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</si>
  <si>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</si>
  <si>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</si>
  <si>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</si>
  <si>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</si>
  <si>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</si>
  <si>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</si>
  <si>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</si>
  <si>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</si>
  <si>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</si>
  <si>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</si>
  <si>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</si>
  <si>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</si>
  <si>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</si>
  <si>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</si>
  <si>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</si>
  <si>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</si>
  <si>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</si>
  <si>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</si>
  <si>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</si>
  <si>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</si>
  <si>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</si>
  <si>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</si>
  <si>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</si>
  <si>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</si>
  <si>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</si>
  <si>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</si>
  <si>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</si>
  <si>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</si>
  <si>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</si>
  <si>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</si>
  <si>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</si>
  <si>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</si>
  <si>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</si>
  <si>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</si>
  <si>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</si>
  <si>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</si>
  <si>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</si>
  <si>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</si>
  <si>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</si>
  <si>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</si>
  <si>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</si>
  <si>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</si>
  <si>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</si>
  <si>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</si>
  <si>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</si>
  <si>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</si>
  <si>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</si>
  <si>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</si>
  <si>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</si>
  <si>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</si>
  <si>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</si>
  <si>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</si>
  <si>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</si>
  <si>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</si>
  <si>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</si>
  <si>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</si>
  <si>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</si>
  <si>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</si>
  <si>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</si>
  <si>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</si>
  <si>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</si>
  <si>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</si>
  <si>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</si>
  <si>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</si>
  <si>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</si>
  <si>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</si>
  <si>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</si>
  <si>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</si>
  <si>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</si>
  <si>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</si>
  <si>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</si>
  <si>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</si>
  <si>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</si>
  <si>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</si>
  <si>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</si>
  <si>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</si>
  <si>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</si>
  <si>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</si>
  <si>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</si>
  <si>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</si>
  <si>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</si>
  <si>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</si>
  <si>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</si>
  <si>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</si>
  <si>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</si>
  <si>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</si>
  <si>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</si>
  <si>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</si>
  <si>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</si>
  <si>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</si>
  <si>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</si>
  <si>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</si>
  <si>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</si>
  <si>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</si>
  <si>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</si>
  <si>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</si>
  <si>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</si>
  <si>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</si>
  <si>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</si>
  <si>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</si>
  <si>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</si>
  <si>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</si>
  <si>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</si>
  <si>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</si>
  <si>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</si>
  <si>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</si>
  <si>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</si>
  <si>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</si>
  <si>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</si>
  <si>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</si>
  <si>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</si>
  <si>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</si>
  <si>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</si>
  <si>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</si>
  <si>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</si>
  <si>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</si>
  <si>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</si>
  <si>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</si>
  <si>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</si>
  <si>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</si>
  <si>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</si>
  <si>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</si>
  <si>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</si>
  <si>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</si>
  <si>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</si>
  <si>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</si>
  <si>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</si>
  <si>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</si>
  <si>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</si>
  <si>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</si>
  <si>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</si>
  <si>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</si>
  <si>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</si>
  <si>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</si>
  <si>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</si>
  <si>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</si>
  <si>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</si>
  <si>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</si>
  <si>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</si>
  <si>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</si>
  <si>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</si>
  <si>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</si>
  <si>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</si>
  <si>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</si>
  <si>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</si>
  <si>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</si>
  <si>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</si>
  <si>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</si>
  <si>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</si>
  <si>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</si>
  <si>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</si>
  <si>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</si>
  <si>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</si>
  <si>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</si>
  <si>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</si>
  <si>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</si>
  <si>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</si>
  <si>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</si>
  <si>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</si>
  <si>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</si>
  <si>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</si>
  <si>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</si>
  <si>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</si>
  <si>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</si>
  <si>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</si>
  <si>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</si>
  <si>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</si>
  <si>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</si>
  <si>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</si>
  <si>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</si>
  <si>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</si>
  <si>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</si>
  <si>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</si>
  <si>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</si>
  <si>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</si>
  <si>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</si>
  <si>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</si>
  <si>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</si>
  <si>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</si>
  <si>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</si>
  <si>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</si>
  <si>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</si>
  <si>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</si>
  <si>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</si>
  <si>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</si>
  <si>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</si>
  <si>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</si>
  <si>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</si>
  <si>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</si>
  <si>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</si>
  <si>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</si>
  <si>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</si>
  <si>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</si>
  <si>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</si>
  <si>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</si>
  <si>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</si>
  <si>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</si>
  <si>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</si>
  <si>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</si>
  <si>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</si>
  <si>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</si>
  <si>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</si>
  <si>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</si>
  <si>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</si>
  <si>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</si>
  <si>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</si>
  <si>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</si>
  <si>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</si>
  <si>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</si>
  <si>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</si>
  <si>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</si>
  <si>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</si>
  <si>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</si>
  <si>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</si>
  <si>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</si>
  <si>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</si>
  <si>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</si>
  <si>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</si>
  <si>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</si>
  <si>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</si>
  <si>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</si>
  <si>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</si>
  <si>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</si>
  <si>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</si>
  <si>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</si>
  <si>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</si>
  <si>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</si>
  <si>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</si>
  <si>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</si>
  <si>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</si>
  <si>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</si>
  <si>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</si>
  <si>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</si>
  <si>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</si>
  <si>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</si>
  <si>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</si>
  <si>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</si>
  <si>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</si>
  <si>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</si>
  <si>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</si>
  <si>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</si>
  <si>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</si>
  <si>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</si>
  <si>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</si>
  <si>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</si>
  <si>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</si>
  <si>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</si>
  <si>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</si>
  <si>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</si>
  <si>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</si>
  <si>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</si>
  <si>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</si>
  <si>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</si>
  <si>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</si>
  <si>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</si>
  <si>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</si>
  <si>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</si>
  <si>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</si>
  <si>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</si>
  <si>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</si>
  <si>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</si>
  <si>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</si>
  <si>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</si>
  <si>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</si>
  <si>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</si>
  <si>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</si>
  <si>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</si>
  <si>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</si>
  <si>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</si>
  <si>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</si>
  <si>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</si>
  <si>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</si>
  <si>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</si>
  <si>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</si>
  <si>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</si>
  <si>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</si>
  <si>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</si>
  <si>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</si>
  <si>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</si>
  <si>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</si>
  <si>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</si>
  <si>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</si>
  <si>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</si>
  <si>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</si>
  <si>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</si>
  <si>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</si>
  <si>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</si>
  <si>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 - YEAR</t>
  </si>
  <si>
    <t>EMONTH</t>
  </si>
  <si>
    <t>FILTER - MULTIPLE VALUE RETURN</t>
  </si>
  <si>
    <t>FILTER FUNCTION IS NOT WORKING IN MY EXCEL</t>
  </si>
  <si>
    <t>TIMESTAMP</t>
  </si>
  <si>
    <t>$H$51</t>
  </si>
  <si>
    <t>$N$51</t>
  </si>
  <si>
    <t>Original</t>
  </si>
  <si>
    <t>Created by cloud on 17-02-2026</t>
  </si>
  <si>
    <t>Increased_Quantity</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</si>
  <si>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</si>
  <si>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</si>
  <si>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</si>
  <si>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</si>
  <si>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</si>
  <si>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</si>
  <si>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</si>
  <si>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TOTAL 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</si>
  <si>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</si>
  <si>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</si>
  <si>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</si>
  <si>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</si>
  <si>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</si>
  <si>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</si>
  <si>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</si>
  <si>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</si>
  <si>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</si>
  <si>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</si>
  <si>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</si>
  <si>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</si>
  <si>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</si>
  <si>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</si>
  <si>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</si>
  <si>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</si>
  <si>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</si>
  <si>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</si>
  <si>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</si>
  <si>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</si>
  <si>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</si>
  <si>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</si>
  <si>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</si>
  <si>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</si>
  <si>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Customer_Total_Sales</t>
  </si>
  <si>
    <t>Customer_Category</t>
  </si>
  <si>
    <t>Row Labels</t>
  </si>
  <si>
    <t>Grand Total</t>
  </si>
  <si>
    <t>Sum of Total_Amount</t>
  </si>
  <si>
    <t>BAR CHART - TOTAL SALES BY REGION</t>
  </si>
  <si>
    <t>(blank)</t>
  </si>
  <si>
    <t>&lt;11-04-2024</t>
  </si>
  <si>
    <t>2024</t>
  </si>
  <si>
    <t>2025</t>
  </si>
  <si>
    <t>Qtr2</t>
  </si>
  <si>
    <t>Apr</t>
  </si>
  <si>
    <t>May</t>
  </si>
  <si>
    <t>Jun</t>
  </si>
  <si>
    <t>Qtr3</t>
  </si>
  <si>
    <t>Jul</t>
  </si>
  <si>
    <t>Aug</t>
  </si>
  <si>
    <t>Sep</t>
  </si>
  <si>
    <t>Qtr4</t>
  </si>
  <si>
    <t>Oct</t>
  </si>
  <si>
    <t>Nov</t>
  </si>
  <si>
    <t>Dec</t>
  </si>
  <si>
    <t>Qtr1</t>
  </si>
  <si>
    <t>Jan</t>
  </si>
  <si>
    <t>Feb</t>
  </si>
  <si>
    <t>Mar</t>
  </si>
  <si>
    <t>Count of Total_Amount</t>
  </si>
  <si>
    <t>PT_REGION</t>
  </si>
  <si>
    <t>PT_MONTHLY</t>
  </si>
  <si>
    <t>LINE CHART - MONTHLY SALES TREND</t>
  </si>
  <si>
    <t>PT_CATEGORY</t>
  </si>
  <si>
    <t>PIE CHART - SALES BY CATEGORY</t>
  </si>
  <si>
    <t>KPI CARDS</t>
  </si>
  <si>
    <t>Total Sales</t>
  </si>
  <si>
    <t>Total Orders</t>
  </si>
  <si>
    <t>Average Order Value</t>
  </si>
  <si>
    <t>Total Quantity Sold</t>
  </si>
  <si>
    <t>LINE CHART- MONTHLY SALES TREND</t>
  </si>
  <si>
    <t>SLICER</t>
  </si>
  <si>
    <t>TIMELINE</t>
  </si>
  <si>
    <t>Count Frequency</t>
  </si>
  <si>
    <t>Maximum Frequency</t>
  </si>
  <si>
    <t>Moat Frequently Purchased Product Name</t>
  </si>
  <si>
    <t>Repeat Status</t>
  </si>
  <si>
    <t>Customer Frequency</t>
  </si>
  <si>
    <t>Repeat Customers (Matched)</t>
  </si>
  <si>
    <t>Customer Abbreviation</t>
  </si>
  <si>
    <t>Customer Email ID</t>
  </si>
  <si>
    <t>I created Pivot Tables and charts to visualize the data clearly.</t>
  </si>
  <si>
    <t>Project Summary</t>
  </si>
  <si>
    <t>First, I imported the sales dataset into Excel and cleaned the data by removing blank values and correcting formats.</t>
  </si>
  <si>
    <t>I created customer abbreviations and generated email IDs using text functions.</t>
  </si>
  <si>
    <t>I identified duplicate names and compared lists using logical formulas.</t>
  </si>
  <si>
    <t>I calculated total sales, average sales, and analyzed product-wise performance.</t>
  </si>
  <si>
    <t>I performed region-wise analysis to identify top customers and best-selling products.</t>
  </si>
  <si>
    <t>Finally, I designed a dashboard and summarized key insights based on the analysis.</t>
  </si>
  <si>
    <r>
      <t xml:space="preserve">I used formulas such as </t>
    </r>
    <r>
      <rPr>
        <b/>
        <sz val="14"/>
        <color theme="1"/>
        <rFont val="Calibri"/>
        <family val="2"/>
        <scheme val="minor"/>
      </rPr>
      <t>COUNTIF</t>
    </r>
    <r>
      <rPr>
        <sz val="14"/>
        <color theme="1"/>
        <rFont val="Calibri"/>
        <family val="2"/>
        <scheme val="minor"/>
      </rPr>
      <t xml:space="preserve"> and </t>
    </r>
    <r>
      <rPr>
        <b/>
        <sz val="14"/>
        <color theme="1"/>
        <rFont val="Calibri"/>
        <family val="2"/>
        <scheme val="minor"/>
      </rPr>
      <t>IF</t>
    </r>
    <r>
      <rPr>
        <sz val="14"/>
        <color theme="1"/>
        <rFont val="Calibri"/>
        <family val="2"/>
        <scheme val="minor"/>
      </rPr>
      <t xml:space="preserve"> to identify repeat customers.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</si>
</sst>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6" x14ac:knownFonts="1">
    <font>
      <sz val="11"/>
      <color theme="1"/>
      <name val="Calibri"/>
      <family val="2"/>
      <scheme val="minor"/>
    </font>
    <font>
      <b/>
      <sz val="11"/>
      <color theme="0"/>
      <name val="Calibri"/>
      <family val="2"/>
      <scheme val="minor"/>
    </font>
    <font>
      <b/>
      <sz val="11"/>
      <color theme="1"/>
      <name val="Calibri"/>
      <family val="2"/>
      <scheme val="minor"/>
    </font>
    <font>
      <sz val="8"/>
      <color theme="1"/>
      <name val="Calibri"/>
      <family val="2"/>
      <scheme val="minor"/>
    </font>
    <font>
      <sz val="11"/>
      <color rgb="FF002E00"/>
      <name val="Calibri"/>
      <family val="2"/>
      <scheme val="minor"/>
    </font>
    <font>
      <b/>
      <sz val="12"/>
      <color indexed="9"/>
      <name val="Calibri"/>
      <family val="2"/>
      <scheme val="minor"/>
    </font>
    <font>
      <b/>
      <sz val="11"/>
      <color indexed="8"/>
      <name val="Calibri"/>
      <family val="2"/>
      <scheme val="minor"/>
    </font>
    <font>
      <b/>
      <sz val="10"/>
      <color theme="0"/>
      <name val="Calibri"/>
      <family val="2"/>
      <scheme val="minor"/>
    </font>
    <font>
      <sz val="22"/>
      <color theme="0"/>
      <name val="Calibri"/>
      <family val="2"/>
      <scheme val="minor"/>
    </font>
    <font>
      <b/>
      <sz val="20"/>
      <color theme="0"/>
      <name val="Calibri"/>
      <family val="2"/>
      <scheme val="minor"/>
    </font>
    <font>
      <b/>
      <sz val="28"/>
      <color theme="0"/>
      <name val="Calibri"/>
      <family val="2"/>
      <scheme val="minor"/>
    </font>
    <font>
      <b/>
      <sz val="22"/>
      <color theme="0"/>
      <name val="Calibri"/>
      <family val="2"/>
      <scheme val="minor"/>
    </font>
    <font>
      <sz val="14"/>
      <color theme="1"/>
      <name val="Calibri"/>
      <family val="2"/>
      <scheme val="minor"/>
    </font>
    <font>
      <b/>
      <sz val="24"/>
      <color theme="0"/>
      <name val="Calibri"/>
      <family val="2"/>
      <scheme val="minor"/>
    </font>
    <font>
      <b/>
      <sz val="14"/>
      <color theme="1"/>
      <name val="Calibri"/>
      <family val="2"/>
      <scheme val="minor"/>
    </font>
    <font>
      <b/>
      <sz val="10"/>
      <color indexed="9"/>
      <name val="Calibri"/>
      <family val="2"/>
      <scheme val="minor"/>
    </font>
  </fonts>
  <fills count="12">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92D050"/>
        <bgColor indexed="64"/>
      </patternFill>
    </fill>
    <fill>
      <patternFill patternType="solid">
        <fgColor indexed="22"/>
        <bgColor indexed="24"/>
      </patternFill>
    </fill>
    <fill>
      <patternFill patternType="solid">
        <fgColor theme="9" tint="-0.249977111117893"/>
        <bgColor indexed="24"/>
      </patternFill>
    </fill>
    <fill>
      <patternFill patternType="solid">
        <fgColor theme="9" tint="-0.249977111117893"/>
        <bgColor indexed="64"/>
      </patternFill>
    </fill>
    <fill>
      <patternFill patternType="solid">
        <fgColor theme="9" tint="0.79998168889431442"/>
        <bgColor indexed="24"/>
      </patternFill>
    </fill>
    <fill>
      <patternFill patternType="solid">
        <fgColor theme="9" tint="0.79998168889431442"/>
        <bgColor indexed="7"/>
      </patternFill>
    </fill>
    <fill>
      <patternFill patternType="solid">
        <fgColor theme="9" tint="-0.499984740745262"/>
        <bgColor indexed="64"/>
      </patternFill>
    </fill>
    <fill>
      <patternFill patternType="solid">
        <fgColor theme="6" tint="0.79998168889431442"/>
        <bgColor indexed="64"/>
      </patternFill>
    </fill>
  </fills>
  <borders count="13">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6" fillId="5" borderId="0" xfId="0" applyFont="1" applyFill="1" applyAlignment="1">
      <alignment horizontal="left"/>
    </xf>
    <xf numFmtId="0" fontId="3" fillId="0" borderId="0" xfId="0" applyFont="1" applyAlignment="1">
      <alignment vertical="top" wrapText="1"/>
    </xf>
    <xf numFmtId="0" fontId="5" fillId="6" borderId="1" xfId="0" applyFont="1" applyFill="1" applyBorder="1" applyAlignment="1">
      <alignment horizontal="left"/>
    </xf>
    <xf numFmtId="0" fontId="5" fillId="6" borderId="3" xfId="0" applyFont="1" applyFill="1" applyBorder="1" applyAlignment="1">
      <alignment horizontal="left"/>
    </xf>
    <xf numFmtId="0" fontId="0" fillId="3" borderId="4" xfId="0" applyFill="1" applyBorder="1"/>
    <xf numFmtId="0" fontId="6" fillId="8" borderId="0" xfId="0" applyFont="1" applyFill="1" applyAlignment="1">
      <alignment horizontal="left"/>
    </xf>
    <xf numFmtId="0" fontId="0" fillId="3" borderId="0" xfId="0" applyFill="1"/>
    <xf numFmtId="0" fontId="0" fillId="9" borderId="0" xfId="0" applyFill="1"/>
    <xf numFmtId="0" fontId="6" fillId="8" borderId="2" xfId="0" applyFont="1" applyFill="1" applyBorder="1" applyAlignment="1">
      <alignment horizontal="left"/>
    </xf>
    <xf numFmtId="0" fontId="0" fillId="3" borderId="2" xfId="0" applyFill="1" applyBorder="1"/>
    <xf numFmtId="0" fontId="2" fillId="8" borderId="4" xfId="0" applyFont="1" applyFill="1" applyBorder="1" applyAlignment="1">
      <alignment horizontal="left"/>
    </xf>
    <xf numFmtId="0" fontId="1" fillId="7" borderId="0" xfId="0" applyFont="1" applyFill="1" applyAlignment="1">
      <alignment horizontal="center" vertical="center"/>
    </xf>
    <xf numFmtId="0" fontId="2" fillId="2" borderId="6" xfId="0" applyFont="1" applyFill="1" applyBorder="1" applyAlignment="1">
      <alignment horizontal="center"/>
    </xf>
    <xf numFmtId="0" fontId="0" fillId="3" borderId="6" xfId="0" applyFill="1" applyBorder="1"/>
    <xf numFmtId="0" fontId="2" fillId="0" borderId="0" xfId="0" applyFont="1" applyAlignment="1">
      <alignment horizontal="center" vertical="center"/>
    </xf>
    <xf numFmtId="0" fontId="1" fillId="7" borderId="6" xfId="0" applyFont="1" applyFill="1" applyBorder="1" applyAlignment="1">
      <alignment horizontal="center" vertical="center" wrapText="1"/>
    </xf>
    <xf numFmtId="0" fontId="0" fillId="3" borderId="6" xfId="0" applyFill="1" applyBorder="1" applyAlignment="1">
      <alignment horizontal="center" vertical="center"/>
    </xf>
    <xf numFmtId="0" fontId="0" fillId="2" borderId="6" xfId="0" applyFill="1" applyBorder="1"/>
    <xf numFmtId="0" fontId="0" fillId="2" borderId="6" xfId="0" applyFill="1" applyBorder="1" applyAlignment="1">
      <alignment horizontal="left"/>
    </xf>
    <xf numFmtId="0" fontId="0" fillId="3" borderId="6" xfId="0" applyFill="1" applyBorder="1" applyAlignment="1">
      <alignment horizontal="left"/>
    </xf>
    <xf numFmtId="0" fontId="0" fillId="3" borderId="6" xfId="0" applyFill="1" applyBorder="1" applyAlignment="1">
      <alignment horizontal="left" indent="1"/>
    </xf>
    <xf numFmtId="0" fontId="0" fillId="3" borderId="6" xfId="0" applyFill="1" applyBorder="1" applyAlignment="1">
      <alignment horizontal="left" indent="2"/>
    </xf>
    <xf numFmtId="0" fontId="0" fillId="11" borderId="0" xfId="0" applyFill="1"/>
    <xf numFmtId="0" fontId="0" fillId="11" borderId="9" xfId="0" applyFill="1" applyBorder="1"/>
    <xf numFmtId="0" fontId="0" fillId="11" borderId="5" xfId="0" applyFill="1" applyBorder="1"/>
    <xf numFmtId="0" fontId="0" fillId="11" borderId="11" xfId="0" applyFill="1" applyBorder="1"/>
    <xf numFmtId="0" fontId="2" fillId="11" borderId="0" xfId="0" applyFont="1" applyFill="1"/>
    <xf numFmtId="0" fontId="10" fillId="11" borderId="0" xfId="0" applyFont="1" applyFill="1" applyAlignment="1">
      <alignment horizontal="center" vertical="center"/>
    </xf>
    <xf numFmtId="0" fontId="0" fillId="11" borderId="0" xfId="0" applyFill="1" applyAlignment="1">
      <alignment horizontal="center" vertical="center"/>
    </xf>
    <xf numFmtId="0" fontId="2" fillId="11" borderId="11" xfId="0" applyFont="1" applyFill="1" applyBorder="1" applyAlignment="1">
      <alignment horizontal="center" vertical="center"/>
    </xf>
    <xf numFmtId="164" fontId="0" fillId="3" borderId="6" xfId="0" applyNumberFormat="1" applyFill="1" applyBorder="1"/>
    <xf numFmtId="2" fontId="0" fillId="3" borderId="6" xfId="0" applyNumberFormat="1" applyFill="1" applyBorder="1"/>
    <xf numFmtId="0" fontId="0" fillId="2" borderId="6" xfId="0" applyFill="1" applyBorder="1" applyAlignment="1">
      <alignment horizontal="center" vertical="center"/>
    </xf>
    <xf numFmtId="0" fontId="9" fillId="11" borderId="0" xfId="0" applyFont="1" applyFill="1" applyAlignment="1">
      <alignment horizontal="center" vertical="center"/>
    </xf>
    <xf numFmtId="0" fontId="11" fillId="7" borderId="0" xfId="0" applyFont="1" applyFill="1" applyAlignment="1">
      <alignment horizontal="center" vertical="center"/>
    </xf>
    <xf numFmtId="0" fontId="1" fillId="7" borderId="7" xfId="0" applyFont="1" applyFill="1" applyBorder="1" applyAlignment="1">
      <alignment horizontal="center" vertical="center" wrapText="1"/>
    </xf>
    <xf numFmtId="0" fontId="0" fillId="3" borderId="7" xfId="0" applyFill="1" applyBorder="1" applyAlignment="1">
      <alignment horizontal="center" vertical="center"/>
    </xf>
    <xf numFmtId="0" fontId="0" fillId="0" borderId="6" xfId="0" applyBorder="1"/>
    <xf numFmtId="0" fontId="0" fillId="0" borderId="0" xfId="0" applyAlignment="1">
      <alignment horizontal="center" vertical="center"/>
    </xf>
    <xf numFmtId="0" fontId="0" fillId="3" borderId="6" xfId="0" applyFill="1" applyBorder="1" applyAlignment="1">
      <alignment horizontal="center" vertical="center" wrapText="1"/>
    </xf>
    <xf numFmtId="14" fontId="0" fillId="3" borderId="6" xfId="0" applyNumberFormat="1" applyFill="1" applyBorder="1" applyAlignment="1">
      <alignment horizontal="center" vertical="center" wrapText="1"/>
    </xf>
    <xf numFmtId="14" fontId="0" fillId="3" borderId="6" xfId="0" applyNumberFormat="1" applyFill="1" applyBorder="1" applyAlignment="1">
      <alignment horizontal="center" vertical="center"/>
    </xf>
    <xf numFmtId="22" fontId="0" fillId="3" borderId="6" xfId="0" applyNumberFormat="1" applyFill="1" applyBorder="1" applyAlignment="1">
      <alignment horizontal="center" vertical="center"/>
    </xf>
    <xf numFmtId="14" fontId="0" fillId="3" borderId="7" xfId="0" applyNumberFormat="1" applyFill="1" applyBorder="1" applyAlignment="1">
      <alignment horizontal="center" vertical="center"/>
    </xf>
    <xf numFmtId="22" fontId="0" fillId="3" borderId="7" xfId="0" applyNumberFormat="1" applyFill="1" applyBorder="1" applyAlignment="1">
      <alignment horizontal="center" vertical="center"/>
    </xf>
    <xf numFmtId="0" fontId="0" fillId="0" borderId="0" xfId="0" applyAlignment="1">
      <alignment horizontal="center" vertical="center" wrapText="1"/>
    </xf>
    <xf numFmtId="2" fontId="0" fillId="3" borderId="6" xfId="0" applyNumberFormat="1" applyFill="1" applyBorder="1" applyAlignment="1">
      <alignment horizontal="center" vertical="center" wrapText="1"/>
    </xf>
    <xf numFmtId="0" fontId="0" fillId="0" borderId="3" xfId="0" applyBorder="1" applyAlignment="1">
      <alignment horizontal="center" vertical="center"/>
    </xf>
    <xf numFmtId="0" fontId="4" fillId="4" borderId="6" xfId="0" applyFont="1" applyFill="1" applyBorder="1" applyAlignment="1">
      <alignment horizontal="center" vertical="center" wrapText="1"/>
    </xf>
    <xf numFmtId="0" fontId="7" fillId="7" borderId="0" xfId="0" applyFont="1" applyFill="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11" fillId="7" borderId="0" xfId="0" applyFont="1" applyFill="1" applyAlignment="1">
      <alignment horizontal="center"/>
    </xf>
    <xf numFmtId="0" fontId="11" fillId="7" borderId="0" xfId="0" applyFont="1" applyFill="1" applyAlignment="1">
      <alignment horizontal="center" vertical="center"/>
    </xf>
    <xf numFmtId="0" fontId="9" fillId="7" borderId="0" xfId="0" applyFont="1" applyFill="1" applyAlignment="1">
      <alignment horizontal="center" vertical="center"/>
    </xf>
    <xf numFmtId="0" fontId="8" fillId="10" borderId="0" xfId="0" applyFont="1" applyFill="1" applyAlignment="1">
      <alignment horizontal="center" vertical="center"/>
    </xf>
    <xf numFmtId="0" fontId="9" fillId="7" borderId="6" xfId="0" applyFont="1" applyFill="1" applyBorder="1" applyAlignment="1">
      <alignment horizontal="center" vertical="center"/>
    </xf>
    <xf numFmtId="0" fontId="9" fillId="11" borderId="12" xfId="0" applyFont="1" applyFill="1" applyBorder="1" applyAlignment="1">
      <alignment horizontal="center" vertical="center"/>
    </xf>
    <xf numFmtId="0" fontId="9" fillId="11" borderId="10" xfId="0" applyFont="1" applyFill="1" applyBorder="1" applyAlignment="1">
      <alignment horizontal="center" vertical="center"/>
    </xf>
    <xf numFmtId="0" fontId="9" fillId="11" borderId="8" xfId="0" applyFont="1" applyFill="1" applyBorder="1" applyAlignment="1">
      <alignment horizontal="center" vertical="center"/>
    </xf>
    <xf numFmtId="0" fontId="9" fillId="11" borderId="6" xfId="0" applyFont="1" applyFill="1" applyBorder="1" applyAlignment="1">
      <alignment horizontal="center" vertical="center"/>
    </xf>
    <xf numFmtId="0" fontId="10" fillId="7" borderId="0" xfId="0" applyFont="1" applyFill="1" applyAlignment="1">
      <alignment horizontal="center" vertical="center"/>
    </xf>
    <xf numFmtId="0" fontId="10" fillId="7" borderId="3" xfId="0" applyFont="1" applyFill="1" applyBorder="1" applyAlignment="1">
      <alignment horizontal="center" vertical="center"/>
    </xf>
    <xf numFmtId="0" fontId="13" fillId="10" borderId="0" xfId="0" applyFont="1" applyFill="1" applyAlignment="1">
      <alignment horizontal="center" vertical="center"/>
    </xf>
    <xf numFmtId="0" fontId="12" fillId="3" borderId="0" xfId="0" applyFont="1" applyFill="1"/>
    <xf numFmtId="0" fontId="5" fillId="6" borderId="1" xfId="0" applyFont="1" applyFill="1" applyBorder="1" applyAlignment="1">
      <alignment horizontal="left" vertical="center"/>
    </xf>
    <xf numFmtId="0" fontId="5" fillId="6" borderId="3" xfId="0" applyFont="1" applyFill="1" applyBorder="1" applyAlignment="1">
      <alignment horizontal="left" vertical="center"/>
    </xf>
    <xf numFmtId="0" fontId="15" fillId="6" borderId="3" xfId="0" applyFont="1" applyFill="1" applyBorder="1" applyAlignment="1">
      <alignment horizontal="center" vertical="center"/>
    </xf>
    <xf numFmtId="0" fontId="15" fillId="6" borderId="1"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cellXfs>
  <cellStyles count="1">
    <cellStyle name="Normal" xfId="0" builtinId="0"/>
  </cellStyles>
  <dxfs count="72">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39997558519241921"/>
        </patternFill>
      </fill>
    </dxf>
    <dxf>
      <fill>
        <patternFill>
          <bgColor theme="9" tint="0.39997558519241921"/>
        </patternFill>
      </fill>
    </dxf>
    <dxf>
      <fill>
        <patternFill patternType="solid">
          <bgColor theme="9" tint="-0.249977111117893"/>
        </patternFill>
      </fill>
    </dxf>
    <dxf>
      <fill>
        <patternFill patternType="solid">
          <bgColor theme="9" tint="-0.249977111117893"/>
        </patternFill>
      </fill>
    </dxf>
    <dxf>
      <fill>
        <patternFill patternType="solid">
          <bgColor theme="9" tint="0.79998168889431442"/>
        </patternFill>
      </fill>
    </dxf>
    <dxf>
      <fill>
        <patternFill patternType="solid">
          <bgColor theme="9" tint="0.79998168889431442"/>
        </patternFill>
      </fill>
    </dxf>
    <dxf>
      <font>
        <color theme="1"/>
      </font>
    </dxf>
    <dxf>
      <font>
        <color theme="1"/>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bgColor theme="9" tint="0.39997558519241921"/>
        </patternFill>
      </fill>
    </dxf>
    <dxf>
      <fill>
        <patternFill patternType="solid">
          <bgColor theme="9" tint="0.79998168889431442"/>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3.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PROJECT.xlsx]PIVOT 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TABLE'!$A$7:$A$12</c:f>
              <c:strCache>
                <c:ptCount val="5"/>
                <c:pt idx="0">
                  <c:v>Central</c:v>
                </c:pt>
                <c:pt idx="1">
                  <c:v>East</c:v>
                </c:pt>
                <c:pt idx="2">
                  <c:v>North</c:v>
                </c:pt>
                <c:pt idx="3">
                  <c:v>South</c:v>
                </c:pt>
                <c:pt idx="4">
                  <c:v>West</c:v>
                </c:pt>
              </c:strCache>
            </c:strRef>
          </c:cat>
          <c:val>
            <c:numRef>
              <c:f>'PIVOT TABLE'!$B$7:$B$12</c:f>
              <c:numCache>
                <c:formatCode>General</c:formatCode>
                <c:ptCount val="5"/>
                <c:pt idx="0">
                  <c:v>41288.340000000018</c:v>
                </c:pt>
                <c:pt idx="1">
                  <c:v>59288.389999999992</c:v>
                </c:pt>
                <c:pt idx="2">
                  <c:v>50538.340000000011</c:v>
                </c:pt>
                <c:pt idx="3">
                  <c:v>41898.80000000001</c:v>
                </c:pt>
                <c:pt idx="4">
                  <c:v>41408.680000000015</c:v>
                </c:pt>
              </c:numCache>
            </c:numRef>
          </c:val>
          <c:extLst>
            <c:ext xmlns:c16="http://schemas.microsoft.com/office/drawing/2014/chart" uri="{C3380CC4-5D6E-409C-BE32-E72D297353CC}">
              <c16:uniqueId val="{00000000-A620-421D-86AE-E09DD1E02D7C}"/>
            </c:ext>
          </c:extLst>
        </c:ser>
        <c:dLbls>
          <c:dLblPos val="outEnd"/>
          <c:showLegendKey val="0"/>
          <c:showVal val="1"/>
          <c:showCatName val="0"/>
          <c:showSerName val="0"/>
          <c:showPercent val="0"/>
          <c:showBubbleSize val="0"/>
        </c:dLbls>
        <c:gapWidth val="164"/>
        <c:overlap val="-22"/>
        <c:axId val="1292336015"/>
        <c:axId val="1292336495"/>
      </c:barChart>
      <c:catAx>
        <c:axId val="129233601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6495"/>
        <c:crosses val="autoZero"/>
        <c:auto val="1"/>
        <c:lblAlgn val="ctr"/>
        <c:lblOffset val="100"/>
        <c:noMultiLvlLbl val="0"/>
      </c:catAx>
      <c:valAx>
        <c:axId val="129233649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601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TABLE'!$A$40:$A$63</c:f>
              <c:multiLvlStrCache>
                <c:ptCount val="14"/>
                <c:lvl>
                  <c:pt idx="0">
                    <c:v>&lt;11-04-2024</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lvl>
                <c:lvl>
                  <c:pt idx="0">
                    <c:v>&lt;11-04-2024</c:v>
                  </c:pt>
                  <c:pt idx="1">
                    <c:v>Qtr2</c:v>
                  </c:pt>
                  <c:pt idx="4">
                    <c:v>Qtr3</c:v>
                  </c:pt>
                  <c:pt idx="7">
                    <c:v>Qtr4</c:v>
                  </c:pt>
                  <c:pt idx="10">
                    <c:v>Qtr1</c:v>
                  </c:pt>
                  <c:pt idx="13">
                    <c:v>Qtr2</c:v>
                  </c:pt>
                </c:lvl>
                <c:lvl>
                  <c:pt idx="0">
                    <c:v>&lt;11-04-2024</c:v>
                  </c:pt>
                  <c:pt idx="1">
                    <c:v>2024</c:v>
                  </c:pt>
                  <c:pt idx="10">
                    <c:v>2025</c:v>
                  </c:pt>
                </c:lvl>
              </c:multiLvlStrCache>
            </c:multiLvlStrRef>
          </c:cat>
          <c:val>
            <c:numRef>
              <c:f>'PIVOT TABLE'!$B$40:$B$63</c:f>
              <c:numCache>
                <c:formatCode>General</c:formatCode>
                <c:ptCount val="14"/>
                <c:pt idx="0">
                  <c:v>10000.000000000007</c:v>
                </c:pt>
                <c:pt idx="1">
                  <c:v>20919.330000000002</c:v>
                </c:pt>
                <c:pt idx="2">
                  <c:v>17039.349999999999</c:v>
                </c:pt>
                <c:pt idx="3">
                  <c:v>24799.500000000011</c:v>
                </c:pt>
                <c:pt idx="4">
                  <c:v>18479.399999999994</c:v>
                </c:pt>
                <c:pt idx="5">
                  <c:v>15759.429999999997</c:v>
                </c:pt>
                <c:pt idx="6">
                  <c:v>12989.509999999998</c:v>
                </c:pt>
                <c:pt idx="7">
                  <c:v>20609.52</c:v>
                </c:pt>
                <c:pt idx="8">
                  <c:v>12309.439999999999</c:v>
                </c:pt>
                <c:pt idx="9">
                  <c:v>23039.3</c:v>
                </c:pt>
                <c:pt idx="10">
                  <c:v>25799.15</c:v>
                </c:pt>
                <c:pt idx="11">
                  <c:v>16069.380000000001</c:v>
                </c:pt>
                <c:pt idx="12">
                  <c:v>19899.379999999997</c:v>
                </c:pt>
                <c:pt idx="13">
                  <c:v>6979.8300000000008</c:v>
                </c:pt>
              </c:numCache>
            </c:numRef>
          </c:val>
          <c:smooth val="0"/>
          <c:extLst>
            <c:ext xmlns:c16="http://schemas.microsoft.com/office/drawing/2014/chart" uri="{C3380CC4-5D6E-409C-BE32-E72D297353CC}">
              <c16:uniqueId val="{00000000-0F8C-453C-8071-1C4A37D266C3}"/>
            </c:ext>
          </c:extLst>
        </c:ser>
        <c:dLbls>
          <c:showLegendKey val="0"/>
          <c:showVal val="0"/>
          <c:showCatName val="0"/>
          <c:showSerName val="0"/>
          <c:showPercent val="0"/>
          <c:showBubbleSize val="0"/>
        </c:dLbls>
        <c:marker val="1"/>
        <c:smooth val="0"/>
        <c:axId val="1551055743"/>
        <c:axId val="1551055263"/>
      </c:lineChart>
      <c:catAx>
        <c:axId val="155105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55263"/>
        <c:crosses val="autoZero"/>
        <c:auto val="1"/>
        <c:lblAlgn val="ctr"/>
        <c:lblOffset val="100"/>
        <c:noMultiLvlLbl val="0"/>
      </c:catAx>
      <c:valAx>
        <c:axId val="155105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5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PROJECT.xlsx]PIVOT TABLE!PivotTable5</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082961682943048E-2"/>
          <c:y val="0.26237417977227157"/>
          <c:w val="0.78381112290361288"/>
          <c:h val="0.6723928361122169"/>
        </c:manualLayout>
      </c:layout>
      <c:pie3DChart>
        <c:varyColors val="1"/>
        <c:ser>
          <c:idx val="0"/>
          <c:order val="0"/>
          <c:tx>
            <c:strRef>
              <c:f>'PIVOT TABLE'!$B$90</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8A5-40D8-A9F6-86AB122ED3A3}"/>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8A5-40D8-A9F6-86AB122ED3A3}"/>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8A5-40D8-A9F6-86AB122ED3A3}"/>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8A5-40D8-A9F6-86AB122ED3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TABLE'!$A$91:$A$95</c:f>
              <c:strCache>
                <c:ptCount val="4"/>
                <c:pt idx="0">
                  <c:v>Appliances</c:v>
                </c:pt>
                <c:pt idx="1">
                  <c:v>Electronics</c:v>
                </c:pt>
                <c:pt idx="2">
                  <c:v>Furniture</c:v>
                </c:pt>
                <c:pt idx="3">
                  <c:v>(blank)</c:v>
                </c:pt>
              </c:strCache>
            </c:strRef>
          </c:cat>
          <c:val>
            <c:numRef>
              <c:f>'PIVOT TABLE'!$B$91:$B$95</c:f>
              <c:numCache>
                <c:formatCode>General</c:formatCode>
                <c:ptCount val="4"/>
                <c:pt idx="0">
                  <c:v>43</c:v>
                </c:pt>
                <c:pt idx="1">
                  <c:v>131</c:v>
                </c:pt>
                <c:pt idx="2">
                  <c:v>76</c:v>
                </c:pt>
                <c:pt idx="3">
                  <c:v>2</c:v>
                </c:pt>
              </c:numCache>
            </c:numRef>
          </c:val>
          <c:extLst>
            <c:ext xmlns:c16="http://schemas.microsoft.com/office/drawing/2014/chart" uri="{C3380CC4-5D6E-409C-BE32-E72D297353CC}">
              <c16:uniqueId val="{00000008-48A5-40D8-A9F6-86AB122ED3A3}"/>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PROJECT.xlsx]PIVOT TABLE!PivotTable5</c:name>
    <c:fmtId val="2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TABLE'!$B$90</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B9F-40AB-BA96-E084594AE06A}"/>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B9F-40AB-BA96-E084594AE06A}"/>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B9F-40AB-BA96-E084594AE06A}"/>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B9F-40AB-BA96-E084594AE0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TABLE'!$A$91:$A$95</c:f>
              <c:strCache>
                <c:ptCount val="4"/>
                <c:pt idx="0">
                  <c:v>Appliances</c:v>
                </c:pt>
                <c:pt idx="1">
                  <c:v>Electronics</c:v>
                </c:pt>
                <c:pt idx="2">
                  <c:v>Furniture</c:v>
                </c:pt>
                <c:pt idx="3">
                  <c:v>(blank)</c:v>
                </c:pt>
              </c:strCache>
            </c:strRef>
          </c:cat>
          <c:val>
            <c:numRef>
              <c:f>'PIVOT TABLE'!$B$91:$B$95</c:f>
              <c:numCache>
                <c:formatCode>General</c:formatCode>
                <c:ptCount val="4"/>
                <c:pt idx="0">
                  <c:v>43</c:v>
                </c:pt>
                <c:pt idx="1">
                  <c:v>131</c:v>
                </c:pt>
                <c:pt idx="2">
                  <c:v>76</c:v>
                </c:pt>
                <c:pt idx="3">
                  <c:v>2</c:v>
                </c:pt>
              </c:numCache>
            </c:numRef>
          </c:val>
          <c:extLst>
            <c:ext xmlns:c16="http://schemas.microsoft.com/office/drawing/2014/chart" uri="{C3380CC4-5D6E-409C-BE32-E72D297353CC}">
              <c16:uniqueId val="{00000008-CB9F-40AB-BA96-E084594AE06A}"/>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PROJECT.xlsx]PIVOT TABLE!PivotTable2</c:name>
    <c:fmtId val="18"/>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TABLE'!$A$7:$A$12</c:f>
              <c:strCache>
                <c:ptCount val="5"/>
                <c:pt idx="0">
                  <c:v>Central</c:v>
                </c:pt>
                <c:pt idx="1">
                  <c:v>East</c:v>
                </c:pt>
                <c:pt idx="2">
                  <c:v>North</c:v>
                </c:pt>
                <c:pt idx="3">
                  <c:v>South</c:v>
                </c:pt>
                <c:pt idx="4">
                  <c:v>West</c:v>
                </c:pt>
              </c:strCache>
            </c:strRef>
          </c:cat>
          <c:val>
            <c:numRef>
              <c:f>'PIVOT TABLE'!$B$7:$B$12</c:f>
              <c:numCache>
                <c:formatCode>General</c:formatCode>
                <c:ptCount val="5"/>
                <c:pt idx="0">
                  <c:v>41288.340000000018</c:v>
                </c:pt>
                <c:pt idx="1">
                  <c:v>59288.389999999992</c:v>
                </c:pt>
                <c:pt idx="2">
                  <c:v>50538.340000000011</c:v>
                </c:pt>
                <c:pt idx="3">
                  <c:v>41898.80000000001</c:v>
                </c:pt>
                <c:pt idx="4">
                  <c:v>41408.680000000015</c:v>
                </c:pt>
              </c:numCache>
            </c:numRef>
          </c:val>
          <c:extLst>
            <c:ext xmlns:c16="http://schemas.microsoft.com/office/drawing/2014/chart" uri="{C3380CC4-5D6E-409C-BE32-E72D297353CC}">
              <c16:uniqueId val="{00000000-5DA3-41FA-AA4D-8FDEDFA20D9E}"/>
            </c:ext>
          </c:extLst>
        </c:ser>
        <c:dLbls>
          <c:dLblPos val="outEnd"/>
          <c:showLegendKey val="0"/>
          <c:showVal val="1"/>
          <c:showCatName val="0"/>
          <c:showSerName val="0"/>
          <c:showPercent val="0"/>
          <c:showBubbleSize val="0"/>
        </c:dLbls>
        <c:gapWidth val="164"/>
        <c:overlap val="-22"/>
        <c:axId val="1292336015"/>
        <c:axId val="1292336495"/>
      </c:barChart>
      <c:catAx>
        <c:axId val="129233601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6495"/>
        <c:crosses val="autoZero"/>
        <c:auto val="1"/>
        <c:lblAlgn val="ctr"/>
        <c:lblOffset val="100"/>
        <c:noMultiLvlLbl val="0"/>
      </c:catAx>
      <c:valAx>
        <c:axId val="129233649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601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TABLE'!$A$40:$A$63</c:f>
              <c:multiLvlStrCache>
                <c:ptCount val="14"/>
                <c:lvl>
                  <c:pt idx="0">
                    <c:v>&lt;11-04-2024</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lvl>
                <c:lvl>
                  <c:pt idx="0">
                    <c:v>&lt;11-04-2024</c:v>
                  </c:pt>
                  <c:pt idx="1">
                    <c:v>Qtr2</c:v>
                  </c:pt>
                  <c:pt idx="4">
                    <c:v>Qtr3</c:v>
                  </c:pt>
                  <c:pt idx="7">
                    <c:v>Qtr4</c:v>
                  </c:pt>
                  <c:pt idx="10">
                    <c:v>Qtr1</c:v>
                  </c:pt>
                  <c:pt idx="13">
                    <c:v>Qtr2</c:v>
                  </c:pt>
                </c:lvl>
                <c:lvl>
                  <c:pt idx="0">
                    <c:v>&lt;11-04-2024</c:v>
                  </c:pt>
                  <c:pt idx="1">
                    <c:v>2024</c:v>
                  </c:pt>
                  <c:pt idx="10">
                    <c:v>2025</c:v>
                  </c:pt>
                </c:lvl>
              </c:multiLvlStrCache>
            </c:multiLvlStrRef>
          </c:cat>
          <c:val>
            <c:numRef>
              <c:f>'PIVOT TABLE'!$B$40:$B$63</c:f>
              <c:numCache>
                <c:formatCode>General</c:formatCode>
                <c:ptCount val="14"/>
                <c:pt idx="0">
                  <c:v>10000.000000000007</c:v>
                </c:pt>
                <c:pt idx="1">
                  <c:v>20919.330000000002</c:v>
                </c:pt>
                <c:pt idx="2">
                  <c:v>17039.349999999999</c:v>
                </c:pt>
                <c:pt idx="3">
                  <c:v>24799.500000000011</c:v>
                </c:pt>
                <c:pt idx="4">
                  <c:v>18479.399999999994</c:v>
                </c:pt>
                <c:pt idx="5">
                  <c:v>15759.429999999997</c:v>
                </c:pt>
                <c:pt idx="6">
                  <c:v>12989.509999999998</c:v>
                </c:pt>
                <c:pt idx="7">
                  <c:v>20609.52</c:v>
                </c:pt>
                <c:pt idx="8">
                  <c:v>12309.439999999999</c:v>
                </c:pt>
                <c:pt idx="9">
                  <c:v>23039.3</c:v>
                </c:pt>
                <c:pt idx="10">
                  <c:v>25799.15</c:v>
                </c:pt>
                <c:pt idx="11">
                  <c:v>16069.380000000001</c:v>
                </c:pt>
                <c:pt idx="12">
                  <c:v>19899.379999999997</c:v>
                </c:pt>
                <c:pt idx="13">
                  <c:v>6979.8300000000008</c:v>
                </c:pt>
              </c:numCache>
            </c:numRef>
          </c:val>
          <c:smooth val="0"/>
          <c:extLst>
            <c:ext xmlns:c16="http://schemas.microsoft.com/office/drawing/2014/chart" uri="{C3380CC4-5D6E-409C-BE32-E72D297353CC}">
              <c16:uniqueId val="{00000000-B668-4CCC-B1EC-66B177DFADFB}"/>
            </c:ext>
          </c:extLst>
        </c:ser>
        <c:dLbls>
          <c:showLegendKey val="0"/>
          <c:showVal val="0"/>
          <c:showCatName val="0"/>
          <c:showSerName val="0"/>
          <c:showPercent val="0"/>
          <c:showBubbleSize val="0"/>
        </c:dLbls>
        <c:marker val="1"/>
        <c:smooth val="0"/>
        <c:axId val="1551055743"/>
        <c:axId val="1551055263"/>
      </c:lineChart>
      <c:catAx>
        <c:axId val="155105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55263"/>
        <c:crosses val="autoZero"/>
        <c:auto val="1"/>
        <c:lblAlgn val="ctr"/>
        <c:lblOffset val="100"/>
        <c:noMultiLvlLbl val="0"/>
      </c:catAx>
      <c:valAx>
        <c:axId val="155105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05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35170</xdr:colOff>
      <xdr:row>16</xdr:row>
      <xdr:rowOff>19051</xdr:rowOff>
    </xdr:from>
    <xdr:to>
      <xdr:col>6</xdr:col>
      <xdr:colOff>4690</xdr:colOff>
      <xdr:row>31</xdr:row>
      <xdr:rowOff>19052</xdr:rowOff>
    </xdr:to>
    <xdr:graphicFrame macro="">
      <xdr:nvGraphicFramePr>
        <xdr:cNvPr id="3" name="Chart 2">
          <a:extLst>
            <a:ext uri="{FF2B5EF4-FFF2-40B4-BE49-F238E27FC236}">
              <a16:creationId xmlns:a16="http://schemas.microsoft.com/office/drawing/2014/main" id="{D0DDDCD3-C252-7B2D-15DF-15F531404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67</xdr:row>
      <xdr:rowOff>0</xdr:rowOff>
    </xdr:from>
    <xdr:to>
      <xdr:col>5</xdr:col>
      <xdr:colOff>15240</xdr:colOff>
      <xdr:row>82</xdr:row>
      <xdr:rowOff>0</xdr:rowOff>
    </xdr:to>
    <xdr:graphicFrame macro="">
      <xdr:nvGraphicFramePr>
        <xdr:cNvPr id="5" name="Chart 4">
          <a:extLst>
            <a:ext uri="{FF2B5EF4-FFF2-40B4-BE49-F238E27FC236}">
              <a16:creationId xmlns:a16="http://schemas.microsoft.com/office/drawing/2014/main" id="{0D0475CB-355E-4D37-8098-26200FE74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23446</xdr:colOff>
      <xdr:row>99</xdr:row>
      <xdr:rowOff>23446</xdr:rowOff>
    </xdr:from>
    <xdr:to>
      <xdr:col>6</xdr:col>
      <xdr:colOff>8206</xdr:colOff>
      <xdr:row>114</xdr:row>
      <xdr:rowOff>23446</xdr:rowOff>
    </xdr:to>
    <xdr:graphicFrame macro="">
      <xdr:nvGraphicFramePr>
        <xdr:cNvPr id="7" name="Chart 6">
          <a:extLst>
            <a:ext uri="{FF2B5EF4-FFF2-40B4-BE49-F238E27FC236}">
              <a16:creationId xmlns:a16="http://schemas.microsoft.com/office/drawing/2014/main" id="{ED4C8C2A-E16A-4642-BE08-8E9EBFA06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23033</xdr:colOff>
      <xdr:row>16</xdr:row>
      <xdr:rowOff>22446</xdr:rowOff>
    </xdr:from>
    <xdr:to>
      <xdr:col>10</xdr:col>
      <xdr:colOff>23033</xdr:colOff>
      <xdr:row>29</xdr:row>
      <xdr:rowOff>124808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A867D43-7444-8EEF-C7A9-34054F575A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36327" y="2891152"/>
              <a:ext cx="1828800" cy="2433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34341</xdr:colOff>
      <xdr:row>67</xdr:row>
      <xdr:rowOff>16309</xdr:rowOff>
    </xdr:from>
    <xdr:to>
      <xdr:col>14</xdr:col>
      <xdr:colOff>34341</xdr:colOff>
      <xdr:row>80</xdr:row>
      <xdr:rowOff>121085</xdr:rowOff>
    </xdr:to>
    <mc:AlternateContent xmlns:mc="http://schemas.openxmlformats.org/markup-compatibility/2006" xmlns:a14="http://schemas.microsoft.com/office/drawing/2010/main">
      <mc:Choice Requires="a14">
        <xdr:graphicFrame macro="">
          <xdr:nvGraphicFramePr>
            <xdr:cNvPr id="14" name="Date">
              <a:extLst>
                <a:ext uri="{FF2B5EF4-FFF2-40B4-BE49-F238E27FC236}">
                  <a16:creationId xmlns:a16="http://schemas.microsoft.com/office/drawing/2014/main" id="{55D7D874-3C95-8509-0DF0-57518A77684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986035" y="12029015"/>
              <a:ext cx="1828800" cy="2435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604738</xdr:colOff>
      <xdr:row>66</xdr:row>
      <xdr:rowOff>178811</xdr:rowOff>
    </xdr:from>
    <xdr:to>
      <xdr:col>9</xdr:col>
      <xdr:colOff>604738</xdr:colOff>
      <xdr:row>80</xdr:row>
      <xdr:rowOff>101879</xdr:rowOff>
    </xdr:to>
    <mc:AlternateContent xmlns:mc="http://schemas.openxmlformats.org/markup-compatibility/2006" xmlns:a14="http://schemas.microsoft.com/office/drawing/2010/main">
      <mc:Choice Requires="a14">
        <xdr:graphicFrame macro="">
          <xdr:nvGraphicFramePr>
            <xdr:cNvPr id="15" name="Total_Amount">
              <a:extLst>
                <a:ext uri="{FF2B5EF4-FFF2-40B4-BE49-F238E27FC236}">
                  <a16:creationId xmlns:a16="http://schemas.microsoft.com/office/drawing/2014/main" id="{284E6348-8E6B-00AF-652D-47067AB99830}"/>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5508432" y="12012223"/>
              <a:ext cx="1828800" cy="2433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17033</xdr:colOff>
      <xdr:row>99</xdr:row>
      <xdr:rowOff>41686</xdr:rowOff>
    </xdr:from>
    <xdr:to>
      <xdr:col>10</xdr:col>
      <xdr:colOff>17033</xdr:colOff>
      <xdr:row>112</xdr:row>
      <xdr:rowOff>177838</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E27B68A2-6565-5E12-648E-2F76FAFAF3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30327" y="177918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607358</xdr:colOff>
      <xdr:row>16</xdr:row>
      <xdr:rowOff>26894</xdr:rowOff>
    </xdr:from>
    <xdr:to>
      <xdr:col>18</xdr:col>
      <xdr:colOff>8964</xdr:colOff>
      <xdr:row>23</xdr:row>
      <xdr:rowOff>143435</xdr:rowOff>
    </xdr:to>
    <mc:AlternateContent xmlns:mc="http://schemas.openxmlformats.org/markup-compatibility/2006" xmlns:tsle="http://schemas.microsoft.com/office/drawing/2012/timeslicer">
      <mc:Choice Requires="tsle">
        <xdr:graphicFrame macro="">
          <xdr:nvGraphicFramePr>
            <xdr:cNvPr id="18" name="Date 2">
              <a:extLst>
                <a:ext uri="{FF2B5EF4-FFF2-40B4-BE49-F238E27FC236}">
                  <a16:creationId xmlns:a16="http://schemas.microsoft.com/office/drawing/2014/main" id="{895CCDB7-6878-B3D0-A096-D0B8166796B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949452" y="2895600"/>
              <a:ext cx="427840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6722</xdr:colOff>
      <xdr:row>67</xdr:row>
      <xdr:rowOff>21515</xdr:rowOff>
    </xdr:from>
    <xdr:to>
      <xdr:col>21</xdr:col>
      <xdr:colOff>609599</xdr:colOff>
      <xdr:row>74</xdr:row>
      <xdr:rowOff>138056</xdr:rowOff>
    </xdr:to>
    <mc:AlternateContent xmlns:mc="http://schemas.openxmlformats.org/markup-compatibility/2006" xmlns:tsle="http://schemas.microsoft.com/office/drawing/2012/timeslicer">
      <mc:Choice Requires="tsle">
        <xdr:graphicFrame macro="">
          <xdr:nvGraphicFramePr>
            <xdr:cNvPr id="19" name="Now">
              <a:extLst>
                <a:ext uri="{FF2B5EF4-FFF2-40B4-BE49-F238E27FC236}">
                  <a16:creationId xmlns:a16="http://schemas.microsoft.com/office/drawing/2014/main" id="{4B5D6D6B-11B3-72E2-3A90-0C03039A714C}"/>
                </a:ext>
              </a:extLst>
            </xdr:cNvPr>
            <xdr:cNvGraphicFramePr/>
          </xdr:nvGraphicFramePr>
          <xdr:xfrm>
            <a:off x="0" y="0"/>
            <a:ext cx="0" cy="0"/>
          </xdr:xfrm>
          <a:graphic>
            <a:graphicData uri="http://schemas.microsoft.com/office/drawing/2012/timeslicer">
              <tsle:timeslicer name="Now"/>
            </a:graphicData>
          </a:graphic>
        </xdr:graphicFrame>
      </mc:Choice>
      <mc:Fallback xmlns="">
        <xdr:sp macro="" textlink="">
          <xdr:nvSpPr>
            <xdr:cNvPr id="0" name=""/>
            <xdr:cNvSpPr>
              <a:spLocks noTextEdit="1"/>
            </xdr:cNvSpPr>
          </xdr:nvSpPr>
          <xdr:spPr>
            <a:xfrm>
              <a:off x="10396816" y="12034221"/>
              <a:ext cx="426047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15688</xdr:colOff>
      <xdr:row>99</xdr:row>
      <xdr:rowOff>12550</xdr:rowOff>
    </xdr:from>
    <xdr:to>
      <xdr:col>18</xdr:col>
      <xdr:colOff>0</xdr:colOff>
      <xdr:row>106</xdr:row>
      <xdr:rowOff>129092</xdr:rowOff>
    </xdr:to>
    <mc:AlternateContent xmlns:mc="http://schemas.openxmlformats.org/markup-compatibility/2006" xmlns:tsle="http://schemas.microsoft.com/office/drawing/2012/timeslicer">
      <mc:Choice Requires="tsle">
        <xdr:graphicFrame macro="">
          <xdr:nvGraphicFramePr>
            <xdr:cNvPr id="20" name="Customer_Since">
              <a:extLst>
                <a:ext uri="{FF2B5EF4-FFF2-40B4-BE49-F238E27FC236}">
                  <a16:creationId xmlns:a16="http://schemas.microsoft.com/office/drawing/2014/main" id="{A076D03A-A0E2-34F8-C832-52469451A127}"/>
                </a:ext>
              </a:extLst>
            </xdr:cNvPr>
            <xdr:cNvGraphicFramePr/>
          </xdr:nvGraphicFramePr>
          <xdr:xfrm>
            <a:off x="0" y="0"/>
            <a:ext cx="0" cy="0"/>
          </xdr:xfrm>
          <a:graphic>
            <a:graphicData uri="http://schemas.microsoft.com/office/drawing/2012/timeslicer">
              <tsle:timeslicer name="Customer_Since"/>
            </a:graphicData>
          </a:graphic>
        </xdr:graphicFrame>
      </mc:Choice>
      <mc:Fallback xmlns="">
        <xdr:sp macro="" textlink="">
          <xdr:nvSpPr>
            <xdr:cNvPr id="0" name=""/>
            <xdr:cNvSpPr>
              <a:spLocks noTextEdit="1"/>
            </xdr:cNvSpPr>
          </xdr:nvSpPr>
          <xdr:spPr>
            <a:xfrm>
              <a:off x="7967382" y="17762668"/>
              <a:ext cx="425151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602974</xdr:colOff>
      <xdr:row>3</xdr:row>
      <xdr:rowOff>119269</xdr:rowOff>
    </xdr:from>
    <xdr:to>
      <xdr:col>17</xdr:col>
      <xdr:colOff>26505</xdr:colOff>
      <xdr:row>18</xdr:row>
      <xdr:rowOff>61927</xdr:rowOff>
    </xdr:to>
    <xdr:graphicFrame macro="">
      <xdr:nvGraphicFramePr>
        <xdr:cNvPr id="2" name="Chart 1">
          <a:extLst>
            <a:ext uri="{FF2B5EF4-FFF2-40B4-BE49-F238E27FC236}">
              <a16:creationId xmlns:a16="http://schemas.microsoft.com/office/drawing/2014/main" id="{951C6541-83E9-467B-84F1-F33893954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112643</xdr:rowOff>
    </xdr:from>
    <xdr:to>
      <xdr:col>6</xdr:col>
      <xdr:colOff>0</xdr:colOff>
      <xdr:row>28</xdr:row>
      <xdr:rowOff>55303</xdr:rowOff>
    </xdr:to>
    <xdr:graphicFrame macro="">
      <xdr:nvGraphicFramePr>
        <xdr:cNvPr id="3" name="Chart 2">
          <a:extLst>
            <a:ext uri="{FF2B5EF4-FFF2-40B4-BE49-F238E27FC236}">
              <a16:creationId xmlns:a16="http://schemas.microsoft.com/office/drawing/2014/main" id="{8E30BE35-0A33-4B0C-9AC6-7FE4E9B20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602973</xdr:colOff>
      <xdr:row>26</xdr:row>
      <xdr:rowOff>99391</xdr:rowOff>
    </xdr:from>
    <xdr:to>
      <xdr:col>16</xdr:col>
      <xdr:colOff>6626</xdr:colOff>
      <xdr:row>41</xdr:row>
      <xdr:rowOff>42050</xdr:rowOff>
    </xdr:to>
    <xdr:graphicFrame macro="">
      <xdr:nvGraphicFramePr>
        <xdr:cNvPr id="4" name="Chart 3">
          <a:extLst>
            <a:ext uri="{FF2B5EF4-FFF2-40B4-BE49-F238E27FC236}">
              <a16:creationId xmlns:a16="http://schemas.microsoft.com/office/drawing/2014/main" id="{3FFD1562-D804-47F5-B2EE-2BD839782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d" refreshedDate="46070.655367361112" createdVersion="8" refreshedVersion="8" minRefreshableVersion="3" recordCount="249" xr:uid="{2C4ADBE8-2351-4238-B72D-8539AC3ED6E6}">
  <cacheSource type="worksheet">
    <worksheetSource ref="A1:V250" sheet="DATASET"/>
  </cacheSource>
  <cacheFields count="22">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minValue="1" maxValue="11.111234569273"/>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10000.000000000007"/>
    </cacheField>
    <cacheField name="Today" numFmtId="0">
      <sharedItems containsNonDate="0" containsDate="1" containsString="0" containsBlank="1" minDate="2026-02-17T00:00:00" maxDate="2026-02-18T00:00:00"/>
    </cacheField>
    <cacheField name="Now" numFmtId="0">
      <sharedItems containsNonDate="0" containsDate="1" containsString="0" containsBlank="1" minDate="2026-02-17T15:42:39" maxDate="2026-02-17T15:42:39"/>
    </cacheField>
    <cacheField name="Datedif - YEAR" numFmtId="0">
      <sharedItems containsString="0" containsBlank="1" containsNumber="1" containsInteger="1" minValue="4" maxValue="4"/>
    </cacheField>
    <cacheField name="EMONTH" numFmtId="0">
      <sharedItems containsNonDate="0" containsDate="1" containsString="0" containsBlank="1" minDate="2024-04-30T00:00:00" maxDate="2024-05-01T00:00:00"/>
    </cacheField>
    <cacheField name="FILTER - MULTIPLE VALUE RETURN" numFmtId="0">
      <sharedItems containsBlank="1"/>
    </cacheField>
    <cacheField name="TIMESTAMP" numFmtId="0">
      <sharedItems containsNonDate="0" containsDate="1" containsString="0" containsBlank="1" minDate="2026-02-17T15:42:39" maxDate="2026-02-17T15:42:39"/>
    </cacheField>
    <cacheField name="Customer_Total_Sales" numFmtId="0">
      <sharedItems containsSemiMixedTypes="0" containsString="0" containsNumber="1" minValue="179.97" maxValue="15659.65"/>
    </cacheField>
    <cacheField name="Customer_Category" numFmtId="0">
      <sharedItems/>
    </cacheField>
  </cacheFields>
  <extLst>
    <ext xmlns:x14="http://schemas.microsoft.com/office/spreadsheetml/2009/9/main" uri="{725AE2AE-9491-48be-B2B4-4EB974FC3084}">
      <x14:pivotCacheDefinition pivotCacheId="18583225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d" refreshedDate="46070.66058113426" createdVersion="8" refreshedVersion="8" minRefreshableVersion="3" recordCount="252" xr:uid="{DF608DB0-391E-4641-9B17-03407DC2D5B6}">
  <cacheSource type="worksheet">
    <worksheetSource ref="A1:V253" sheet="DATASET"/>
  </cacheSource>
  <cacheFields count="25">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fieldGroup par="24"/>
    </cacheField>
    <cacheField name="Customer_ID" numFmtId="0">
      <sharedItems containsBlank="1"/>
    </cacheField>
    <cacheField name="Customer_Name" numFmtId="0">
      <sharedItems containsBlank="1"/>
    </cacheField>
    <cacheField name="Product_ID" numFmtId="0">
      <sharedItems containsBlank="1"/>
    </cacheField>
    <cacheField name="Product_Name" numFmtId="0">
      <sharedItems containsBlank="1"/>
    </cacheField>
    <cacheField name="Category" numFmtId="0">
      <sharedItems containsBlank="1" count="4">
        <s v="Electronics"/>
        <s v="Appliances"/>
        <s v="Furniture"/>
        <m/>
      </sharedItems>
    </cacheField>
    <cacheField name="Quantity" numFmtId="0">
      <sharedItems containsString="0" containsBlank="1" containsNumber="1" minValue="1" maxValue="11.111234569273"/>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acheField>
    <cacheField name="Customer_Segment" numFmtId="0">
      <sharedItems containsBlank="1"/>
    </cacheField>
    <cacheField name="Customer_Since" numFmtId="0">
      <sharedItems containsNonDate="0" containsDate="1" containsString="0" containsBlank="1" minDate="2021-07-18T00:00:00" maxDate="2024-04-12T00:00:00" count="224">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m/>
      </sharedItems>
    </cacheField>
    <cacheField name="Total_Amount" numFmtId="0">
      <sharedItems containsMixedTypes="1" containsNumber="1" minValue="59.99" maxValue="10000.000000000007" count="46">
        <n v="749.97"/>
        <n v="179.97"/>
        <n v="749.95"/>
        <n v="119.98"/>
        <n v="2699.9700000000003"/>
        <n v="149.99"/>
        <n v="449.97"/>
        <n v="2099.9700000000003"/>
        <n v="899.99"/>
        <n v="599.96"/>
        <n v="1399.98"/>
        <n v="3599.96"/>
        <n v="3499.95"/>
        <n v="2799.96"/>
        <n v="999.96"/>
        <n v="1199.96"/>
        <n v="1249.95"/>
        <n v="1499.95"/>
        <n v="239.96999999999997"/>
        <n v="449.95"/>
        <n v="239.96"/>
        <n v="999.95"/>
        <n v="299.98"/>
        <n v="899.97"/>
        <n v="599.97"/>
        <n v="269.96999999999997"/>
        <n v="79.989999999999995"/>
        <n v="89.99"/>
        <n v="179.98"/>
        <n v="10000.000000000007"/>
        <n v="4499.95"/>
        <n v="59.99"/>
        <n v="599.98"/>
        <n v="359.96"/>
        <n v="399.95"/>
        <n v="299.99"/>
        <n v="399.98"/>
        <n v="499.98"/>
        <n v="799.96"/>
        <n v="699.99"/>
        <n v="249.99"/>
        <n v="319.95999999999998"/>
        <n v="199.99"/>
        <n v="299.95"/>
        <n v="1799.98"/>
        <s v="TOTAL AMOUNT"/>
      </sharedItems>
    </cacheField>
    <cacheField name="Today" numFmtId="0">
      <sharedItems containsNonDate="0" containsDate="1" containsString="0" containsBlank="1" minDate="2026-02-17T00:00:00" maxDate="2026-02-18T00:00:00"/>
    </cacheField>
    <cacheField name="Now" numFmtId="0">
      <sharedItems containsNonDate="0" containsDate="1" containsString="0" containsBlank="1" minDate="2026-02-17T15:49:51" maxDate="2026-02-17T15:49:51" count="2">
        <d v="2026-02-17T15:49:51"/>
        <m/>
      </sharedItems>
    </cacheField>
    <cacheField name="Datedif - YEAR" numFmtId="0">
      <sharedItems containsString="0" containsBlank="1" containsNumber="1" containsInteger="1" minValue="4" maxValue="4"/>
    </cacheField>
    <cacheField name="EMONTH" numFmtId="0">
      <sharedItems containsNonDate="0" containsDate="1" containsString="0" containsBlank="1" minDate="2024-04-30T00:00:00" maxDate="2024-05-01T00:00:00"/>
    </cacheField>
    <cacheField name="FILTER - MULTIPLE VALUE RETURN" numFmtId="0">
      <sharedItems containsBlank="1"/>
    </cacheField>
    <cacheField name="TIMESTAMP" numFmtId="0">
      <sharedItems containsNonDate="0" containsDate="1" containsString="0" containsBlank="1" minDate="2026-02-17T15:49:51" maxDate="2026-02-17T15:49:51"/>
    </cacheField>
    <cacheField name="Customer_Total_Sales" numFmtId="0">
      <sharedItems containsString="0" containsBlank="1" containsNumber="1" minValue="179.97" maxValue="15659.65"/>
    </cacheField>
    <cacheField name="Customer_Category" numFmtId="0">
      <sharedItems containsBlank="1"/>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605337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s v="TRX0155"/>
    <x v="0"/>
    <s v="CUST023"/>
    <s v="Paul Baker"/>
    <s v="P009"/>
    <s v="Monitor"/>
    <x v="0"/>
    <n v="3"/>
    <n v="249.99"/>
    <s v="Cash"/>
    <x v="0"/>
    <x v="0"/>
    <d v="2021-08-17T00:00:00"/>
    <n v="749.97"/>
    <d v="2026-02-17T00:00:00"/>
    <d v="2026-02-17T15:42:39"/>
    <n v="4"/>
    <d v="2024-04-30T00:00:00"/>
    <s v="FILTER FUNCTION IS NOT WORKING IN MY EXCEL"/>
    <d v="2026-02-17T15:42:39"/>
    <n v="13809.790000000006"/>
    <s v="High Value"/>
  </r>
  <r>
    <s v="TRX0023"/>
    <x v="1"/>
    <s v="CUST013"/>
    <s v="Joseph Jackson"/>
    <s v="P009"/>
    <s v="Monitor"/>
    <x v="0"/>
    <n v="3"/>
    <n v="249.99"/>
    <s v="Credit Card"/>
    <x v="0"/>
    <x v="1"/>
    <d v="2022-01-14T00:00:00"/>
    <n v="749.97"/>
    <m/>
    <m/>
    <m/>
    <m/>
    <m/>
    <m/>
    <n v="6949.84"/>
    <s v="Normal"/>
  </r>
  <r>
    <s v="TRX0139"/>
    <x v="2"/>
    <s v="CUST021"/>
    <s v="Kevin Scott"/>
    <s v="P005"/>
    <s v="Blender"/>
    <x v="1"/>
    <n v="3"/>
    <n v="59.99"/>
    <s v="PayPal"/>
    <x v="1"/>
    <x v="2"/>
    <d v="2023-12-02T00:00:00"/>
    <n v="179.97"/>
    <m/>
    <m/>
    <m/>
    <m/>
    <m/>
    <m/>
    <n v="3259.87"/>
    <s v="Normal"/>
  </r>
  <r>
    <s v="TRX0043"/>
    <x v="3"/>
    <s v="CUST046"/>
    <s v="Kathleen Bennett"/>
    <s v="P005"/>
    <s v="Blender"/>
    <x v="1"/>
    <n v="3"/>
    <n v="59.99"/>
    <s v="Cash"/>
    <x v="2"/>
    <x v="1"/>
    <d v="2023-07-07T00:00:00"/>
    <n v="179.97"/>
    <m/>
    <m/>
    <m/>
    <m/>
    <m/>
    <m/>
    <n v="4309.8100000000004"/>
    <s v="Normal"/>
  </r>
  <r>
    <s v="TRX0212"/>
    <x v="3"/>
    <s v="CUST003"/>
    <s v="Michael Brown"/>
    <s v="P008"/>
    <s v="Bookshelf"/>
    <x v="2"/>
    <n v="5"/>
    <n v="149.99"/>
    <s v="Credit Card"/>
    <x v="2"/>
    <x v="1"/>
    <d v="2024-01-04T00:00:00"/>
    <n v="749.95"/>
    <m/>
    <m/>
    <m/>
    <m/>
    <m/>
    <m/>
    <n v="6169.7400000000007"/>
    <s v="Normal"/>
  </r>
  <r>
    <s v="TRX0092"/>
    <x v="4"/>
    <s v="CUST024"/>
    <s v="Dorothy Nelson"/>
    <s v="P005"/>
    <s v="Blender"/>
    <x v="1"/>
    <n v="2"/>
    <n v="59.99"/>
    <s v="Cash"/>
    <x v="3"/>
    <x v="2"/>
    <d v="2022-07-04T00:00:00"/>
    <n v="119.98"/>
    <m/>
    <m/>
    <m/>
    <m/>
    <m/>
    <m/>
    <n v="8269.7900000000009"/>
    <s v="Normal"/>
  </r>
  <r>
    <s v="TRX0193"/>
    <x v="4"/>
    <s v="CUST024"/>
    <s v="Dorothy Nelson"/>
    <s v="P003"/>
    <s v="Headphones"/>
    <x v="0"/>
    <n v="5"/>
    <n v="149.99"/>
    <s v="Credit Card"/>
    <x v="0"/>
    <x v="2"/>
    <d v="2021-08-10T00:00:00"/>
    <n v="749.95"/>
    <m/>
    <m/>
    <m/>
    <m/>
    <m/>
    <m/>
    <n v="8269.7900000000009"/>
    <s v="Normal"/>
  </r>
  <r>
    <s v="TRX0240"/>
    <x v="4"/>
    <s v="CUST017"/>
    <s v="Charles Allen"/>
    <s v="P005"/>
    <s v="Blender"/>
    <x v="1"/>
    <n v="3"/>
    <n v="59.99"/>
    <s v="Debit Card"/>
    <x v="1"/>
    <x v="0"/>
    <d v="2023-03-22T00:00:00"/>
    <n v="179.97"/>
    <m/>
    <m/>
    <m/>
    <m/>
    <m/>
    <m/>
    <n v="5089.7300000000005"/>
    <s v="Normal"/>
  </r>
  <r>
    <s v="TRX0135"/>
    <x v="5"/>
    <s v="CUST009"/>
    <s v="Robert Thomas"/>
    <s v="P001"/>
    <s v="Laptop"/>
    <x v="0"/>
    <n v="3"/>
    <n v="899.99"/>
    <s v="PayPal"/>
    <x v="4"/>
    <x v="2"/>
    <d v="2024-01-08T00:00:00"/>
    <n v="2699.9700000000003"/>
    <m/>
    <m/>
    <m/>
    <m/>
    <m/>
    <m/>
    <n v="3509.8999999999996"/>
    <s v="Normal"/>
  </r>
  <r>
    <s v="TRX0185"/>
    <x v="6"/>
    <s v="CUST026"/>
    <s v="Karen Hill"/>
    <s v="P005"/>
    <s v="Blender"/>
    <x v="1"/>
    <n v="3"/>
    <n v="59.99"/>
    <s v="Cash"/>
    <x v="3"/>
    <x v="1"/>
    <d v="2023-10-08T00:00:00"/>
    <n v="179.97"/>
    <m/>
    <m/>
    <m/>
    <m/>
    <m/>
    <m/>
    <n v="8009.7699999999995"/>
    <s v="Normal"/>
  </r>
  <r>
    <s v="TRX0138"/>
    <x v="6"/>
    <s v="CUST022"/>
    <s v="Susan Green"/>
    <s v="P008"/>
    <s v="Bookshelf"/>
    <x v="2"/>
    <n v="1"/>
    <n v="149.99"/>
    <s v="Credit Card"/>
    <x v="3"/>
    <x v="2"/>
    <d v="2023-06-26T00:00:00"/>
    <n v="149.99"/>
    <m/>
    <m/>
    <m/>
    <m/>
    <m/>
    <m/>
    <n v="1979.89"/>
    <s v="Normal"/>
  </r>
  <r>
    <s v="TRX0209"/>
    <x v="6"/>
    <s v="CUST046"/>
    <s v="Kathleen Bennett"/>
    <s v="P008"/>
    <s v="Bookshelf"/>
    <x v="2"/>
    <n v="5"/>
    <n v="149.99"/>
    <s v="Debit Card"/>
    <x v="2"/>
    <x v="0"/>
    <d v="2022-09-26T00:00:00"/>
    <n v="749.95"/>
    <m/>
    <m/>
    <m/>
    <m/>
    <m/>
    <m/>
    <n v="4309.8100000000004"/>
    <s v="Normal"/>
  </r>
  <r>
    <s v="TRX0246"/>
    <x v="6"/>
    <s v="CUST041"/>
    <s v="Peter Richardson"/>
    <s v="P008"/>
    <s v="Bookshelf"/>
    <x v="2"/>
    <n v="3"/>
    <n v="149.99"/>
    <s v="Cash"/>
    <x v="2"/>
    <x v="1"/>
    <d v="2022-09-02T00:00:00"/>
    <n v="449.97"/>
    <m/>
    <m/>
    <m/>
    <m/>
    <m/>
    <m/>
    <n v="5949.85"/>
    <s v="Normal"/>
  </r>
  <r>
    <s v="TRX0067"/>
    <x v="7"/>
    <s v="CUST043"/>
    <s v="Dennis Gray"/>
    <s v="P005"/>
    <s v="Blender"/>
    <x v="1"/>
    <n v="3"/>
    <n v="59.99"/>
    <s v="Credit Card"/>
    <x v="2"/>
    <x v="2"/>
    <d v="2024-02-29T00:00:00"/>
    <n v="179.97"/>
    <m/>
    <m/>
    <m/>
    <m/>
    <m/>
    <m/>
    <n v="479.91999999999996"/>
    <s v="Normal"/>
  </r>
  <r>
    <s v="TRX0191"/>
    <x v="7"/>
    <s v="CUST038"/>
    <s v="Michelle Rogers"/>
    <s v="P002"/>
    <s v="Smartphone"/>
    <x v="0"/>
    <n v="3"/>
    <n v="699.99"/>
    <s v="Credit Card"/>
    <x v="3"/>
    <x v="0"/>
    <d v="2022-01-16T00:00:00"/>
    <n v="2099.9700000000003"/>
    <m/>
    <m/>
    <m/>
    <m/>
    <m/>
    <m/>
    <n v="4199.9400000000005"/>
    <s v="Normal"/>
  </r>
  <r>
    <s v="TRX0230"/>
    <x v="7"/>
    <s v="CUST027"/>
    <s v="George Adams"/>
    <s v="P001"/>
    <s v="Laptop"/>
    <x v="0"/>
    <n v="1"/>
    <n v="899.99"/>
    <s v="Debit Card"/>
    <x v="2"/>
    <x v="2"/>
    <d v="2022-12-25T00:00:00"/>
    <n v="899.99"/>
    <m/>
    <m/>
    <m/>
    <m/>
    <m/>
    <m/>
    <n v="3779.93"/>
    <s v="Normal"/>
  </r>
  <r>
    <s v="TRX0049"/>
    <x v="8"/>
    <s v="CUST025"/>
    <s v="Mark Carter"/>
    <s v="P008"/>
    <s v="Bookshelf"/>
    <x v="2"/>
    <n v="4"/>
    <n v="149.99"/>
    <s v="Debit Card"/>
    <x v="2"/>
    <x v="1"/>
    <d v="2024-03-23T00:00:00"/>
    <n v="599.96"/>
    <m/>
    <m/>
    <m/>
    <m/>
    <m/>
    <m/>
    <n v="15659.65"/>
    <s v="High Value"/>
  </r>
  <r>
    <s v="TRX0134"/>
    <x v="8"/>
    <s v="CUST010"/>
    <s v="Maria Garcia"/>
    <s v="P002"/>
    <s v="Smartphone"/>
    <x v="0"/>
    <n v="2"/>
    <n v="699.99"/>
    <s v="Cash"/>
    <x v="2"/>
    <x v="0"/>
    <d v="2022-08-08T00:00:00"/>
    <n v="1399.98"/>
    <m/>
    <m/>
    <m/>
    <m/>
    <m/>
    <m/>
    <n v="1909.93"/>
    <s v="Normal"/>
  </r>
  <r>
    <s v="TRX0122"/>
    <x v="8"/>
    <s v="CUST025"/>
    <s v="Mark Carter"/>
    <s v="P001"/>
    <s v="Laptop"/>
    <x v="0"/>
    <n v="4"/>
    <n v="899.99"/>
    <s v="Credit Card"/>
    <x v="3"/>
    <x v="2"/>
    <d v="2024-02-05T00:00:00"/>
    <n v="3599.96"/>
    <m/>
    <m/>
    <m/>
    <m/>
    <m/>
    <m/>
    <n v="15659.65"/>
    <s v="High Value"/>
  </r>
  <r>
    <s v="TRX0222"/>
    <x v="8"/>
    <s v="CUST048"/>
    <s v="Virginia Sanders"/>
    <s v="P009"/>
    <s v="Monitor"/>
    <x v="0"/>
    <n v="3"/>
    <n v="249.99"/>
    <s v="Credit Card"/>
    <x v="2"/>
    <x v="1"/>
    <d v="2023-10-25T00:00:00"/>
    <n v="749.97"/>
    <m/>
    <m/>
    <m/>
    <m/>
    <m/>
    <m/>
    <n v="4789.7900000000009"/>
    <s v="Normal"/>
  </r>
  <r>
    <s v="TRX0231"/>
    <x v="9"/>
    <s v="CUST018"/>
    <s v="Barbara Young"/>
    <s v="P002"/>
    <s v="Smartphone"/>
    <x v="0"/>
    <n v="5"/>
    <n v="699.99"/>
    <s v="Cash"/>
    <x v="3"/>
    <x v="0"/>
    <d v="2023-08-29T00:00:00"/>
    <n v="3499.95"/>
    <m/>
    <m/>
    <m/>
    <m/>
    <m/>
    <m/>
    <n v="10649.8"/>
    <s v="High Value"/>
  </r>
  <r>
    <s v="TRX0239"/>
    <x v="10"/>
    <s v="CUST012"/>
    <s v="Patricia Moore"/>
    <s v="P002"/>
    <s v="Smartphone"/>
    <x v="0"/>
    <n v="4"/>
    <n v="699.99"/>
    <s v="Cash"/>
    <x v="4"/>
    <x v="2"/>
    <d v="2021-08-01T00:00:00"/>
    <n v="2799.96"/>
    <m/>
    <m/>
    <m/>
    <m/>
    <m/>
    <m/>
    <n v="9799.73"/>
    <s v="Normal"/>
  </r>
  <r>
    <s v="TRX0204"/>
    <x v="11"/>
    <s v="CUST044"/>
    <s v="Cynthia Price"/>
    <s v="P009"/>
    <s v="Monitor"/>
    <x v="0"/>
    <n v="4"/>
    <n v="249.99"/>
    <s v="PayPal"/>
    <x v="2"/>
    <x v="2"/>
    <d v="2021-09-29T00:00:00"/>
    <n v="999.96"/>
    <m/>
    <m/>
    <m/>
    <m/>
    <m/>
    <m/>
    <n v="3769.8300000000004"/>
    <s v="Normal"/>
  </r>
  <r>
    <s v="TRX0242"/>
    <x v="12"/>
    <s v="CUST025"/>
    <s v="Mark Carter"/>
    <s v="P007"/>
    <s v="Desk"/>
    <x v="2"/>
    <n v="4"/>
    <n v="299.99"/>
    <s v="Cash"/>
    <x v="3"/>
    <x v="1"/>
    <d v="2022-06-04T00:00:00"/>
    <n v="1199.96"/>
    <m/>
    <m/>
    <m/>
    <m/>
    <m/>
    <m/>
    <n v="15659.65"/>
    <s v="High Value"/>
  </r>
  <r>
    <s v="TRX0071"/>
    <x v="13"/>
    <s v="CUST036"/>
    <s v="Nancy Collins"/>
    <s v="P009"/>
    <s v="Monitor"/>
    <x v="0"/>
    <n v="5"/>
    <n v="249.99"/>
    <s v="Credit Card"/>
    <x v="3"/>
    <x v="2"/>
    <d v="2021-11-25T00:00:00"/>
    <n v="1249.95"/>
    <m/>
    <m/>
    <m/>
    <m/>
    <m/>
    <m/>
    <n v="4189.7700000000004"/>
    <s v="Normal"/>
  </r>
  <r>
    <s v="TRX0040"/>
    <x v="14"/>
    <s v="CUST022"/>
    <s v="Susan Green"/>
    <s v="P007"/>
    <s v="Desk"/>
    <x v="2"/>
    <n v="5"/>
    <n v="299.99"/>
    <s v="PayPal"/>
    <x v="4"/>
    <x v="0"/>
    <d v="2023-08-30T00:00:00"/>
    <n v="1499.95"/>
    <m/>
    <m/>
    <m/>
    <m/>
    <m/>
    <m/>
    <n v="1979.89"/>
    <s v="Normal"/>
  </r>
  <r>
    <s v="TRX0235"/>
    <x v="14"/>
    <s v="CUST014"/>
    <s v="Linda Martin"/>
    <s v="P004"/>
    <s v="Coffee Maker"/>
    <x v="1"/>
    <n v="3"/>
    <n v="79.989999999999995"/>
    <s v="PayPal"/>
    <x v="4"/>
    <x v="1"/>
    <d v="2023-03-27T00:00:00"/>
    <n v="239.96999999999997"/>
    <m/>
    <m/>
    <m/>
    <m/>
    <m/>
    <m/>
    <n v="1289.9000000000001"/>
    <s v="Normal"/>
  </r>
  <r>
    <s v="TRX0004"/>
    <x v="14"/>
    <s v="CUST012"/>
    <s v="Patricia Moore"/>
    <s v="P010"/>
    <s v="Keyboard"/>
    <x v="0"/>
    <n v="5"/>
    <n v="89.99"/>
    <s v="Cash"/>
    <x v="2"/>
    <x v="1"/>
    <d v="2022-12-24T00:00:00"/>
    <n v="449.95"/>
    <m/>
    <m/>
    <m/>
    <m/>
    <m/>
    <m/>
    <n v="9799.73"/>
    <s v="Normal"/>
  </r>
  <r>
    <s v="TRX0063"/>
    <x v="15"/>
    <s v="CUST030"/>
    <s v="Helen Roberts"/>
    <s v="P005"/>
    <s v="Blender"/>
    <x v="1"/>
    <n v="2"/>
    <n v="59.99"/>
    <s v="Debit Card"/>
    <x v="0"/>
    <x v="2"/>
    <d v="2023-10-15T00:00:00"/>
    <n v="119.98"/>
    <m/>
    <m/>
    <m/>
    <m/>
    <m/>
    <m/>
    <n v="6459.79"/>
    <s v="Normal"/>
  </r>
  <r>
    <s v="TRX0241"/>
    <x v="16"/>
    <s v="CUST029"/>
    <s v="Edward Mitchell"/>
    <s v="P005"/>
    <s v="Blender"/>
    <x v="1"/>
    <n v="4"/>
    <n v="59.99"/>
    <s v="Debit Card"/>
    <x v="4"/>
    <x v="2"/>
    <d v="2022-11-02T00:00:00"/>
    <n v="239.96"/>
    <m/>
    <m/>
    <m/>
    <m/>
    <m/>
    <m/>
    <n v="11919.77"/>
    <s v="High Value"/>
  </r>
  <r>
    <s v="TRX0029"/>
    <x v="16"/>
    <s v="CUST017"/>
    <s v="Charles Allen"/>
    <s v="P006"/>
    <s v="Office Chair"/>
    <x v="2"/>
    <n v="5"/>
    <n v="199.99"/>
    <s v="Cash"/>
    <x v="1"/>
    <x v="2"/>
    <d v="2021-08-04T00:00:00"/>
    <n v="999.95"/>
    <m/>
    <m/>
    <m/>
    <m/>
    <m/>
    <m/>
    <n v="5089.7300000000005"/>
    <s v="Normal"/>
  </r>
  <r>
    <s v="TRX0194"/>
    <x v="17"/>
    <s v="CUST006"/>
    <s v="Lisa Anderson"/>
    <s v="P008"/>
    <s v="Bookshelf"/>
    <x v="2"/>
    <n v="2"/>
    <n v="149.99"/>
    <s v="Credit Card"/>
    <x v="3"/>
    <x v="0"/>
    <d v="2022-09-19T00:00:00"/>
    <n v="299.98"/>
    <m/>
    <m/>
    <m/>
    <m/>
    <m/>
    <m/>
    <n v="2039.8000000000002"/>
    <s v="Normal"/>
  </r>
  <r>
    <s v="TRX0130"/>
    <x v="18"/>
    <s v="CUST002"/>
    <s v="Emma Wilson"/>
    <s v="P008"/>
    <s v="Bookshelf"/>
    <x v="2"/>
    <n v="3"/>
    <n v="149.99"/>
    <s v="Credit Card"/>
    <x v="3"/>
    <x v="1"/>
    <d v="2023-05-22T00:00:00"/>
    <n v="449.97"/>
    <m/>
    <m/>
    <m/>
    <m/>
    <m/>
    <m/>
    <n v="1229.8800000000001"/>
    <s v="Normal"/>
  </r>
  <r>
    <s v="TRX0041"/>
    <x v="19"/>
    <s v="CUST021"/>
    <s v="Kevin Scott"/>
    <s v="P001"/>
    <s v="Laptop"/>
    <x v="0"/>
    <n v="1"/>
    <n v="899.99"/>
    <s v="Credit Card"/>
    <x v="3"/>
    <x v="1"/>
    <d v="2022-01-17T00:00:00"/>
    <n v="899.99"/>
    <m/>
    <m/>
    <m/>
    <m/>
    <m/>
    <m/>
    <n v="3259.87"/>
    <s v="Normal"/>
  </r>
  <r>
    <s v="TRX0232"/>
    <x v="20"/>
    <s v="CUST012"/>
    <s v="Patricia Moore"/>
    <s v="P007"/>
    <s v="Desk"/>
    <x v="2"/>
    <n v="3"/>
    <n v="299.99"/>
    <s v="Credit Card"/>
    <x v="4"/>
    <x v="0"/>
    <d v="2022-09-20T00:00:00"/>
    <n v="899.97"/>
    <m/>
    <m/>
    <m/>
    <m/>
    <m/>
    <m/>
    <n v="9799.73"/>
    <s v="Normal"/>
  </r>
  <r>
    <s v="TRX0021"/>
    <x v="21"/>
    <s v="CUST006"/>
    <s v="Lisa Anderson"/>
    <s v="P004"/>
    <s v="Coffee Maker"/>
    <x v="1"/>
    <n v="3"/>
    <n v="79.989999999999995"/>
    <s v="Cash"/>
    <x v="1"/>
    <x v="0"/>
    <d v="2023-04-30T00:00:00"/>
    <n v="239.96999999999997"/>
    <m/>
    <m/>
    <m/>
    <m/>
    <m/>
    <m/>
    <n v="2039.8000000000002"/>
    <s v="Normal"/>
  </r>
  <r>
    <s v="TRX0245"/>
    <x v="22"/>
    <s v="CUST031"/>
    <s v="Steven Turner"/>
    <s v="P006"/>
    <s v="Office Chair"/>
    <x v="2"/>
    <n v="3"/>
    <n v="199.99"/>
    <s v="Credit Card"/>
    <x v="2"/>
    <x v="1"/>
    <d v="2024-01-01T00:00:00"/>
    <n v="599.97"/>
    <m/>
    <m/>
    <m/>
    <m/>
    <m/>
    <m/>
    <n v="2649.83"/>
    <s v="Normal"/>
  </r>
  <r>
    <s v="TRX0015"/>
    <x v="23"/>
    <s v="CUST008"/>
    <s v="Jennifer Taylor"/>
    <s v="P002"/>
    <s v="Smartphone"/>
    <x v="0"/>
    <n v="5"/>
    <n v="699.99"/>
    <s v="PayPal"/>
    <x v="3"/>
    <x v="2"/>
    <d v="2021-07-30T00:00:00"/>
    <n v="3499.95"/>
    <m/>
    <m/>
    <m/>
    <m/>
    <m/>
    <m/>
    <n v="4739.8500000000004"/>
    <s v="Normal"/>
  </r>
  <r>
    <s v="TRX0202"/>
    <x v="24"/>
    <s v="CUST035"/>
    <s v="Harry Morgan"/>
    <s v="P010"/>
    <s v="Keyboard"/>
    <x v="0"/>
    <n v="3"/>
    <n v="89.99"/>
    <s v="PayPal"/>
    <x v="0"/>
    <x v="1"/>
    <d v="2023-07-13T00:00:00"/>
    <n v="269.96999999999997"/>
    <m/>
    <m/>
    <m/>
    <m/>
    <m/>
    <m/>
    <n v="5519.8899999999994"/>
    <s v="Normal"/>
  </r>
  <r>
    <s v="TRX0042"/>
    <x v="25"/>
    <s v="CUST019"/>
    <s v="Daniel King"/>
    <s v="P004"/>
    <s v="Coffee Maker"/>
    <x v="1"/>
    <n v="1"/>
    <n v="79.989999999999995"/>
    <s v="Cash"/>
    <x v="2"/>
    <x v="2"/>
    <d v="2022-12-22T00:00:00"/>
    <n v="79.989999999999995"/>
    <m/>
    <m/>
    <m/>
    <m/>
    <m/>
    <m/>
    <n v="7309.7999999999993"/>
    <s v="Normal"/>
  </r>
  <r>
    <s v="TRX0128"/>
    <x v="26"/>
    <s v="CUST040"/>
    <s v="Sharon Butler"/>
    <s v="P005"/>
    <s v="Blender"/>
    <x v="1"/>
    <n v="2"/>
    <n v="59.99"/>
    <s v="Cash"/>
    <x v="3"/>
    <x v="0"/>
    <d v="2024-04-08T00:00:00"/>
    <n v="119.98"/>
    <m/>
    <m/>
    <m/>
    <m/>
    <m/>
    <m/>
    <n v="5619.87"/>
    <s v="Normal"/>
  </r>
  <r>
    <s v="TRX0117"/>
    <x v="26"/>
    <s v="CUST017"/>
    <s v="Charles Allen"/>
    <s v="P010"/>
    <s v="Keyboard"/>
    <x v="0"/>
    <n v="1"/>
    <n v="89.99"/>
    <s v="Cash"/>
    <x v="2"/>
    <x v="0"/>
    <d v="2023-08-03T00:00:00"/>
    <n v="89.99"/>
    <m/>
    <m/>
    <m/>
    <m/>
    <m/>
    <m/>
    <n v="5089.7300000000005"/>
    <s v="Normal"/>
  </r>
  <r>
    <s v="TRX0208"/>
    <x v="27"/>
    <s v="CUST004"/>
    <s v="Sarah Davis"/>
    <s v="P010"/>
    <s v="Keyboard"/>
    <x v="0"/>
    <n v="5"/>
    <n v="89.99"/>
    <s v="Credit Card"/>
    <x v="4"/>
    <x v="2"/>
    <d v="2022-01-26T00:00:00"/>
    <n v="449.95"/>
    <m/>
    <m/>
    <m/>
    <m/>
    <m/>
    <m/>
    <n v="5499.81"/>
    <s v="Normal"/>
  </r>
  <r>
    <s v="TRX0234"/>
    <x v="28"/>
    <s v="CUST013"/>
    <s v="Joseph Jackson"/>
    <s v="P009"/>
    <s v="Monitor"/>
    <x v="0"/>
    <n v="5"/>
    <n v="249.99"/>
    <s v="Credit Card"/>
    <x v="4"/>
    <x v="2"/>
    <d v="2022-05-26T00:00:00"/>
    <n v="1249.95"/>
    <m/>
    <m/>
    <m/>
    <m/>
    <m/>
    <m/>
    <n v="6949.84"/>
    <s v="Normal"/>
  </r>
  <r>
    <s v="TRX0121"/>
    <x v="28"/>
    <s v="CUST028"/>
    <s v="Betty Campbell"/>
    <s v="P010"/>
    <s v="Keyboard"/>
    <x v="0"/>
    <n v="1"/>
    <n v="89.99"/>
    <s v="Credit Card"/>
    <x v="1"/>
    <x v="2"/>
    <d v="2022-01-21T00:00:00"/>
    <n v="89.99"/>
    <m/>
    <m/>
    <m/>
    <m/>
    <m/>
    <m/>
    <n v="5649.84"/>
    <s v="Normal"/>
  </r>
  <r>
    <s v="TRX0220"/>
    <x v="29"/>
    <s v="CUST003"/>
    <s v="Michael Brown"/>
    <s v="P008"/>
    <s v="Bookshelf"/>
    <x v="2"/>
    <n v="2"/>
    <n v="149.99"/>
    <s v="Cash"/>
    <x v="4"/>
    <x v="1"/>
    <d v="2022-03-25T00:00:00"/>
    <n v="299.98"/>
    <m/>
    <m/>
    <m/>
    <m/>
    <m/>
    <m/>
    <n v="6169.7400000000007"/>
    <s v="Normal"/>
  </r>
  <r>
    <s v="TRX0093"/>
    <x v="30"/>
    <s v="CUST050"/>
    <s v="Julie Foster"/>
    <s v="P005"/>
    <s v="Blender"/>
    <x v="1"/>
    <n v="4"/>
    <n v="59.99"/>
    <s v="Cash"/>
    <x v="4"/>
    <x v="2"/>
    <d v="2021-08-27T00:00:00"/>
    <n v="239.96"/>
    <m/>
    <m/>
    <m/>
    <m/>
    <m/>
    <m/>
    <n v="239.96"/>
    <s v="Normal"/>
  </r>
  <r>
    <s v="TRX0088"/>
    <x v="31"/>
    <s v="CUST006"/>
    <s v="Lisa Anderson"/>
    <s v="P010"/>
    <s v="Keyboard"/>
    <x v="0"/>
    <n v="5"/>
    <n v="89.99"/>
    <s v="Cash"/>
    <x v="0"/>
    <x v="1"/>
    <d v="2022-01-18T00:00:00"/>
    <n v="449.95"/>
    <m/>
    <m/>
    <m/>
    <m/>
    <m/>
    <m/>
    <n v="2039.8000000000002"/>
    <s v="Normal"/>
  </r>
  <r>
    <s v="TRX0115"/>
    <x v="32"/>
    <s v="CUST012"/>
    <s v="Patricia Moore"/>
    <s v="P010"/>
    <s v="Keyboard"/>
    <x v="0"/>
    <n v="2"/>
    <n v="89.99"/>
    <s v="Credit Card"/>
    <x v="1"/>
    <x v="1"/>
    <d v="2021-10-02T00:00:00"/>
    <n v="179.98"/>
    <m/>
    <m/>
    <m/>
    <m/>
    <m/>
    <m/>
    <n v="9799.73"/>
    <s v="Normal"/>
  </r>
  <r>
    <s v="TRX0154"/>
    <x v="32"/>
    <s v="CUST023"/>
    <s v="Paul Baker"/>
    <s v="P001"/>
    <s v="Laptop"/>
    <x v="0"/>
    <n v="11.111234569273"/>
    <n v="899.99"/>
    <s v="Credit Card"/>
    <x v="1"/>
    <x v="2"/>
    <d v="2023-02-17T00:00:00"/>
    <n v="10000.000000000007"/>
    <m/>
    <m/>
    <m/>
    <m/>
    <m/>
    <m/>
    <n v="13809.790000000006"/>
    <s v="High Value"/>
  </r>
  <r>
    <s v="TRX0044"/>
    <x v="32"/>
    <s v="CUST029"/>
    <s v="Edward Mitchell"/>
    <s v="P001"/>
    <s v="Laptop"/>
    <x v="0"/>
    <n v="5"/>
    <n v="899.99"/>
    <s v="PayPal"/>
    <x v="4"/>
    <x v="1"/>
    <d v="2023-12-18T00:00:00"/>
    <n v="4499.95"/>
    <m/>
    <m/>
    <m/>
    <m/>
    <m/>
    <m/>
    <n v="11919.77"/>
    <s v="High Value"/>
  </r>
  <r>
    <s v="TRX0061"/>
    <x v="33"/>
    <s v="CUST028"/>
    <s v="Betty Campbell"/>
    <s v="P005"/>
    <s v="Blender"/>
    <x v="1"/>
    <n v="1"/>
    <n v="59.99"/>
    <s v="Debit Card"/>
    <x v="3"/>
    <x v="1"/>
    <d v="2023-09-21T00:00:00"/>
    <n v="59.99"/>
    <m/>
    <m/>
    <m/>
    <m/>
    <m/>
    <m/>
    <n v="5649.84"/>
    <s v="Normal"/>
  </r>
  <r>
    <s v="TRX0150"/>
    <x v="33"/>
    <s v="CUST008"/>
    <s v="Jennifer Taylor"/>
    <s v="P007"/>
    <s v="Desk"/>
    <x v="2"/>
    <n v="2"/>
    <n v="299.99"/>
    <s v="Debit Card"/>
    <x v="4"/>
    <x v="2"/>
    <d v="2023-11-23T00:00:00"/>
    <n v="599.98"/>
    <m/>
    <m/>
    <m/>
    <m/>
    <m/>
    <m/>
    <n v="4739.8500000000004"/>
    <s v="Normal"/>
  </r>
  <r>
    <s v="TRX0025"/>
    <x v="34"/>
    <s v="CUST049"/>
    <s v="Raymond Ross"/>
    <s v="P010"/>
    <s v="Keyboard"/>
    <x v="0"/>
    <n v="4"/>
    <n v="89.99"/>
    <s v="Debit Card"/>
    <x v="1"/>
    <x v="0"/>
    <d v="2023-12-21T00:00:00"/>
    <n v="359.96"/>
    <m/>
    <m/>
    <m/>
    <m/>
    <m/>
    <m/>
    <n v="3669.85"/>
    <s v="Normal"/>
  </r>
  <r>
    <s v="TRX0078"/>
    <x v="35"/>
    <s v="CUST021"/>
    <s v="Kevin Scott"/>
    <s v="P004"/>
    <s v="Coffee Maker"/>
    <x v="1"/>
    <n v="1"/>
    <n v="79.989999999999995"/>
    <s v="PayPal"/>
    <x v="0"/>
    <x v="1"/>
    <d v="2024-03-01T00:00:00"/>
    <n v="79.989999999999995"/>
    <m/>
    <m/>
    <m/>
    <m/>
    <m/>
    <m/>
    <n v="3259.87"/>
    <s v="Normal"/>
  </r>
  <r>
    <s v="TRX0007"/>
    <x v="35"/>
    <s v="CUST009"/>
    <s v="Robert Thomas"/>
    <s v="P010"/>
    <s v="Keyboard"/>
    <x v="0"/>
    <n v="2"/>
    <n v="89.99"/>
    <s v="Cash"/>
    <x v="3"/>
    <x v="0"/>
    <d v="2021-08-30T00:00:00"/>
    <n v="179.98"/>
    <m/>
    <m/>
    <m/>
    <m/>
    <m/>
    <m/>
    <n v="3509.8999999999996"/>
    <s v="Normal"/>
  </r>
  <r>
    <s v="TRX0184"/>
    <x v="36"/>
    <s v="CUST046"/>
    <s v="Kathleen Bennett"/>
    <s v="P002"/>
    <s v="Smartphone"/>
    <x v="0"/>
    <n v="3"/>
    <n v="699.99"/>
    <s v="Credit Card"/>
    <x v="4"/>
    <x v="1"/>
    <d v="2023-06-25T00:00:00"/>
    <n v="2099.9700000000003"/>
    <m/>
    <m/>
    <m/>
    <m/>
    <m/>
    <m/>
    <n v="4309.8100000000004"/>
    <s v="Normal"/>
  </r>
  <r>
    <s v="TRX0104"/>
    <x v="36"/>
    <s v="CUST012"/>
    <s v="Patricia Moore"/>
    <s v="P001"/>
    <s v="Laptop"/>
    <x v="0"/>
    <n v="4"/>
    <n v="899.99"/>
    <s v="Credit Card"/>
    <x v="4"/>
    <x v="1"/>
    <d v="2023-03-08T00:00:00"/>
    <n v="3599.96"/>
    <m/>
    <m/>
    <m/>
    <m/>
    <m/>
    <m/>
    <n v="9799.73"/>
    <s v="Normal"/>
  </r>
  <r>
    <s v="TRX0127"/>
    <x v="37"/>
    <s v="CUST030"/>
    <s v="Helen Roberts"/>
    <s v="P008"/>
    <s v="Bookshelf"/>
    <x v="2"/>
    <n v="1"/>
    <n v="149.99"/>
    <s v="PayPal"/>
    <x v="4"/>
    <x v="0"/>
    <d v="2022-10-17T00:00:00"/>
    <n v="149.99"/>
    <m/>
    <m/>
    <m/>
    <m/>
    <m/>
    <m/>
    <n v="6459.79"/>
    <s v="Normal"/>
  </r>
  <r>
    <s v="TRX0096"/>
    <x v="38"/>
    <s v="CUST002"/>
    <s v="Emma Wilson"/>
    <s v="P010"/>
    <s v="Keyboard"/>
    <x v="0"/>
    <n v="2"/>
    <n v="89.99"/>
    <s v="PayPal"/>
    <x v="0"/>
    <x v="1"/>
    <d v="2023-12-15T00:00:00"/>
    <n v="179.98"/>
    <m/>
    <m/>
    <m/>
    <m/>
    <m/>
    <m/>
    <n v="1229.8800000000001"/>
    <s v="Normal"/>
  </r>
  <r>
    <s v="TRX0192"/>
    <x v="39"/>
    <s v="CUST017"/>
    <s v="Charles Allen"/>
    <s v="P010"/>
    <s v="Keyboard"/>
    <x v="0"/>
    <n v="1"/>
    <n v="89.99"/>
    <s v="PayPal"/>
    <x v="3"/>
    <x v="2"/>
    <d v="2022-08-29T00:00:00"/>
    <n v="89.99"/>
    <m/>
    <m/>
    <m/>
    <m/>
    <m/>
    <m/>
    <n v="5089.7300000000005"/>
    <s v="Normal"/>
  </r>
  <r>
    <s v="TRX0052"/>
    <x v="40"/>
    <s v="CUST022"/>
    <s v="Susan Green"/>
    <s v="P010"/>
    <s v="Keyboard"/>
    <x v="0"/>
    <n v="1"/>
    <n v="89.99"/>
    <s v="Cash"/>
    <x v="1"/>
    <x v="2"/>
    <d v="2022-02-19T00:00:00"/>
    <n v="89.99"/>
    <m/>
    <m/>
    <m/>
    <m/>
    <m/>
    <m/>
    <n v="1979.89"/>
    <s v="Normal"/>
  </r>
  <r>
    <s v="TRX0070"/>
    <x v="40"/>
    <s v="CUST007"/>
    <s v="David Martinez"/>
    <s v="P004"/>
    <s v="Coffee Maker"/>
    <x v="1"/>
    <n v="5"/>
    <n v="79.989999999999995"/>
    <s v="Debit Card"/>
    <x v="0"/>
    <x v="0"/>
    <d v="2023-02-24T00:00:00"/>
    <n v="399.95"/>
    <m/>
    <m/>
    <m/>
    <m/>
    <m/>
    <m/>
    <n v="1809.84"/>
    <s v="Normal"/>
  </r>
  <r>
    <s v="TRX0086"/>
    <x v="41"/>
    <s v="CUST020"/>
    <s v="Margaret Wright"/>
    <s v="P008"/>
    <s v="Bookshelf"/>
    <x v="2"/>
    <n v="1"/>
    <n v="149.99"/>
    <s v="PayPal"/>
    <x v="2"/>
    <x v="0"/>
    <d v="2021-08-13T00:00:00"/>
    <n v="149.99"/>
    <m/>
    <m/>
    <m/>
    <m/>
    <m/>
    <m/>
    <n v="2099.88"/>
    <s v="Normal"/>
  </r>
  <r>
    <s v="TRX0113"/>
    <x v="41"/>
    <s v="CUST003"/>
    <s v="Michael Brown"/>
    <s v="P002"/>
    <s v="Smartphone"/>
    <x v="0"/>
    <n v="2"/>
    <n v="699.99"/>
    <s v="PayPal"/>
    <x v="4"/>
    <x v="1"/>
    <d v="2024-04-07T00:00:00"/>
    <n v="1399.98"/>
    <m/>
    <m/>
    <m/>
    <m/>
    <m/>
    <m/>
    <n v="6169.7400000000007"/>
    <s v="Normal"/>
  </r>
  <r>
    <s v="TRX0114"/>
    <x v="41"/>
    <s v="CUST018"/>
    <s v="Barbara Young"/>
    <s v="P010"/>
    <s v="Keyboard"/>
    <x v="0"/>
    <n v="5"/>
    <n v="89.99"/>
    <s v="Debit Card"/>
    <x v="2"/>
    <x v="1"/>
    <d v="2023-08-23T00:00:00"/>
    <n v="449.95"/>
    <m/>
    <m/>
    <m/>
    <m/>
    <m/>
    <m/>
    <n v="10649.8"/>
    <s v="High Value"/>
  </r>
  <r>
    <s v="TRX0136"/>
    <x v="42"/>
    <s v="CUST049"/>
    <s v="Raymond Ross"/>
    <s v="P005"/>
    <s v="Blender"/>
    <x v="1"/>
    <n v="4"/>
    <n v="59.99"/>
    <s v="Cash"/>
    <x v="1"/>
    <x v="2"/>
    <d v="2021-11-09T00:00:00"/>
    <n v="239.96"/>
    <m/>
    <m/>
    <m/>
    <m/>
    <m/>
    <m/>
    <n v="3669.85"/>
    <s v="Normal"/>
  </r>
  <r>
    <s v="TRX0018"/>
    <x v="43"/>
    <s v="CUST013"/>
    <s v="Joseph Jackson"/>
    <s v="P003"/>
    <s v="Headphones"/>
    <x v="0"/>
    <n v="1"/>
    <n v="149.99"/>
    <s v="Cash"/>
    <x v="0"/>
    <x v="2"/>
    <d v="2022-12-14T00:00:00"/>
    <n v="149.99"/>
    <m/>
    <m/>
    <m/>
    <m/>
    <m/>
    <m/>
    <n v="6949.84"/>
    <s v="Normal"/>
  </r>
  <r>
    <s v="TRX0141"/>
    <x v="43"/>
    <s v="CUST033"/>
    <s v="Frank Torres"/>
    <s v="P007"/>
    <s v="Desk"/>
    <x v="2"/>
    <n v="1"/>
    <n v="299.99"/>
    <s v="Credit Card"/>
    <x v="2"/>
    <x v="1"/>
    <d v="2022-11-26T00:00:00"/>
    <n v="299.99"/>
    <m/>
    <m/>
    <m/>
    <m/>
    <m/>
    <m/>
    <n v="1479.91"/>
    <s v="Normal"/>
  </r>
  <r>
    <s v="TRX0097"/>
    <x v="44"/>
    <s v="CUST033"/>
    <s v="Frank Torres"/>
    <s v="P006"/>
    <s v="Office Chair"/>
    <x v="2"/>
    <n v="2"/>
    <n v="199.99"/>
    <s v="Cash"/>
    <x v="2"/>
    <x v="0"/>
    <d v="2021-12-11T00:00:00"/>
    <n v="399.98"/>
    <m/>
    <m/>
    <m/>
    <m/>
    <m/>
    <m/>
    <n v="1479.91"/>
    <s v="Normal"/>
  </r>
  <r>
    <s v="TRX0169"/>
    <x v="45"/>
    <s v="CUST047"/>
    <s v="Gerald Murphy"/>
    <s v="P005"/>
    <s v="Blender"/>
    <x v="1"/>
    <n v="3"/>
    <n v="59.99"/>
    <s v="Credit Card"/>
    <x v="3"/>
    <x v="0"/>
    <d v="2023-07-23T00:00:00"/>
    <n v="179.97"/>
    <m/>
    <m/>
    <m/>
    <m/>
    <m/>
    <m/>
    <n v="6379.87"/>
    <s v="Normal"/>
  </r>
  <r>
    <s v="TRX0216"/>
    <x v="45"/>
    <s v="CUST041"/>
    <s v="Peter Richardson"/>
    <s v="P008"/>
    <s v="Bookshelf"/>
    <x v="2"/>
    <n v="3"/>
    <n v="149.99"/>
    <s v="Cash"/>
    <x v="0"/>
    <x v="1"/>
    <d v="2023-09-30T00:00:00"/>
    <n v="449.97"/>
    <m/>
    <m/>
    <m/>
    <m/>
    <m/>
    <m/>
    <n v="5949.85"/>
    <s v="Normal"/>
  </r>
  <r>
    <s v="TRX0131"/>
    <x v="46"/>
    <s v="CUST026"/>
    <s v="Karen Hill"/>
    <s v="P006"/>
    <s v="Office Chair"/>
    <x v="2"/>
    <n v="3"/>
    <n v="199.99"/>
    <s v="Cash"/>
    <x v="2"/>
    <x v="1"/>
    <d v="2023-11-24T00:00:00"/>
    <n v="599.97"/>
    <m/>
    <m/>
    <m/>
    <m/>
    <m/>
    <m/>
    <n v="8009.7699999999995"/>
    <s v="Normal"/>
  </r>
  <r>
    <s v="TRX0162"/>
    <x v="47"/>
    <s v="CUST040"/>
    <s v="Sharon Butler"/>
    <s v="P001"/>
    <s v="Laptop"/>
    <x v="0"/>
    <n v="1"/>
    <n v="899.99"/>
    <s v="Cash"/>
    <x v="0"/>
    <x v="2"/>
    <d v="2023-09-10T00:00:00"/>
    <n v="899.99"/>
    <m/>
    <m/>
    <m/>
    <m/>
    <m/>
    <m/>
    <n v="5619.87"/>
    <s v="Normal"/>
  </r>
  <r>
    <s v="TRX0244"/>
    <x v="48"/>
    <s v="CUST013"/>
    <s v="Joseph Jackson"/>
    <s v="P001"/>
    <s v="Laptop"/>
    <x v="0"/>
    <n v="5"/>
    <n v="899.99"/>
    <s v="Debit Card"/>
    <x v="1"/>
    <x v="2"/>
    <d v="2022-12-04T00:00:00"/>
    <n v="4499.95"/>
    <m/>
    <m/>
    <m/>
    <m/>
    <m/>
    <m/>
    <n v="6949.84"/>
    <s v="Normal"/>
  </r>
  <r>
    <s v="TRX0006"/>
    <x v="49"/>
    <s v="CUST007"/>
    <s v="David Martinez"/>
    <s v="P005"/>
    <s v="Blender"/>
    <x v="1"/>
    <n v="2"/>
    <n v="59.99"/>
    <s v="Cash"/>
    <x v="2"/>
    <x v="2"/>
    <d v="2023-08-14T00:00:00"/>
    <n v="119.98"/>
    <m/>
    <m/>
    <m/>
    <m/>
    <m/>
    <m/>
    <n v="1809.84"/>
    <s v="Normal"/>
  </r>
  <r>
    <s v="TRX0215"/>
    <x v="49"/>
    <s v="CUST047"/>
    <s v="Gerald Murphy"/>
    <s v="P009"/>
    <s v="Monitor"/>
    <x v="0"/>
    <n v="4"/>
    <n v="249.99"/>
    <s v="Debit Card"/>
    <x v="0"/>
    <x v="2"/>
    <d v="2023-07-20T00:00:00"/>
    <n v="999.96"/>
    <m/>
    <m/>
    <m/>
    <m/>
    <m/>
    <m/>
    <n v="6379.87"/>
    <s v="Normal"/>
  </r>
  <r>
    <s v="TRX0080"/>
    <x v="50"/>
    <s v="CUST018"/>
    <s v="Barbara Young"/>
    <s v="P009"/>
    <s v="Monitor"/>
    <x v="0"/>
    <n v="2"/>
    <n v="249.99"/>
    <s v="Cash"/>
    <x v="2"/>
    <x v="1"/>
    <d v="2023-08-26T00:00:00"/>
    <n v="499.98"/>
    <m/>
    <m/>
    <m/>
    <m/>
    <m/>
    <m/>
    <n v="10649.8"/>
    <s v="High Value"/>
  </r>
  <r>
    <s v="TRX0228"/>
    <x v="50"/>
    <s v="CUST019"/>
    <s v="Daniel King"/>
    <s v="P007"/>
    <s v="Desk"/>
    <x v="2"/>
    <n v="1"/>
    <n v="299.99"/>
    <s v="Cash"/>
    <x v="1"/>
    <x v="0"/>
    <d v="2023-02-25T00:00:00"/>
    <n v="299.99"/>
    <m/>
    <m/>
    <m/>
    <m/>
    <m/>
    <m/>
    <n v="7309.7999999999993"/>
    <s v="Normal"/>
  </r>
  <r>
    <s v="TRX0157"/>
    <x v="51"/>
    <s v="CUST025"/>
    <s v="Mark Carter"/>
    <s v="P010"/>
    <s v="Keyboard"/>
    <x v="0"/>
    <n v="2"/>
    <n v="89.99"/>
    <s v="PayPal"/>
    <x v="1"/>
    <x v="0"/>
    <d v="2023-02-19T00:00:00"/>
    <n v="179.98"/>
    <m/>
    <m/>
    <m/>
    <m/>
    <m/>
    <m/>
    <n v="15659.65"/>
    <s v="High Value"/>
  </r>
  <r>
    <s v="TRX0002"/>
    <x v="51"/>
    <s v="CUST019"/>
    <s v="Daniel King"/>
    <s v="P007"/>
    <s v="Desk"/>
    <x v="2"/>
    <n v="3"/>
    <n v="299.99"/>
    <s v="Cash"/>
    <x v="0"/>
    <x v="0"/>
    <d v="2022-06-20T00:00:00"/>
    <n v="899.97"/>
    <m/>
    <m/>
    <m/>
    <m/>
    <m/>
    <m/>
    <n v="7309.7999999999993"/>
    <s v="Normal"/>
  </r>
  <r>
    <s v="TRX0217"/>
    <x v="52"/>
    <s v="CUST025"/>
    <s v="Mark Carter"/>
    <s v="P002"/>
    <s v="Smartphone"/>
    <x v="0"/>
    <n v="2"/>
    <n v="699.99"/>
    <s v="Credit Card"/>
    <x v="2"/>
    <x v="1"/>
    <d v="2023-03-14T00:00:00"/>
    <n v="1399.98"/>
    <m/>
    <m/>
    <m/>
    <m/>
    <m/>
    <m/>
    <n v="15659.65"/>
    <s v="High Value"/>
  </r>
  <r>
    <s v="TRX0249"/>
    <x v="53"/>
    <s v="CUST030"/>
    <s v="Helen Roberts"/>
    <s v="P001"/>
    <s v="Laptop"/>
    <x v="0"/>
    <n v="4"/>
    <n v="899.99"/>
    <s v="Debit Card"/>
    <x v="1"/>
    <x v="2"/>
    <d v="2021-11-23T00:00:00"/>
    <n v="3599.96"/>
    <m/>
    <m/>
    <m/>
    <m/>
    <m/>
    <m/>
    <n v="6459.79"/>
    <s v="Normal"/>
  </r>
  <r>
    <s v="TRX0065"/>
    <x v="54"/>
    <s v="CUST016"/>
    <s v="Elizabeth Hall"/>
    <s v="P008"/>
    <s v="Bookshelf"/>
    <x v="2"/>
    <n v="2"/>
    <n v="149.99"/>
    <s v="Credit Card"/>
    <x v="3"/>
    <x v="0"/>
    <d v="2021-12-12T00:00:00"/>
    <n v="299.98"/>
    <m/>
    <m/>
    <m/>
    <m/>
    <m/>
    <m/>
    <n v="3649.8599999999997"/>
    <s v="Normal"/>
  </r>
  <r>
    <s v="TRX0176"/>
    <x v="55"/>
    <s v="CUST044"/>
    <s v="Cynthia Price"/>
    <s v="P008"/>
    <s v="Bookshelf"/>
    <x v="2"/>
    <n v="2"/>
    <n v="149.99"/>
    <s v="Debit Card"/>
    <x v="4"/>
    <x v="2"/>
    <d v="2022-04-16T00:00:00"/>
    <n v="299.98"/>
    <m/>
    <m/>
    <m/>
    <m/>
    <m/>
    <m/>
    <n v="3769.8300000000004"/>
    <s v="Normal"/>
  </r>
  <r>
    <s v="TRX0101"/>
    <x v="56"/>
    <s v="CUST010"/>
    <s v="Maria Garcia"/>
    <s v="P010"/>
    <s v="Keyboard"/>
    <x v="0"/>
    <n v="1"/>
    <n v="89.99"/>
    <s v="Credit Card"/>
    <x v="2"/>
    <x v="2"/>
    <d v="2024-04-11T00:00:00"/>
    <n v="89.99"/>
    <m/>
    <m/>
    <m/>
    <m/>
    <m/>
    <m/>
    <n v="1909.93"/>
    <s v="Normal"/>
  </r>
  <r>
    <s v="TRX0205"/>
    <x v="57"/>
    <s v="CUST025"/>
    <s v="Mark Carter"/>
    <s v="P007"/>
    <s v="Desk"/>
    <x v="2"/>
    <n v="5"/>
    <n v="299.99"/>
    <s v="Credit Card"/>
    <x v="2"/>
    <x v="0"/>
    <d v="2023-02-08T00:00:00"/>
    <n v="1499.95"/>
    <m/>
    <m/>
    <m/>
    <m/>
    <m/>
    <m/>
    <n v="15659.65"/>
    <s v="High Value"/>
  </r>
  <r>
    <s v="TRX0020"/>
    <x v="58"/>
    <s v="CUST007"/>
    <s v="David Martinez"/>
    <s v="P003"/>
    <s v="Headphones"/>
    <x v="0"/>
    <n v="4"/>
    <n v="149.99"/>
    <s v="Debit Card"/>
    <x v="1"/>
    <x v="1"/>
    <d v="2022-09-16T00:00:00"/>
    <n v="599.96"/>
    <m/>
    <m/>
    <m/>
    <m/>
    <m/>
    <m/>
    <n v="1809.84"/>
    <s v="Normal"/>
  </r>
  <r>
    <s v="TRX0075"/>
    <x v="58"/>
    <s v="CUST020"/>
    <s v="Margaret Wright"/>
    <s v="P009"/>
    <s v="Monitor"/>
    <x v="0"/>
    <n v="5"/>
    <n v="249.99"/>
    <s v="PayPal"/>
    <x v="4"/>
    <x v="1"/>
    <d v="2022-08-09T00:00:00"/>
    <n v="1249.95"/>
    <m/>
    <m/>
    <m/>
    <m/>
    <m/>
    <m/>
    <n v="2099.88"/>
    <s v="Normal"/>
  </r>
  <r>
    <s v="TRX0098"/>
    <x v="58"/>
    <s v="CUST026"/>
    <s v="Karen Hill"/>
    <s v="P009"/>
    <s v="Monitor"/>
    <x v="0"/>
    <n v="3"/>
    <n v="249.99"/>
    <s v="PayPal"/>
    <x v="2"/>
    <x v="1"/>
    <d v="2021-09-26T00:00:00"/>
    <n v="749.97"/>
    <m/>
    <m/>
    <m/>
    <m/>
    <m/>
    <m/>
    <n v="8009.7699999999995"/>
    <s v="Normal"/>
  </r>
  <r>
    <s v="TRX0247"/>
    <x v="58"/>
    <s v="CUST046"/>
    <s v="Kathleen Bennett"/>
    <s v="P006"/>
    <s v="Office Chair"/>
    <x v="2"/>
    <n v="4"/>
    <n v="199.99"/>
    <s v="Cash"/>
    <x v="2"/>
    <x v="2"/>
    <d v="2021-09-19T00:00:00"/>
    <n v="799.96"/>
    <m/>
    <m/>
    <m/>
    <m/>
    <m/>
    <m/>
    <n v="4309.8100000000004"/>
    <s v="Normal"/>
  </r>
  <r>
    <s v="TRX0027"/>
    <x v="59"/>
    <s v="CUST028"/>
    <s v="Betty Campbell"/>
    <s v="P006"/>
    <s v="Office Chair"/>
    <x v="2"/>
    <n v="5"/>
    <n v="199.99"/>
    <s v="Cash"/>
    <x v="2"/>
    <x v="1"/>
    <d v="2023-03-06T00:00:00"/>
    <n v="999.95"/>
    <m/>
    <m/>
    <m/>
    <m/>
    <m/>
    <m/>
    <n v="5649.84"/>
    <s v="Normal"/>
  </r>
  <r>
    <s v="TRX0140"/>
    <x v="60"/>
    <s v="CUST025"/>
    <s v="Mark Carter"/>
    <s v="P010"/>
    <s v="Keyboard"/>
    <x v="0"/>
    <n v="2"/>
    <n v="89.99"/>
    <s v="Cash"/>
    <x v="4"/>
    <x v="1"/>
    <d v="2023-02-15T00:00:00"/>
    <n v="179.98"/>
    <m/>
    <m/>
    <m/>
    <m/>
    <m/>
    <m/>
    <n v="15659.65"/>
    <s v="High Value"/>
  </r>
  <r>
    <s v="TRX0132"/>
    <x v="61"/>
    <s v="CUST047"/>
    <s v="Gerald Murphy"/>
    <s v="P001"/>
    <s v="Laptop"/>
    <x v="0"/>
    <n v="5"/>
    <n v="899.99"/>
    <s v="Debit Card"/>
    <x v="4"/>
    <x v="0"/>
    <d v="2021-11-26T00:00:00"/>
    <n v="4499.95"/>
    <m/>
    <m/>
    <m/>
    <m/>
    <m/>
    <m/>
    <n v="6379.87"/>
    <s v="Normal"/>
  </r>
  <r>
    <s v="TRX0031"/>
    <x v="61"/>
    <s v="CUST036"/>
    <s v="Nancy Collins"/>
    <s v="P003"/>
    <s v="Headphones"/>
    <x v="0"/>
    <n v="3"/>
    <n v="149.99"/>
    <s v="PayPal"/>
    <x v="4"/>
    <x v="0"/>
    <d v="2022-01-13T00:00:00"/>
    <n v="449.97"/>
    <m/>
    <m/>
    <m/>
    <m/>
    <m/>
    <m/>
    <n v="4189.7700000000004"/>
    <s v="Normal"/>
  </r>
  <r>
    <s v="TRX0236"/>
    <x v="62"/>
    <s v="CUST044"/>
    <s v="Cynthia Price"/>
    <s v="P008"/>
    <s v="Bookshelf"/>
    <x v="2"/>
    <n v="5"/>
    <n v="149.99"/>
    <s v="Credit Card"/>
    <x v="0"/>
    <x v="0"/>
    <d v="2024-01-19T00:00:00"/>
    <n v="749.95"/>
    <m/>
    <m/>
    <m/>
    <m/>
    <m/>
    <m/>
    <n v="3769.8300000000004"/>
    <s v="Normal"/>
  </r>
  <r>
    <s v="TRX0001"/>
    <x v="63"/>
    <s v="CUST039"/>
    <s v="Lawrence Reed"/>
    <s v="P004"/>
    <s v="Coffee Maker"/>
    <x v="1"/>
    <n v="3"/>
    <n v="79.989999999999995"/>
    <s v="Cash"/>
    <x v="0"/>
    <x v="1"/>
    <d v="2022-08-06T00:00:00"/>
    <n v="239.96999999999997"/>
    <m/>
    <m/>
    <m/>
    <m/>
    <m/>
    <m/>
    <n v="6989.7699999999986"/>
    <s v="Normal"/>
  </r>
  <r>
    <s v="TRX0037"/>
    <x v="63"/>
    <s v="CUST035"/>
    <s v="Harry Morgan"/>
    <s v="P009"/>
    <s v="Monitor"/>
    <x v="0"/>
    <n v="2"/>
    <n v="249.99"/>
    <s v="Cash"/>
    <x v="1"/>
    <x v="2"/>
    <d v="2022-01-11T00:00:00"/>
    <n v="499.98"/>
    <m/>
    <m/>
    <m/>
    <m/>
    <m/>
    <m/>
    <n v="5519.8899999999994"/>
    <s v="Normal"/>
  </r>
  <r>
    <s v="TRX0058"/>
    <x v="64"/>
    <s v="CUST047"/>
    <s v="Gerald Murphy"/>
    <s v="P002"/>
    <s v="Smartphone"/>
    <x v="0"/>
    <n v="1"/>
    <n v="699.99"/>
    <s v="Cash"/>
    <x v="0"/>
    <x v="1"/>
    <d v="2021-10-28T00:00:00"/>
    <n v="699.99"/>
    <m/>
    <m/>
    <m/>
    <m/>
    <m/>
    <m/>
    <n v="6379.87"/>
    <s v="Normal"/>
  </r>
  <r>
    <s v="TRX0170"/>
    <x v="64"/>
    <s v="CUST034"/>
    <s v="Carol Evans"/>
    <s v="P003"/>
    <s v="Headphones"/>
    <x v="0"/>
    <n v="3"/>
    <n v="149.99"/>
    <s v="Cash"/>
    <x v="3"/>
    <x v="1"/>
    <d v="2023-10-13T00:00:00"/>
    <n v="449.97"/>
    <m/>
    <m/>
    <m/>
    <m/>
    <m/>
    <m/>
    <n v="1149.93"/>
    <s v="Normal"/>
  </r>
  <r>
    <s v="TRX0248"/>
    <x v="65"/>
    <s v="CUST032"/>
    <s v="Sandra Phillips"/>
    <s v="P002"/>
    <s v="Smartphone"/>
    <x v="0"/>
    <n v="2"/>
    <n v="699.99"/>
    <s v="Credit Card"/>
    <x v="2"/>
    <x v="1"/>
    <d v="2021-08-13T00:00:00"/>
    <n v="1399.98"/>
    <m/>
    <m/>
    <m/>
    <m/>
    <m/>
    <m/>
    <n v="6349.8300000000008"/>
    <s v="Normal"/>
  </r>
  <r>
    <s v="TRX0099"/>
    <x v="66"/>
    <s v="CUST034"/>
    <s v="Carol Evans"/>
    <s v="P009"/>
    <s v="Monitor"/>
    <x v="0"/>
    <n v="1"/>
    <n v="249.99"/>
    <s v="Credit Card"/>
    <x v="3"/>
    <x v="1"/>
    <d v="2022-05-04T00:00:00"/>
    <n v="249.99"/>
    <m/>
    <m/>
    <m/>
    <m/>
    <m/>
    <m/>
    <n v="1149.93"/>
    <s v="Normal"/>
  </r>
  <r>
    <s v="TRX0074"/>
    <x v="66"/>
    <s v="CUST023"/>
    <s v="Paul Baker"/>
    <s v="P009"/>
    <s v="Monitor"/>
    <x v="0"/>
    <n v="1"/>
    <n v="249.99"/>
    <s v="Debit Card"/>
    <x v="2"/>
    <x v="1"/>
    <d v="2024-02-10T00:00:00"/>
    <n v="249.99"/>
    <m/>
    <m/>
    <m/>
    <m/>
    <m/>
    <m/>
    <n v="13809.790000000006"/>
    <s v="High Value"/>
  </r>
  <r>
    <s v="TRX0225"/>
    <x v="67"/>
    <s v="CUST039"/>
    <s v="Lawrence Reed"/>
    <s v="P002"/>
    <s v="Smartphone"/>
    <x v="0"/>
    <n v="2"/>
    <n v="699.99"/>
    <s v="Debit Card"/>
    <x v="0"/>
    <x v="1"/>
    <d v="2022-11-05T00:00:00"/>
    <n v="1399.98"/>
    <m/>
    <m/>
    <m/>
    <m/>
    <m/>
    <m/>
    <n v="6989.7699999999986"/>
    <s v="Normal"/>
  </r>
  <r>
    <s v="TRX0100"/>
    <x v="68"/>
    <s v="CUST031"/>
    <s v="Steven Turner"/>
    <s v="P005"/>
    <s v="Blender"/>
    <x v="1"/>
    <n v="3"/>
    <n v="59.99"/>
    <s v="Credit Card"/>
    <x v="0"/>
    <x v="1"/>
    <d v="2022-06-05T00:00:00"/>
    <n v="179.97"/>
    <m/>
    <m/>
    <m/>
    <m/>
    <m/>
    <m/>
    <n v="2649.83"/>
    <s v="Normal"/>
  </r>
  <r>
    <s v="TRX0142"/>
    <x v="69"/>
    <s v="CUST002"/>
    <s v="Emma Wilson"/>
    <s v="P005"/>
    <s v="Blender"/>
    <x v="1"/>
    <n v="3"/>
    <n v="59.99"/>
    <s v="PayPal"/>
    <x v="4"/>
    <x v="2"/>
    <d v="2022-07-06T00:00:00"/>
    <n v="179.97"/>
    <m/>
    <m/>
    <m/>
    <m/>
    <m/>
    <m/>
    <n v="1229.8800000000001"/>
    <s v="Normal"/>
  </r>
  <r>
    <s v="TRX0112"/>
    <x v="69"/>
    <s v="CUST008"/>
    <s v="Jennifer Taylor"/>
    <s v="P004"/>
    <s v="Coffee Maker"/>
    <x v="1"/>
    <n v="4"/>
    <n v="79.989999999999995"/>
    <s v="Cash"/>
    <x v="2"/>
    <x v="0"/>
    <d v="2021-11-30T00:00:00"/>
    <n v="319.95999999999998"/>
    <m/>
    <m/>
    <m/>
    <m/>
    <m/>
    <m/>
    <n v="4739.8500000000004"/>
    <s v="Normal"/>
  </r>
  <r>
    <s v="TRX0161"/>
    <x v="70"/>
    <s v="CUST017"/>
    <s v="Charles Allen"/>
    <s v="P004"/>
    <s v="Coffee Maker"/>
    <x v="1"/>
    <n v="1"/>
    <n v="79.989999999999995"/>
    <s v="Cash"/>
    <x v="3"/>
    <x v="0"/>
    <d v="2022-05-12T00:00:00"/>
    <n v="79.989999999999995"/>
    <m/>
    <m/>
    <m/>
    <m/>
    <m/>
    <m/>
    <n v="5089.7300000000005"/>
    <s v="Normal"/>
  </r>
  <r>
    <s v="TRX0108"/>
    <x v="71"/>
    <s v="CUST024"/>
    <s v="Dorothy Nelson"/>
    <s v="P007"/>
    <s v="Desk"/>
    <x v="2"/>
    <n v="3"/>
    <n v="299.99"/>
    <s v="Credit Card"/>
    <x v="0"/>
    <x v="1"/>
    <d v="2021-10-25T00:00:00"/>
    <n v="899.97"/>
    <m/>
    <m/>
    <m/>
    <m/>
    <m/>
    <m/>
    <n v="8269.7900000000009"/>
    <s v="Normal"/>
  </r>
  <r>
    <s v="TRX0211"/>
    <x v="72"/>
    <s v="CUST046"/>
    <s v="Kathleen Bennett"/>
    <s v="P010"/>
    <s v="Keyboard"/>
    <x v="0"/>
    <n v="2"/>
    <n v="89.99"/>
    <s v="Credit Card"/>
    <x v="1"/>
    <x v="1"/>
    <d v="2022-03-21T00:00:00"/>
    <n v="179.98"/>
    <m/>
    <m/>
    <m/>
    <m/>
    <m/>
    <m/>
    <n v="4309.8100000000004"/>
    <s v="Normal"/>
  </r>
  <r>
    <s v="TRX0005"/>
    <x v="73"/>
    <s v="CUST042"/>
    <s v="Ruth Brooks"/>
    <s v="P003"/>
    <s v="Headphones"/>
    <x v="0"/>
    <n v="4"/>
    <n v="149.99"/>
    <s v="Cash"/>
    <x v="2"/>
    <x v="0"/>
    <d v="2022-12-14T00:00:00"/>
    <n v="599.96"/>
    <m/>
    <m/>
    <m/>
    <m/>
    <m/>
    <m/>
    <n v="1749.92"/>
    <s v="Normal"/>
  </r>
  <r>
    <s v="TRX0195"/>
    <x v="74"/>
    <s v="CUST026"/>
    <s v="Karen Hill"/>
    <s v="P009"/>
    <s v="Monitor"/>
    <x v="0"/>
    <n v="2"/>
    <n v="249.99"/>
    <s v="PayPal"/>
    <x v="1"/>
    <x v="0"/>
    <d v="2023-03-08T00:00:00"/>
    <n v="499.98"/>
    <m/>
    <m/>
    <m/>
    <m/>
    <m/>
    <m/>
    <n v="8009.7699999999995"/>
    <s v="Normal"/>
  </r>
  <r>
    <s v="TRX0054"/>
    <x v="74"/>
    <s v="CUST004"/>
    <s v="Sarah Davis"/>
    <s v="P006"/>
    <s v="Office Chair"/>
    <x v="2"/>
    <n v="4"/>
    <n v="199.99"/>
    <s v="Debit Card"/>
    <x v="4"/>
    <x v="0"/>
    <d v="2021-09-19T00:00:00"/>
    <n v="799.96"/>
    <m/>
    <m/>
    <m/>
    <m/>
    <m/>
    <m/>
    <n v="5499.81"/>
    <s v="Normal"/>
  </r>
  <r>
    <s v="TRX0077"/>
    <x v="75"/>
    <s v="CUST019"/>
    <s v="Daniel King"/>
    <s v="P010"/>
    <s v="Keyboard"/>
    <x v="0"/>
    <n v="5"/>
    <n v="89.99"/>
    <s v="Credit Card"/>
    <x v="4"/>
    <x v="1"/>
    <d v="2021-09-07T00:00:00"/>
    <n v="449.95"/>
    <m/>
    <m/>
    <m/>
    <m/>
    <m/>
    <m/>
    <n v="7309.7999999999993"/>
    <s v="Normal"/>
  </r>
  <r>
    <s v="TRX0111"/>
    <x v="75"/>
    <s v="CUST011"/>
    <s v="William White"/>
    <s v="P003"/>
    <s v="Headphones"/>
    <x v="0"/>
    <n v="1"/>
    <n v="149.99"/>
    <s v="PayPal"/>
    <x v="4"/>
    <x v="2"/>
    <d v="2021-10-13T00:00:00"/>
    <n v="149.99"/>
    <m/>
    <m/>
    <m/>
    <m/>
    <m/>
    <m/>
    <n v="4749.91"/>
    <s v="Normal"/>
  </r>
  <r>
    <s v="TRX0123"/>
    <x v="75"/>
    <s v="CUST041"/>
    <s v="Peter Richardson"/>
    <s v="P002"/>
    <s v="Smartphone"/>
    <x v="0"/>
    <n v="4"/>
    <n v="699.99"/>
    <s v="PayPal"/>
    <x v="1"/>
    <x v="0"/>
    <d v="2022-02-26T00:00:00"/>
    <n v="2799.96"/>
    <m/>
    <m/>
    <m/>
    <m/>
    <m/>
    <m/>
    <n v="5949.85"/>
    <s v="Normal"/>
  </r>
  <r>
    <s v="TRX0177"/>
    <x v="76"/>
    <s v="CUST032"/>
    <s v="Sandra Phillips"/>
    <s v="P001"/>
    <s v="Laptop"/>
    <x v="0"/>
    <n v="3"/>
    <n v="899.99"/>
    <s v="Credit Card"/>
    <x v="2"/>
    <x v="2"/>
    <d v="2023-08-19T00:00:00"/>
    <n v="2699.9700000000003"/>
    <m/>
    <m/>
    <m/>
    <m/>
    <m/>
    <m/>
    <n v="6349.8300000000008"/>
    <s v="Normal"/>
  </r>
  <r>
    <s v="TRX0119"/>
    <x v="77"/>
    <s v="CUST014"/>
    <s v="Linda Martin"/>
    <s v="P008"/>
    <s v="Bookshelf"/>
    <x v="2"/>
    <n v="3"/>
    <n v="149.99"/>
    <s v="PayPal"/>
    <x v="4"/>
    <x v="0"/>
    <d v="2022-11-21T00:00:00"/>
    <n v="449.97"/>
    <m/>
    <m/>
    <m/>
    <m/>
    <m/>
    <m/>
    <n v="1289.9000000000001"/>
    <s v="Normal"/>
  </r>
  <r>
    <s v="TRX0181"/>
    <x v="78"/>
    <s v="CUST012"/>
    <s v="Patricia Moore"/>
    <s v="P007"/>
    <s v="Desk"/>
    <x v="2"/>
    <n v="2"/>
    <n v="299.99"/>
    <s v="Debit Card"/>
    <x v="0"/>
    <x v="0"/>
    <d v="2022-01-08T00:00:00"/>
    <n v="599.98"/>
    <m/>
    <m/>
    <m/>
    <m/>
    <m/>
    <m/>
    <n v="9799.73"/>
    <s v="Normal"/>
  </r>
  <r>
    <s v="TRX0129"/>
    <x v="79"/>
    <s v="CUST015"/>
    <s v="Richard Lee"/>
    <s v="P006"/>
    <s v="Office Chair"/>
    <x v="2"/>
    <n v="1"/>
    <n v="199.99"/>
    <s v="Debit Card"/>
    <x v="4"/>
    <x v="2"/>
    <d v="2023-01-27T00:00:00"/>
    <n v="199.99"/>
    <m/>
    <m/>
    <m/>
    <m/>
    <m/>
    <m/>
    <n v="739.93000000000006"/>
    <s v="Normal"/>
  </r>
  <r>
    <s v="TRX0174"/>
    <x v="80"/>
    <s v="CUST003"/>
    <s v="Michael Brown"/>
    <s v="P007"/>
    <s v="Desk"/>
    <x v="2"/>
    <n v="4"/>
    <n v="299.99"/>
    <s v="Cash"/>
    <x v="0"/>
    <x v="1"/>
    <d v="2021-09-21T00:00:00"/>
    <n v="1199.96"/>
    <m/>
    <m/>
    <m/>
    <m/>
    <m/>
    <m/>
    <n v="6169.7400000000007"/>
    <s v="Normal"/>
  </r>
  <r>
    <s v="TRX0146"/>
    <x v="81"/>
    <s v="CUST010"/>
    <s v="Maria Garcia"/>
    <s v="P005"/>
    <s v="Blender"/>
    <x v="1"/>
    <n v="2"/>
    <n v="59.99"/>
    <s v="Credit Card"/>
    <x v="0"/>
    <x v="0"/>
    <d v="2022-01-18T00:00:00"/>
    <n v="119.98"/>
    <m/>
    <m/>
    <m/>
    <m/>
    <m/>
    <m/>
    <n v="1909.93"/>
    <s v="Normal"/>
  </r>
  <r>
    <s v="TRX0203"/>
    <x v="81"/>
    <s v="CUST032"/>
    <s v="Sandra Phillips"/>
    <s v="P003"/>
    <s v="Headphones"/>
    <x v="0"/>
    <n v="4"/>
    <n v="149.99"/>
    <s v="Credit Card"/>
    <x v="2"/>
    <x v="1"/>
    <d v="2023-05-30T00:00:00"/>
    <n v="599.96"/>
    <m/>
    <m/>
    <m/>
    <m/>
    <m/>
    <m/>
    <n v="6349.8300000000008"/>
    <s v="Normal"/>
  </r>
  <r>
    <s v="TRX0055"/>
    <x v="82"/>
    <s v="CUST016"/>
    <s v="Elizabeth Hall"/>
    <s v="P002"/>
    <s v="Smartphone"/>
    <x v="0"/>
    <n v="2"/>
    <n v="699.99"/>
    <s v="Debit Card"/>
    <x v="4"/>
    <x v="1"/>
    <d v="2023-12-14T00:00:00"/>
    <n v="1399.98"/>
    <m/>
    <m/>
    <m/>
    <m/>
    <m/>
    <m/>
    <n v="3649.8599999999997"/>
    <s v="Normal"/>
  </r>
  <r>
    <s v="TRX0218"/>
    <x v="82"/>
    <s v="CUST034"/>
    <s v="Carol Evans"/>
    <s v="P008"/>
    <s v="Bookshelf"/>
    <x v="2"/>
    <n v="3"/>
    <n v="149.99"/>
    <s v="Credit Card"/>
    <x v="1"/>
    <x v="2"/>
    <d v="2023-01-14T00:00:00"/>
    <n v="449.97"/>
    <m/>
    <m/>
    <m/>
    <m/>
    <m/>
    <m/>
    <n v="1149.93"/>
    <s v="Normal"/>
  </r>
  <r>
    <s v="TRX0085"/>
    <x v="83"/>
    <s v="CUST019"/>
    <s v="Daniel King"/>
    <s v="P007"/>
    <s v="Desk"/>
    <x v="2"/>
    <n v="3"/>
    <n v="299.99"/>
    <s v="Credit Card"/>
    <x v="0"/>
    <x v="2"/>
    <d v="2023-09-05T00:00:00"/>
    <n v="899.97"/>
    <m/>
    <m/>
    <m/>
    <m/>
    <m/>
    <m/>
    <n v="7309.7999999999993"/>
    <s v="Normal"/>
  </r>
  <r>
    <s v="TRX0158"/>
    <x v="84"/>
    <s v="CUST027"/>
    <s v="George Adams"/>
    <s v="P001"/>
    <s v="Laptop"/>
    <x v="0"/>
    <n v="3"/>
    <n v="899.99"/>
    <s v="PayPal"/>
    <x v="3"/>
    <x v="0"/>
    <d v="2023-10-16T00:00:00"/>
    <n v="2699.9700000000003"/>
    <m/>
    <m/>
    <m/>
    <m/>
    <m/>
    <m/>
    <n v="3779.93"/>
    <s v="Normal"/>
  </r>
  <r>
    <s v="TRX0173"/>
    <x v="85"/>
    <s v="CUST018"/>
    <s v="Barbara Young"/>
    <s v="P002"/>
    <s v="Smartphone"/>
    <x v="0"/>
    <n v="5"/>
    <n v="699.99"/>
    <s v="Cash"/>
    <x v="4"/>
    <x v="2"/>
    <d v="2023-03-23T00:00:00"/>
    <n v="3499.95"/>
    <m/>
    <m/>
    <m/>
    <m/>
    <m/>
    <m/>
    <n v="10649.8"/>
    <s v="High Value"/>
  </r>
  <r>
    <s v="TRX0034"/>
    <x v="85"/>
    <s v="CUST049"/>
    <s v="Raymond Ross"/>
    <s v="P002"/>
    <s v="Smartphone"/>
    <x v="0"/>
    <n v="4"/>
    <n v="699.99"/>
    <s v="Credit Card"/>
    <x v="0"/>
    <x v="0"/>
    <d v="2024-04-03T00:00:00"/>
    <n v="2799.96"/>
    <m/>
    <m/>
    <m/>
    <m/>
    <m/>
    <m/>
    <n v="3669.85"/>
    <s v="Normal"/>
  </r>
  <r>
    <s v="TRX0189"/>
    <x v="85"/>
    <s v="CUST040"/>
    <s v="Sharon Butler"/>
    <s v="P001"/>
    <s v="Laptop"/>
    <x v="0"/>
    <n v="1"/>
    <n v="899.99"/>
    <s v="Credit Card"/>
    <x v="4"/>
    <x v="2"/>
    <d v="2024-03-18T00:00:00"/>
    <n v="899.99"/>
    <m/>
    <m/>
    <m/>
    <m/>
    <m/>
    <m/>
    <n v="5619.87"/>
    <s v="Normal"/>
  </r>
  <r>
    <s v="TRX0190"/>
    <x v="86"/>
    <s v="CUST039"/>
    <s v="Lawrence Reed"/>
    <s v="P003"/>
    <s v="Headphones"/>
    <x v="0"/>
    <n v="2"/>
    <n v="149.99"/>
    <s v="Credit Card"/>
    <x v="3"/>
    <x v="0"/>
    <d v="2022-12-21T00:00:00"/>
    <n v="299.98"/>
    <m/>
    <m/>
    <m/>
    <m/>
    <m/>
    <m/>
    <n v="6989.7699999999986"/>
    <s v="Normal"/>
  </r>
  <r>
    <s v="TRX0079"/>
    <x v="87"/>
    <s v="CUST039"/>
    <s v="Lawrence Reed"/>
    <s v="P010"/>
    <s v="Keyboard"/>
    <x v="0"/>
    <n v="3"/>
    <n v="89.99"/>
    <s v="PayPal"/>
    <x v="0"/>
    <x v="0"/>
    <d v="2021-12-21T00:00:00"/>
    <n v="269.96999999999997"/>
    <m/>
    <m/>
    <m/>
    <m/>
    <m/>
    <m/>
    <n v="6989.7699999999986"/>
    <s v="Normal"/>
  </r>
  <r>
    <s v="TRX0095"/>
    <x v="88"/>
    <s v="CUST046"/>
    <s v="Kathleen Bennett"/>
    <s v="P003"/>
    <s v="Headphones"/>
    <x v="0"/>
    <n v="2"/>
    <n v="149.99"/>
    <s v="PayPal"/>
    <x v="0"/>
    <x v="0"/>
    <d v="2021-10-04T00:00:00"/>
    <n v="299.98"/>
    <m/>
    <m/>
    <m/>
    <m/>
    <m/>
    <m/>
    <n v="4309.8100000000004"/>
    <s v="Normal"/>
  </r>
  <r>
    <s v="TRX0009"/>
    <x v="88"/>
    <s v="CUST004"/>
    <s v="Sarah Davis"/>
    <s v="P002"/>
    <s v="Smartphone"/>
    <x v="0"/>
    <n v="2"/>
    <n v="699.99"/>
    <s v="Cash"/>
    <x v="0"/>
    <x v="0"/>
    <d v="2023-03-07T00:00:00"/>
    <n v="1399.98"/>
    <m/>
    <m/>
    <m/>
    <m/>
    <m/>
    <m/>
    <n v="5499.81"/>
    <s v="Normal"/>
  </r>
  <r>
    <s v="TRX0167"/>
    <x v="89"/>
    <s v="CUST028"/>
    <s v="Betty Campbell"/>
    <s v="P002"/>
    <s v="Smartphone"/>
    <x v="0"/>
    <n v="5"/>
    <n v="699.99"/>
    <s v="Cash"/>
    <x v="2"/>
    <x v="1"/>
    <d v="2022-03-15T00:00:00"/>
    <n v="3499.95"/>
    <m/>
    <m/>
    <m/>
    <m/>
    <m/>
    <m/>
    <n v="5649.84"/>
    <s v="Normal"/>
  </r>
  <r>
    <s v="TRX0153"/>
    <x v="90"/>
    <s v="CUST049"/>
    <s v="Raymond Ross"/>
    <s v="P010"/>
    <s v="Keyboard"/>
    <x v="0"/>
    <n v="3"/>
    <n v="89.99"/>
    <s v="Credit Card"/>
    <x v="2"/>
    <x v="2"/>
    <d v="2022-02-23T00:00:00"/>
    <n v="269.96999999999997"/>
    <m/>
    <m/>
    <m/>
    <m/>
    <m/>
    <m/>
    <n v="3669.85"/>
    <s v="Normal"/>
  </r>
  <r>
    <s v="TRX0057"/>
    <x v="91"/>
    <s v="CUST023"/>
    <s v="Paul Baker"/>
    <s v="P009"/>
    <s v="Monitor"/>
    <x v="0"/>
    <n v="5"/>
    <n v="249.99"/>
    <s v="Credit Card"/>
    <x v="1"/>
    <x v="2"/>
    <d v="2022-11-16T00:00:00"/>
    <n v="1249.95"/>
    <m/>
    <m/>
    <m/>
    <m/>
    <m/>
    <m/>
    <n v="13809.790000000006"/>
    <s v="High Value"/>
  </r>
  <r>
    <s v="TRX0017"/>
    <x v="92"/>
    <s v="CUST026"/>
    <s v="Karen Hill"/>
    <s v="P007"/>
    <s v="Desk"/>
    <x v="2"/>
    <n v="3"/>
    <n v="299.99"/>
    <s v="Credit Card"/>
    <x v="1"/>
    <x v="2"/>
    <d v="2021-11-02T00:00:00"/>
    <n v="899.97"/>
    <m/>
    <m/>
    <m/>
    <m/>
    <m/>
    <m/>
    <n v="8009.7699999999995"/>
    <s v="Normal"/>
  </r>
  <r>
    <s v="TRX0060"/>
    <x v="93"/>
    <s v="CUST012"/>
    <s v="Patricia Moore"/>
    <s v="P010"/>
    <s v="Keyboard"/>
    <x v="0"/>
    <n v="3"/>
    <n v="89.99"/>
    <s v="Credit Card"/>
    <x v="2"/>
    <x v="1"/>
    <d v="2021-08-12T00:00:00"/>
    <n v="269.96999999999997"/>
    <m/>
    <m/>
    <m/>
    <m/>
    <m/>
    <m/>
    <n v="9799.73"/>
    <s v="Normal"/>
  </r>
  <r>
    <s v="TRX0109"/>
    <x v="94"/>
    <s v="CUST010"/>
    <s v="Maria Garcia"/>
    <s v="P008"/>
    <s v="Bookshelf"/>
    <x v="2"/>
    <n v="2"/>
    <n v="149.99"/>
    <s v="Credit Card"/>
    <x v="3"/>
    <x v="1"/>
    <d v="2022-10-14T00:00:00"/>
    <n v="299.98"/>
    <m/>
    <m/>
    <m/>
    <m/>
    <m/>
    <m/>
    <n v="1909.93"/>
    <s v="Normal"/>
  </r>
  <r>
    <s v="TRX0090"/>
    <x v="95"/>
    <s v="CUST020"/>
    <s v="Margaret Wright"/>
    <s v="P009"/>
    <s v="Monitor"/>
    <x v="0"/>
    <n v="1"/>
    <n v="249.99"/>
    <s v="Credit Card"/>
    <x v="2"/>
    <x v="1"/>
    <d v="2022-09-24T00:00:00"/>
    <n v="249.99"/>
    <m/>
    <m/>
    <m/>
    <m/>
    <m/>
    <m/>
    <n v="2099.88"/>
    <s v="Normal"/>
  </r>
  <r>
    <s v="TRX0035"/>
    <x v="96"/>
    <s v="CUST041"/>
    <s v="Peter Richardson"/>
    <s v="P003"/>
    <s v="Headphones"/>
    <x v="0"/>
    <n v="3"/>
    <n v="149.99"/>
    <s v="Cash"/>
    <x v="2"/>
    <x v="0"/>
    <d v="2022-07-27T00:00:00"/>
    <n v="449.97"/>
    <m/>
    <m/>
    <m/>
    <m/>
    <m/>
    <m/>
    <n v="5949.85"/>
    <s v="Normal"/>
  </r>
  <r>
    <s v="TRX0172"/>
    <x v="96"/>
    <s v="CUST023"/>
    <s v="Paul Baker"/>
    <s v="P005"/>
    <s v="Blender"/>
    <x v="1"/>
    <n v="5"/>
    <n v="59.99"/>
    <s v="PayPal"/>
    <x v="3"/>
    <x v="1"/>
    <d v="2022-05-13T00:00:00"/>
    <n v="299.95"/>
    <m/>
    <m/>
    <m/>
    <m/>
    <m/>
    <m/>
    <n v="13809.790000000006"/>
    <s v="High Value"/>
  </r>
  <r>
    <s v="TRX0076"/>
    <x v="96"/>
    <s v="CUST012"/>
    <s v="Patricia Moore"/>
    <s v="P009"/>
    <s v="Monitor"/>
    <x v="0"/>
    <n v="4"/>
    <n v="249.99"/>
    <s v="Credit Card"/>
    <x v="3"/>
    <x v="2"/>
    <d v="2022-04-08T00:00:00"/>
    <n v="999.96"/>
    <m/>
    <m/>
    <m/>
    <m/>
    <m/>
    <m/>
    <n v="9799.73"/>
    <s v="Normal"/>
  </r>
  <r>
    <s v="TRX0210"/>
    <x v="97"/>
    <s v="CUST004"/>
    <s v="Sarah Davis"/>
    <s v="P008"/>
    <s v="Bookshelf"/>
    <x v="2"/>
    <n v="5"/>
    <n v="149.99"/>
    <s v="PayPal"/>
    <x v="0"/>
    <x v="0"/>
    <d v="2022-12-06T00:00:00"/>
    <n v="749.95"/>
    <m/>
    <m/>
    <m/>
    <m/>
    <m/>
    <m/>
    <n v="5499.81"/>
    <s v="Normal"/>
  </r>
  <r>
    <s v="TRX0149"/>
    <x v="97"/>
    <s v="CUST027"/>
    <s v="George Adams"/>
    <s v="P005"/>
    <s v="Blender"/>
    <x v="1"/>
    <n v="3"/>
    <n v="59.99"/>
    <s v="Debit Card"/>
    <x v="1"/>
    <x v="2"/>
    <d v="2023-11-30T00:00:00"/>
    <n v="179.97"/>
    <m/>
    <m/>
    <m/>
    <m/>
    <m/>
    <m/>
    <n v="3779.93"/>
    <s v="Normal"/>
  </r>
  <r>
    <s v="TRX0073"/>
    <x v="98"/>
    <s v="CUST032"/>
    <s v="Sandra Phillips"/>
    <s v="P008"/>
    <s v="Bookshelf"/>
    <x v="2"/>
    <n v="5"/>
    <n v="149.99"/>
    <s v="Cash"/>
    <x v="2"/>
    <x v="0"/>
    <d v="2022-11-04T00:00:00"/>
    <n v="749.95"/>
    <m/>
    <m/>
    <m/>
    <m/>
    <m/>
    <m/>
    <n v="6349.8300000000008"/>
    <s v="Normal"/>
  </r>
  <r>
    <s v="TRX0033"/>
    <x v="98"/>
    <s v="CUST025"/>
    <s v="Mark Carter"/>
    <s v="P002"/>
    <s v="Smartphone"/>
    <x v="0"/>
    <n v="2"/>
    <n v="699.99"/>
    <s v="PayPal"/>
    <x v="3"/>
    <x v="2"/>
    <d v="2022-07-28T00:00:00"/>
    <n v="1399.98"/>
    <m/>
    <m/>
    <m/>
    <m/>
    <m/>
    <m/>
    <n v="15659.65"/>
    <s v="High Value"/>
  </r>
  <r>
    <s v="TRX0160"/>
    <x v="99"/>
    <s v="CUST029"/>
    <s v="Edward Mitchell"/>
    <s v="P006"/>
    <s v="Office Chair"/>
    <x v="2"/>
    <n v="4"/>
    <n v="199.99"/>
    <s v="Debit Card"/>
    <x v="0"/>
    <x v="1"/>
    <d v="2021-08-19T00:00:00"/>
    <n v="799.96"/>
    <m/>
    <m/>
    <m/>
    <m/>
    <m/>
    <m/>
    <n v="11919.77"/>
    <s v="High Value"/>
  </r>
  <r>
    <s v="TRX0145"/>
    <x v="100"/>
    <s v="CUST033"/>
    <s v="Frank Torres"/>
    <s v="P005"/>
    <s v="Blender"/>
    <x v="1"/>
    <n v="1"/>
    <n v="59.99"/>
    <s v="Debit Card"/>
    <x v="3"/>
    <x v="2"/>
    <d v="2021-12-30T00:00:00"/>
    <n v="59.99"/>
    <m/>
    <m/>
    <m/>
    <m/>
    <m/>
    <m/>
    <n v="1479.91"/>
    <s v="Normal"/>
  </r>
  <r>
    <s v="TRX0148"/>
    <x v="100"/>
    <s v="CUST004"/>
    <s v="Sarah Davis"/>
    <s v="P002"/>
    <s v="Smartphone"/>
    <x v="0"/>
    <n v="3"/>
    <n v="699.99"/>
    <s v="PayPal"/>
    <x v="3"/>
    <x v="2"/>
    <d v="2022-01-22T00:00:00"/>
    <n v="2099.9700000000003"/>
    <m/>
    <m/>
    <m/>
    <m/>
    <m/>
    <m/>
    <n v="5499.81"/>
    <s v="Normal"/>
  </r>
  <r>
    <s v="TRX0012"/>
    <x v="101"/>
    <s v="CUST045"/>
    <s v="Douglas Watson"/>
    <s v="P009"/>
    <s v="Monitor"/>
    <x v="0"/>
    <n v="5"/>
    <n v="249.99"/>
    <s v="Credit Card"/>
    <x v="2"/>
    <x v="0"/>
    <d v="2022-11-08T00:00:00"/>
    <n v="1249.95"/>
    <m/>
    <m/>
    <m/>
    <m/>
    <m/>
    <m/>
    <n v="4829.8900000000003"/>
    <s v="Normal"/>
  </r>
  <r>
    <s v="TRX0206"/>
    <x v="102"/>
    <s v="CUST014"/>
    <s v="Linda Martin"/>
    <s v="P008"/>
    <s v="Bookshelf"/>
    <x v="2"/>
    <n v="2"/>
    <n v="149.99"/>
    <s v="Cash"/>
    <x v="1"/>
    <x v="2"/>
    <d v="2023-06-24T00:00:00"/>
    <n v="299.98"/>
    <m/>
    <m/>
    <m/>
    <m/>
    <m/>
    <m/>
    <n v="1289.9000000000001"/>
    <s v="Normal"/>
  </r>
  <r>
    <s v="TRX0045"/>
    <x v="103"/>
    <s v="CUST021"/>
    <s v="Kevin Scott"/>
    <s v="P007"/>
    <s v="Desk"/>
    <x v="2"/>
    <n v="3"/>
    <n v="299.99"/>
    <s v="Cash"/>
    <x v="1"/>
    <x v="1"/>
    <d v="2022-04-08T00:00:00"/>
    <n v="899.97"/>
    <m/>
    <m/>
    <m/>
    <m/>
    <m/>
    <m/>
    <n v="3259.87"/>
    <s v="Normal"/>
  </r>
  <r>
    <s v="TRX0094"/>
    <x v="103"/>
    <s v="CUST017"/>
    <s v="Charles Allen"/>
    <s v="P009"/>
    <s v="Monitor"/>
    <x v="0"/>
    <n v="5"/>
    <n v="249.99"/>
    <s v="Cash"/>
    <x v="0"/>
    <x v="1"/>
    <d v="2021-10-16T00:00:00"/>
    <n v="1249.95"/>
    <m/>
    <m/>
    <m/>
    <m/>
    <m/>
    <m/>
    <n v="5089.7300000000005"/>
    <s v="Normal"/>
  </r>
  <r>
    <s v="TRX0133"/>
    <x v="103"/>
    <s v="CUST013"/>
    <s v="Joseph Jackson"/>
    <s v="P003"/>
    <s v="Headphones"/>
    <x v="0"/>
    <n v="2"/>
    <n v="149.99"/>
    <s v="Cash"/>
    <x v="1"/>
    <x v="1"/>
    <d v="2021-10-06T00:00:00"/>
    <n v="299.98"/>
    <m/>
    <m/>
    <m/>
    <m/>
    <m/>
    <m/>
    <n v="6949.84"/>
    <s v="Normal"/>
  </r>
  <r>
    <s v="TRX0201"/>
    <x v="103"/>
    <s v="CUST025"/>
    <s v="Mark Carter"/>
    <s v="P002"/>
    <s v="Smartphone"/>
    <x v="0"/>
    <n v="5"/>
    <n v="699.99"/>
    <s v="Debit Card"/>
    <x v="3"/>
    <x v="2"/>
    <d v="2023-01-18T00:00:00"/>
    <n v="3499.95"/>
    <m/>
    <m/>
    <m/>
    <m/>
    <m/>
    <m/>
    <n v="15659.65"/>
    <s v="High Value"/>
  </r>
  <r>
    <s v="TRX0137"/>
    <x v="104"/>
    <s v="CUST011"/>
    <s v="William White"/>
    <s v="P009"/>
    <s v="Monitor"/>
    <x v="0"/>
    <n v="4"/>
    <n v="249.99"/>
    <s v="PayPal"/>
    <x v="4"/>
    <x v="1"/>
    <d v="2023-06-21T00:00:00"/>
    <n v="999.96"/>
    <m/>
    <m/>
    <m/>
    <m/>
    <m/>
    <m/>
    <n v="4749.91"/>
    <s v="Normal"/>
  </r>
  <r>
    <s v="TRX0066"/>
    <x v="105"/>
    <s v="CUST024"/>
    <s v="Dorothy Nelson"/>
    <s v="P002"/>
    <s v="Smartphone"/>
    <x v="0"/>
    <n v="4"/>
    <n v="699.99"/>
    <s v="Credit Card"/>
    <x v="2"/>
    <x v="1"/>
    <d v="2022-05-22T00:00:00"/>
    <n v="2799.96"/>
    <m/>
    <m/>
    <m/>
    <m/>
    <m/>
    <m/>
    <n v="8269.7900000000009"/>
    <s v="Normal"/>
  </r>
  <r>
    <s v="TRX0180"/>
    <x v="106"/>
    <s v="CUST036"/>
    <s v="Nancy Collins"/>
    <s v="P009"/>
    <s v="Monitor"/>
    <x v="0"/>
    <n v="2"/>
    <n v="249.99"/>
    <s v="Credit Card"/>
    <x v="0"/>
    <x v="1"/>
    <d v="2021-07-19T00:00:00"/>
    <n v="499.98"/>
    <m/>
    <m/>
    <m/>
    <m/>
    <m/>
    <m/>
    <n v="4189.7700000000004"/>
    <s v="Normal"/>
  </r>
  <r>
    <s v="TRX0082"/>
    <x v="106"/>
    <s v="CUST005"/>
    <s v="James Johnson"/>
    <s v="P005"/>
    <s v="Blender"/>
    <x v="1"/>
    <n v="3"/>
    <n v="59.99"/>
    <s v="Cash"/>
    <x v="0"/>
    <x v="1"/>
    <d v="2023-05-06T00:00:00"/>
    <n v="179.97"/>
    <m/>
    <m/>
    <m/>
    <m/>
    <m/>
    <m/>
    <n v="179.97"/>
    <s v="Normal"/>
  </r>
  <r>
    <s v="TRX0036"/>
    <x v="106"/>
    <s v="CUST008"/>
    <s v="Jennifer Taylor"/>
    <s v="P004"/>
    <s v="Coffee Maker"/>
    <x v="1"/>
    <n v="4"/>
    <n v="79.989999999999995"/>
    <s v="Debit Card"/>
    <x v="4"/>
    <x v="2"/>
    <d v="2022-12-26T00:00:00"/>
    <n v="319.95999999999998"/>
    <m/>
    <m/>
    <m/>
    <m/>
    <m/>
    <m/>
    <n v="4739.8500000000004"/>
    <s v="Normal"/>
  </r>
  <r>
    <s v="TRX0198"/>
    <x v="107"/>
    <s v="CUST030"/>
    <s v="Helen Roberts"/>
    <s v="P004"/>
    <s v="Coffee Maker"/>
    <x v="1"/>
    <n v="3"/>
    <n v="79.989999999999995"/>
    <s v="Debit Card"/>
    <x v="4"/>
    <x v="2"/>
    <d v="2022-08-06T00:00:00"/>
    <n v="239.96999999999997"/>
    <m/>
    <m/>
    <m/>
    <m/>
    <m/>
    <m/>
    <n v="6459.79"/>
    <s v="Normal"/>
  </r>
  <r>
    <s v="TRX0032"/>
    <x v="108"/>
    <s v="CUST041"/>
    <s v="Peter Richardson"/>
    <s v="P001"/>
    <s v="Laptop"/>
    <x v="0"/>
    <n v="2"/>
    <n v="899.99"/>
    <s v="Cash"/>
    <x v="2"/>
    <x v="0"/>
    <d v="2021-07-29T00:00:00"/>
    <n v="1799.98"/>
    <m/>
    <m/>
    <m/>
    <m/>
    <m/>
    <m/>
    <n v="5949.85"/>
    <s v="Normal"/>
  </r>
  <r>
    <s v="TRX0081"/>
    <x v="109"/>
    <s v="CUST007"/>
    <s v="David Martinez"/>
    <s v="P008"/>
    <s v="Bookshelf"/>
    <x v="2"/>
    <n v="1"/>
    <n v="149.99"/>
    <s v="Debit Card"/>
    <x v="4"/>
    <x v="2"/>
    <d v="2023-10-01T00:00:00"/>
    <n v="149.99"/>
    <m/>
    <m/>
    <m/>
    <m/>
    <m/>
    <m/>
    <n v="1809.84"/>
    <s v="Normal"/>
  </r>
  <r>
    <s v="TRX0224"/>
    <x v="109"/>
    <s v="CUST031"/>
    <s v="Steven Turner"/>
    <s v="P007"/>
    <s v="Desk"/>
    <x v="2"/>
    <n v="2"/>
    <n v="299.99"/>
    <s v="Cash"/>
    <x v="4"/>
    <x v="1"/>
    <d v="2022-06-12T00:00:00"/>
    <n v="599.98"/>
    <m/>
    <m/>
    <m/>
    <m/>
    <m/>
    <m/>
    <n v="2649.83"/>
    <s v="Normal"/>
  </r>
  <r>
    <s v="TRX0028"/>
    <x v="110"/>
    <s v="CUST002"/>
    <s v="Emma Wilson"/>
    <s v="P005"/>
    <s v="Blender"/>
    <x v="1"/>
    <n v="2"/>
    <n v="59.99"/>
    <s v="Cash"/>
    <x v="3"/>
    <x v="0"/>
    <d v="2023-09-22T00:00:00"/>
    <n v="119.98"/>
    <m/>
    <m/>
    <m/>
    <m/>
    <m/>
    <m/>
    <n v="1229.8800000000001"/>
    <s v="Normal"/>
  </r>
  <r>
    <s v="TRX0183"/>
    <x v="111"/>
    <s v="CUST007"/>
    <s v="David Martinez"/>
    <s v="P010"/>
    <s v="Keyboard"/>
    <x v="0"/>
    <n v="1"/>
    <n v="89.99"/>
    <s v="Debit Card"/>
    <x v="0"/>
    <x v="2"/>
    <d v="2022-07-18T00:00:00"/>
    <n v="89.99"/>
    <m/>
    <m/>
    <m/>
    <m/>
    <m/>
    <m/>
    <n v="1809.84"/>
    <s v="Normal"/>
  </r>
  <r>
    <s v="TRX0163"/>
    <x v="111"/>
    <s v="CUST019"/>
    <s v="Daniel King"/>
    <s v="P001"/>
    <s v="Laptop"/>
    <x v="0"/>
    <n v="5"/>
    <n v="899.99"/>
    <s v="Debit Card"/>
    <x v="4"/>
    <x v="2"/>
    <d v="2022-03-05T00:00:00"/>
    <n v="4499.95"/>
    <m/>
    <m/>
    <m/>
    <m/>
    <m/>
    <m/>
    <n v="7309.7999999999993"/>
    <s v="Normal"/>
  </r>
  <r>
    <s v="TRX0046"/>
    <x v="112"/>
    <s v="CUST003"/>
    <s v="Michael Brown"/>
    <s v="P008"/>
    <s v="Bookshelf"/>
    <x v="2"/>
    <n v="2"/>
    <n v="149.99"/>
    <s v="Cash"/>
    <x v="1"/>
    <x v="0"/>
    <d v="2023-11-09T00:00:00"/>
    <n v="299.98"/>
    <m/>
    <m/>
    <m/>
    <m/>
    <m/>
    <m/>
    <n v="6169.7400000000007"/>
    <s v="Normal"/>
  </r>
  <r>
    <s v="TRX0164"/>
    <x v="113"/>
    <s v="CUST014"/>
    <s v="Linda Martin"/>
    <s v="P003"/>
    <s v="Headphones"/>
    <x v="0"/>
    <n v="2"/>
    <n v="149.99"/>
    <s v="Debit Card"/>
    <x v="3"/>
    <x v="1"/>
    <d v="2023-12-20T00:00:00"/>
    <n v="299.98"/>
    <m/>
    <m/>
    <m/>
    <m/>
    <m/>
    <m/>
    <n v="1289.9000000000001"/>
    <s v="Normal"/>
  </r>
  <r>
    <s v="TRX0008"/>
    <x v="113"/>
    <s v="CUST007"/>
    <s v="David Martinez"/>
    <s v="P008"/>
    <s v="Bookshelf"/>
    <x v="2"/>
    <n v="3"/>
    <n v="149.99"/>
    <s v="Debit Card"/>
    <x v="2"/>
    <x v="2"/>
    <d v="2021-11-22T00:00:00"/>
    <n v="449.97"/>
    <m/>
    <m/>
    <m/>
    <m/>
    <m/>
    <m/>
    <n v="1809.84"/>
    <s v="Normal"/>
  </r>
  <r>
    <s v="TRX0171"/>
    <x v="114"/>
    <s v="CUST021"/>
    <s v="Kevin Scott"/>
    <s v="P007"/>
    <s v="Desk"/>
    <x v="2"/>
    <n v="2"/>
    <n v="299.99"/>
    <s v="PayPal"/>
    <x v="1"/>
    <x v="0"/>
    <d v="2022-06-09T00:00:00"/>
    <n v="599.98"/>
    <m/>
    <m/>
    <m/>
    <m/>
    <m/>
    <m/>
    <n v="3259.87"/>
    <s v="Normal"/>
  </r>
  <r>
    <s v="TRX0143"/>
    <x v="115"/>
    <s v="CUST003"/>
    <s v="Michael Brown"/>
    <s v="P007"/>
    <s v="Desk"/>
    <x v="2"/>
    <n v="2"/>
    <n v="299.99"/>
    <s v="Cash"/>
    <x v="3"/>
    <x v="0"/>
    <d v="2022-07-29T00:00:00"/>
    <n v="599.98"/>
    <m/>
    <m/>
    <m/>
    <m/>
    <m/>
    <m/>
    <n v="6169.7400000000007"/>
    <s v="Normal"/>
  </r>
  <r>
    <s v="TRX0165"/>
    <x v="115"/>
    <s v="CUST030"/>
    <s v="Helen Roberts"/>
    <s v="P006"/>
    <s v="Office Chair"/>
    <x v="2"/>
    <n v="4"/>
    <n v="199.99"/>
    <s v="Credit Card"/>
    <x v="0"/>
    <x v="0"/>
    <d v="2021-11-23T00:00:00"/>
    <n v="799.96"/>
    <m/>
    <m/>
    <m/>
    <m/>
    <m/>
    <m/>
    <n v="6459.79"/>
    <s v="Normal"/>
  </r>
  <r>
    <s v="TRX0156"/>
    <x v="116"/>
    <s v="CUST009"/>
    <s v="Robert Thomas"/>
    <s v="P010"/>
    <s v="Keyboard"/>
    <x v="0"/>
    <n v="1"/>
    <n v="89.99"/>
    <s v="Credit Card"/>
    <x v="1"/>
    <x v="1"/>
    <d v="2022-01-30T00:00:00"/>
    <n v="89.99"/>
    <m/>
    <m/>
    <m/>
    <m/>
    <m/>
    <m/>
    <n v="3509.8999999999996"/>
    <s v="Normal"/>
  </r>
  <r>
    <s v="TRX0147"/>
    <x v="116"/>
    <s v="CUST036"/>
    <s v="Nancy Collins"/>
    <s v="P008"/>
    <s v="Bookshelf"/>
    <x v="2"/>
    <n v="5"/>
    <n v="149.99"/>
    <s v="Cash"/>
    <x v="0"/>
    <x v="1"/>
    <d v="2024-02-25T00:00:00"/>
    <n v="749.95"/>
    <m/>
    <m/>
    <m/>
    <m/>
    <m/>
    <m/>
    <n v="4189.7700000000004"/>
    <s v="Normal"/>
  </r>
  <r>
    <s v="TRX0207"/>
    <x v="117"/>
    <s v="CUST025"/>
    <s v="Mark Carter"/>
    <s v="P001"/>
    <s v="Laptop"/>
    <x v="0"/>
    <n v="1"/>
    <n v="899.99"/>
    <s v="PayPal"/>
    <x v="2"/>
    <x v="1"/>
    <d v="2023-05-04T00:00:00"/>
    <n v="899.99"/>
    <m/>
    <m/>
    <m/>
    <m/>
    <m/>
    <m/>
    <n v="15659.65"/>
    <s v="High Value"/>
  </r>
  <r>
    <s v="TRX0056"/>
    <x v="118"/>
    <s v="CUST019"/>
    <s v="Daniel King"/>
    <s v="P010"/>
    <s v="Keyboard"/>
    <x v="0"/>
    <n v="2"/>
    <n v="89.99"/>
    <s v="Credit Card"/>
    <x v="1"/>
    <x v="1"/>
    <d v="2022-01-03T00:00:00"/>
    <n v="179.98"/>
    <m/>
    <m/>
    <m/>
    <m/>
    <m/>
    <m/>
    <n v="7309.7999999999993"/>
    <s v="Normal"/>
  </r>
  <r>
    <s v="TRX0026"/>
    <x v="119"/>
    <s v="CUST037"/>
    <s v="Arthur Edwards"/>
    <s v="P001"/>
    <s v="Laptop"/>
    <x v="0"/>
    <n v="1"/>
    <n v="899.99"/>
    <s v="PayPal"/>
    <x v="2"/>
    <x v="2"/>
    <d v="2022-07-10T00:00:00"/>
    <n v="899.99"/>
    <m/>
    <m/>
    <m/>
    <m/>
    <m/>
    <m/>
    <n v="1559.94"/>
    <s v="Normal"/>
  </r>
  <r>
    <s v="TRX0237"/>
    <x v="120"/>
    <s v="CUST006"/>
    <s v="Lisa Anderson"/>
    <s v="P003"/>
    <s v="Headphones"/>
    <x v="0"/>
    <n v="5"/>
    <n v="149.99"/>
    <s v="PayPal"/>
    <x v="4"/>
    <x v="1"/>
    <d v="2022-09-20T00:00:00"/>
    <n v="749.95"/>
    <m/>
    <m/>
    <m/>
    <m/>
    <m/>
    <m/>
    <n v="2039.8000000000002"/>
    <s v="Normal"/>
  </r>
  <r>
    <s v="TRX0091"/>
    <x v="120"/>
    <s v="CUST003"/>
    <s v="Michael Brown"/>
    <s v="P007"/>
    <s v="Desk"/>
    <x v="2"/>
    <n v="3"/>
    <n v="299.99"/>
    <s v="Cash"/>
    <x v="1"/>
    <x v="2"/>
    <d v="2021-08-14T00:00:00"/>
    <n v="899.97"/>
    <m/>
    <m/>
    <m/>
    <m/>
    <m/>
    <m/>
    <n v="6169.7400000000007"/>
    <s v="Normal"/>
  </r>
  <r>
    <s v="TRX0125"/>
    <x v="121"/>
    <s v="CUST026"/>
    <s v="Karen Hill"/>
    <s v="P002"/>
    <s v="Smartphone"/>
    <x v="0"/>
    <n v="3"/>
    <n v="699.99"/>
    <s v="Credit Card"/>
    <x v="0"/>
    <x v="1"/>
    <d v="2023-06-28T00:00:00"/>
    <n v="2099.9700000000003"/>
    <m/>
    <m/>
    <m/>
    <m/>
    <m/>
    <m/>
    <n v="8009.7699999999995"/>
    <s v="Normal"/>
  </r>
  <r>
    <s v="TRX0223"/>
    <x v="122"/>
    <s v="CUST036"/>
    <s v="Nancy Collins"/>
    <s v="P006"/>
    <s v="Office Chair"/>
    <x v="2"/>
    <n v="5"/>
    <n v="199.99"/>
    <s v="PayPal"/>
    <x v="0"/>
    <x v="2"/>
    <d v="2022-03-13T00:00:00"/>
    <n v="999.95"/>
    <m/>
    <m/>
    <m/>
    <m/>
    <m/>
    <m/>
    <n v="4189.7700000000004"/>
    <s v="Normal"/>
  </r>
  <r>
    <s v="TRX0243"/>
    <x v="122"/>
    <s v="CUST048"/>
    <s v="Virginia Sanders"/>
    <s v="P009"/>
    <s v="Monitor"/>
    <x v="0"/>
    <n v="5"/>
    <n v="249.99"/>
    <s v="Credit Card"/>
    <x v="1"/>
    <x v="0"/>
    <d v="2024-02-08T00:00:00"/>
    <n v="1249.95"/>
    <m/>
    <m/>
    <m/>
    <m/>
    <m/>
    <m/>
    <n v="4789.7900000000009"/>
    <s v="Normal"/>
  </r>
  <r>
    <s v="TRX0084"/>
    <x v="123"/>
    <s v="CUST031"/>
    <s v="Steven Turner"/>
    <s v="P003"/>
    <s v="Headphones"/>
    <x v="0"/>
    <n v="4"/>
    <n v="149.99"/>
    <s v="Debit Card"/>
    <x v="4"/>
    <x v="2"/>
    <d v="2021-12-06T00:00:00"/>
    <n v="599.96"/>
    <m/>
    <m/>
    <m/>
    <m/>
    <m/>
    <m/>
    <n v="2649.83"/>
    <s v="Normal"/>
  </r>
  <r>
    <s v="TRX0238"/>
    <x v="123"/>
    <s v="CUST038"/>
    <s v="Michelle Rogers"/>
    <s v="P002"/>
    <s v="Smartphone"/>
    <x v="0"/>
    <n v="3"/>
    <n v="699.99"/>
    <s v="Cash"/>
    <x v="2"/>
    <x v="1"/>
    <d v="2022-02-10T00:00:00"/>
    <n v="2099.9700000000003"/>
    <m/>
    <m/>
    <m/>
    <m/>
    <m/>
    <m/>
    <n v="4199.9400000000005"/>
    <s v="Normal"/>
  </r>
  <r>
    <s v="TRX0102"/>
    <x v="124"/>
    <s v="CUST045"/>
    <s v="Douglas Watson"/>
    <s v="P004"/>
    <s v="Coffee Maker"/>
    <x v="1"/>
    <n v="1"/>
    <n v="79.989999999999995"/>
    <s v="Credit Card"/>
    <x v="1"/>
    <x v="0"/>
    <d v="2024-01-31T00:00:00"/>
    <n v="79.989999999999995"/>
    <m/>
    <m/>
    <m/>
    <m/>
    <m/>
    <m/>
    <n v="4829.8900000000003"/>
    <s v="Normal"/>
  </r>
  <r>
    <s v="TRX0022"/>
    <x v="124"/>
    <s v="CUST025"/>
    <s v="Mark Carter"/>
    <s v="P007"/>
    <s v="Desk"/>
    <x v="2"/>
    <n v="1"/>
    <n v="299.99"/>
    <s v="Credit Card"/>
    <x v="2"/>
    <x v="0"/>
    <d v="2021-08-28T00:00:00"/>
    <n v="299.99"/>
    <m/>
    <m/>
    <m/>
    <m/>
    <m/>
    <m/>
    <n v="15659.65"/>
    <s v="High Value"/>
  </r>
  <r>
    <s v="TRX0087"/>
    <x v="125"/>
    <s v="CUST028"/>
    <s v="Betty Campbell"/>
    <s v="P009"/>
    <s v="Monitor"/>
    <x v="0"/>
    <n v="4"/>
    <n v="249.99"/>
    <s v="Credit Card"/>
    <x v="2"/>
    <x v="1"/>
    <d v="2021-09-21T00:00:00"/>
    <n v="999.96"/>
    <m/>
    <m/>
    <m/>
    <m/>
    <m/>
    <m/>
    <n v="5649.84"/>
    <s v="Normal"/>
  </r>
  <r>
    <s v="TRX0107"/>
    <x v="125"/>
    <s v="CUST030"/>
    <s v="Helen Roberts"/>
    <s v="P003"/>
    <s v="Headphones"/>
    <x v="0"/>
    <n v="2"/>
    <n v="149.99"/>
    <s v="Cash"/>
    <x v="2"/>
    <x v="2"/>
    <d v="2022-12-18T00:00:00"/>
    <n v="299.98"/>
    <m/>
    <m/>
    <m/>
    <m/>
    <m/>
    <m/>
    <n v="6459.79"/>
    <s v="Normal"/>
  </r>
  <r>
    <s v="TRX0051"/>
    <x v="125"/>
    <s v="CUST032"/>
    <s v="Sandra Phillips"/>
    <s v="P007"/>
    <s v="Desk"/>
    <x v="2"/>
    <n v="3"/>
    <n v="299.99"/>
    <s v="Credit Card"/>
    <x v="1"/>
    <x v="0"/>
    <d v="2023-10-05T00:00:00"/>
    <n v="899.97"/>
    <m/>
    <m/>
    <m/>
    <m/>
    <m/>
    <m/>
    <n v="6349.8300000000008"/>
    <s v="Normal"/>
  </r>
  <r>
    <s v="TRX0106"/>
    <x v="126"/>
    <s v="CUST039"/>
    <s v="Lawrence Reed"/>
    <s v="P006"/>
    <s v="Office Chair"/>
    <x v="2"/>
    <n v="4"/>
    <n v="199.99"/>
    <s v="Debit Card"/>
    <x v="1"/>
    <x v="2"/>
    <d v="2021-12-14T00:00:00"/>
    <n v="799.96"/>
    <m/>
    <m/>
    <m/>
    <m/>
    <m/>
    <m/>
    <n v="6989.7699999999986"/>
    <s v="Normal"/>
  </r>
  <r>
    <s v="TRX0059"/>
    <x v="126"/>
    <s v="CUST016"/>
    <s v="Elizabeth Hall"/>
    <s v="P007"/>
    <s v="Desk"/>
    <x v="2"/>
    <n v="5"/>
    <n v="299.99"/>
    <s v="Debit Card"/>
    <x v="0"/>
    <x v="0"/>
    <d v="2021-08-23T00:00:00"/>
    <n v="1499.95"/>
    <m/>
    <m/>
    <m/>
    <m/>
    <m/>
    <m/>
    <n v="3649.8599999999997"/>
    <s v="Normal"/>
  </r>
  <r>
    <s v="TRX0072"/>
    <x v="126"/>
    <s v="CUST009"/>
    <s v="Robert Thomas"/>
    <s v="P008"/>
    <s v="Bookshelf"/>
    <x v="2"/>
    <n v="3"/>
    <n v="149.99"/>
    <s v="Credit Card"/>
    <x v="4"/>
    <x v="2"/>
    <d v="2021-07-18T00:00:00"/>
    <n v="449.97"/>
    <m/>
    <m/>
    <m/>
    <m/>
    <m/>
    <m/>
    <n v="3509.8999999999996"/>
    <s v="Normal"/>
  </r>
  <r>
    <s v="TRX0110"/>
    <x v="127"/>
    <s v="CUST006"/>
    <s v="Lisa Anderson"/>
    <s v="P005"/>
    <s v="Blender"/>
    <x v="1"/>
    <n v="5"/>
    <n v="59.99"/>
    <s v="Debit Card"/>
    <x v="4"/>
    <x v="0"/>
    <d v="2022-03-22T00:00:00"/>
    <n v="299.95"/>
    <m/>
    <m/>
    <m/>
    <m/>
    <m/>
    <m/>
    <n v="2039.8000000000002"/>
    <s v="Normal"/>
  </r>
  <r>
    <s v="TRX0126"/>
    <x v="128"/>
    <s v="CUST022"/>
    <s v="Susan Green"/>
    <s v="P005"/>
    <s v="Blender"/>
    <x v="1"/>
    <n v="4"/>
    <n v="59.99"/>
    <s v="Debit Card"/>
    <x v="4"/>
    <x v="2"/>
    <d v="2022-01-03T00:00:00"/>
    <n v="239.96"/>
    <m/>
    <m/>
    <m/>
    <m/>
    <m/>
    <m/>
    <n v="1979.89"/>
    <s v="Normal"/>
  </r>
  <r>
    <s v="TRX0159"/>
    <x v="129"/>
    <s v="CUST024"/>
    <s v="Dorothy Nelson"/>
    <s v="P009"/>
    <s v="Monitor"/>
    <x v="0"/>
    <n v="4"/>
    <n v="249.99"/>
    <s v="Debit Card"/>
    <x v="0"/>
    <x v="1"/>
    <d v="2023-10-18T00:00:00"/>
    <n v="999.96"/>
    <m/>
    <m/>
    <m/>
    <m/>
    <m/>
    <m/>
    <n v="8269.7900000000009"/>
    <s v="Normal"/>
  </r>
  <r>
    <s v="TRX0030"/>
    <x v="130"/>
    <s v="CUST011"/>
    <s v="William White"/>
    <s v="P001"/>
    <s v="Laptop"/>
    <x v="0"/>
    <n v="4"/>
    <n v="899.99"/>
    <s v="PayPal"/>
    <x v="0"/>
    <x v="0"/>
    <d v="2022-06-22T00:00:00"/>
    <n v="3599.96"/>
    <m/>
    <m/>
    <m/>
    <m/>
    <m/>
    <m/>
    <n v="4749.91"/>
    <s v="Normal"/>
  </r>
  <r>
    <s v="TRX0178"/>
    <x v="130"/>
    <s v="CUST025"/>
    <s v="Mark Carter"/>
    <s v="P007"/>
    <s v="Desk"/>
    <x v="2"/>
    <n v="3"/>
    <n v="299.99"/>
    <s v="Debit Card"/>
    <x v="3"/>
    <x v="2"/>
    <d v="2023-01-26T00:00:00"/>
    <n v="899.97"/>
    <m/>
    <m/>
    <m/>
    <m/>
    <m/>
    <m/>
    <n v="15659.65"/>
    <s v="High Value"/>
  </r>
  <r>
    <s v="TRX0188"/>
    <x v="130"/>
    <s v="CUST045"/>
    <s v="Douglas Watson"/>
    <s v="P002"/>
    <s v="Smartphone"/>
    <x v="0"/>
    <n v="2"/>
    <n v="699.99"/>
    <s v="Debit Card"/>
    <x v="0"/>
    <x v="1"/>
    <d v="2022-04-30T00:00:00"/>
    <n v="1399.98"/>
    <m/>
    <m/>
    <m/>
    <m/>
    <m/>
    <m/>
    <n v="4829.8900000000003"/>
    <s v="Normal"/>
  </r>
  <r>
    <s v="TRX0010"/>
    <x v="131"/>
    <s v="CUST026"/>
    <s v="Karen Hill"/>
    <s v="P002"/>
    <s v="Smartphone"/>
    <x v="0"/>
    <n v="4"/>
    <n v="699.99"/>
    <s v="Debit Card"/>
    <x v="3"/>
    <x v="1"/>
    <d v="2022-05-11T00:00:00"/>
    <n v="2799.96"/>
    <m/>
    <m/>
    <m/>
    <m/>
    <m/>
    <m/>
    <n v="8009.7699999999995"/>
    <s v="Normal"/>
  </r>
  <r>
    <s v="TRX0069"/>
    <x v="131"/>
    <s v="CUST029"/>
    <s v="Edward Mitchell"/>
    <s v="P010"/>
    <s v="Keyboard"/>
    <x v="0"/>
    <n v="2"/>
    <n v="89.99"/>
    <s v="Debit Card"/>
    <x v="1"/>
    <x v="0"/>
    <d v="2022-08-04T00:00:00"/>
    <n v="179.98"/>
    <m/>
    <m/>
    <m/>
    <m/>
    <m/>
    <m/>
    <n v="11919.77"/>
    <s v="High Value"/>
  </r>
  <r>
    <s v="TRX0166"/>
    <x v="131"/>
    <s v="CUST003"/>
    <s v="Michael Brown"/>
    <s v="P010"/>
    <s v="Keyboard"/>
    <x v="0"/>
    <n v="3"/>
    <n v="89.99"/>
    <s v="Debit Card"/>
    <x v="1"/>
    <x v="1"/>
    <d v="2024-01-16T00:00:00"/>
    <n v="269.96999999999997"/>
    <m/>
    <m/>
    <m/>
    <m/>
    <m/>
    <m/>
    <n v="6169.7400000000007"/>
    <s v="Normal"/>
  </r>
  <r>
    <s v="TRX0219"/>
    <x v="132"/>
    <s v="CUST037"/>
    <s v="Arthur Edwards"/>
    <s v="P005"/>
    <s v="Blender"/>
    <x v="1"/>
    <n v="1"/>
    <n v="59.99"/>
    <s v="Debit Card"/>
    <x v="0"/>
    <x v="2"/>
    <d v="2023-04-29T00:00:00"/>
    <n v="59.99"/>
    <m/>
    <m/>
    <m/>
    <m/>
    <m/>
    <m/>
    <n v="1559.94"/>
    <s v="Normal"/>
  </r>
  <r>
    <s v="TRX0024"/>
    <x v="133"/>
    <s v="CUST042"/>
    <s v="Ruth Brooks"/>
    <s v="P008"/>
    <s v="Bookshelf"/>
    <x v="2"/>
    <n v="3"/>
    <n v="149.99"/>
    <s v="Debit Card"/>
    <x v="2"/>
    <x v="1"/>
    <d v="2022-01-03T00:00:00"/>
    <n v="449.97"/>
    <m/>
    <m/>
    <m/>
    <m/>
    <m/>
    <m/>
    <n v="1749.92"/>
    <s v="Normal"/>
  </r>
  <r>
    <s v="TRX0105"/>
    <x v="133"/>
    <s v="CUST048"/>
    <s v="Virginia Sanders"/>
    <s v="P007"/>
    <s v="Desk"/>
    <x v="2"/>
    <n v="5"/>
    <n v="299.99"/>
    <s v="Credit Card"/>
    <x v="1"/>
    <x v="0"/>
    <d v="2023-02-02T00:00:00"/>
    <n v="1499.95"/>
    <m/>
    <m/>
    <m/>
    <m/>
    <m/>
    <m/>
    <n v="4789.7900000000009"/>
    <s v="Normal"/>
  </r>
  <r>
    <s v="TRX0011"/>
    <x v="134"/>
    <s v="CUST040"/>
    <s v="Sharon Butler"/>
    <s v="P005"/>
    <s v="Blender"/>
    <x v="1"/>
    <n v="5"/>
    <n v="59.99"/>
    <s v="Debit Card"/>
    <x v="0"/>
    <x v="2"/>
    <d v="2023-09-08T00:00:00"/>
    <n v="299.95"/>
    <m/>
    <m/>
    <m/>
    <m/>
    <m/>
    <m/>
    <n v="5619.87"/>
    <s v="Normal"/>
  </r>
  <r>
    <s v="TRX0187"/>
    <x v="135"/>
    <s v="CUST036"/>
    <s v="Nancy Collins"/>
    <s v="P004"/>
    <s v="Coffee Maker"/>
    <x v="1"/>
    <n v="3"/>
    <n v="79.989999999999995"/>
    <s v="Cash"/>
    <x v="4"/>
    <x v="1"/>
    <d v="2021-08-28T00:00:00"/>
    <n v="239.96999999999997"/>
    <m/>
    <m/>
    <m/>
    <m/>
    <m/>
    <m/>
    <n v="4189.7700000000004"/>
    <s v="Normal"/>
  </r>
  <r>
    <s v="TRX0089"/>
    <x v="136"/>
    <s v="CUST021"/>
    <s v="Kevin Scott"/>
    <s v="P006"/>
    <s v="Office Chair"/>
    <x v="2"/>
    <n v="3"/>
    <n v="199.99"/>
    <s v="Cash"/>
    <x v="0"/>
    <x v="0"/>
    <d v="2022-06-23T00:00:00"/>
    <n v="599.97"/>
    <m/>
    <m/>
    <m/>
    <m/>
    <m/>
    <m/>
    <n v="3259.87"/>
    <s v="Normal"/>
  </r>
  <r>
    <s v="TRX0196"/>
    <x v="136"/>
    <s v="CUST023"/>
    <s v="Paul Baker"/>
    <s v="P010"/>
    <s v="Keyboard"/>
    <x v="0"/>
    <n v="2"/>
    <n v="89.99"/>
    <s v="PayPal"/>
    <x v="0"/>
    <x v="0"/>
    <d v="2023-11-27T00:00:00"/>
    <n v="179.98"/>
    <m/>
    <m/>
    <m/>
    <m/>
    <m/>
    <m/>
    <n v="13809.790000000006"/>
    <s v="High Value"/>
  </r>
  <r>
    <s v="TRX0118"/>
    <x v="137"/>
    <s v="CUST015"/>
    <s v="Richard Lee"/>
    <s v="P008"/>
    <s v="Bookshelf"/>
    <x v="2"/>
    <n v="2"/>
    <n v="149.99"/>
    <s v="Cash"/>
    <x v="1"/>
    <x v="1"/>
    <d v="2022-06-16T00:00:00"/>
    <n v="299.98"/>
    <m/>
    <m/>
    <m/>
    <m/>
    <m/>
    <m/>
    <n v="739.93000000000006"/>
    <s v="Normal"/>
  </r>
  <r>
    <s v="TRX0179"/>
    <x v="138"/>
    <s v="CUST029"/>
    <s v="Edward Mitchell"/>
    <s v="P002"/>
    <s v="Smartphone"/>
    <x v="0"/>
    <n v="5"/>
    <n v="699.99"/>
    <s v="PayPal"/>
    <x v="1"/>
    <x v="1"/>
    <d v="2024-03-01T00:00:00"/>
    <n v="3499.95"/>
    <m/>
    <m/>
    <m/>
    <m/>
    <m/>
    <m/>
    <n v="11919.77"/>
    <s v="High Value"/>
  </r>
  <r>
    <s v="TRX0168"/>
    <x v="138"/>
    <s v="CUST003"/>
    <s v="Michael Brown"/>
    <s v="P008"/>
    <s v="Bookshelf"/>
    <x v="2"/>
    <n v="3"/>
    <n v="149.99"/>
    <s v="PayPal"/>
    <x v="0"/>
    <x v="2"/>
    <d v="2022-03-13T00:00:00"/>
    <n v="449.97"/>
    <m/>
    <m/>
    <m/>
    <m/>
    <m/>
    <m/>
    <n v="6169.7400000000007"/>
    <s v="Normal"/>
  </r>
  <r>
    <s v="TRX0214"/>
    <x v="139"/>
    <s v="CUST018"/>
    <s v="Barbara Young"/>
    <s v="P001"/>
    <s v="Laptop"/>
    <x v="0"/>
    <n v="3"/>
    <n v="899.99"/>
    <s v="Cash"/>
    <x v="4"/>
    <x v="2"/>
    <d v="2022-02-21T00:00:00"/>
    <n v="2699.9700000000003"/>
    <m/>
    <m/>
    <m/>
    <m/>
    <m/>
    <m/>
    <n v="10649.8"/>
    <s v="High Value"/>
  </r>
  <r>
    <s v="TRX0221"/>
    <x v="139"/>
    <s v="CUST033"/>
    <s v="Frank Torres"/>
    <s v="P006"/>
    <s v="Office Chair"/>
    <x v="2"/>
    <n v="3"/>
    <n v="199.99"/>
    <s v="Cash"/>
    <x v="3"/>
    <x v="1"/>
    <d v="2022-09-19T00:00:00"/>
    <n v="599.97"/>
    <m/>
    <m/>
    <m/>
    <m/>
    <m/>
    <m/>
    <n v="1479.91"/>
    <s v="Normal"/>
  </r>
  <r>
    <s v="TRX0083"/>
    <x v="140"/>
    <s v="CUST017"/>
    <s v="Charles Allen"/>
    <s v="P007"/>
    <s v="Desk"/>
    <x v="2"/>
    <n v="5"/>
    <n v="299.99"/>
    <s v="Cash"/>
    <x v="3"/>
    <x v="2"/>
    <d v="2023-08-04T00:00:00"/>
    <n v="1499.95"/>
    <m/>
    <m/>
    <m/>
    <m/>
    <m/>
    <m/>
    <n v="5089.7300000000005"/>
    <s v="Normal"/>
  </r>
  <r>
    <s v="TRX0151"/>
    <x v="140"/>
    <s v="CUST040"/>
    <s v="Sharon Butler"/>
    <s v="P002"/>
    <s v="Smartphone"/>
    <x v="0"/>
    <n v="1"/>
    <n v="699.99"/>
    <s v="PayPal"/>
    <x v="3"/>
    <x v="0"/>
    <d v="2023-01-08T00:00:00"/>
    <n v="699.99"/>
    <m/>
    <m/>
    <m/>
    <m/>
    <m/>
    <m/>
    <n v="5619.87"/>
    <s v="Normal"/>
  </r>
  <r>
    <s v="TRX0047"/>
    <x v="141"/>
    <s v="CUST042"/>
    <s v="Ruth Brooks"/>
    <s v="P002"/>
    <s v="Smartphone"/>
    <x v="0"/>
    <n v="1"/>
    <n v="699.99"/>
    <s v="Cash"/>
    <x v="2"/>
    <x v="1"/>
    <d v="2022-01-22T00:00:00"/>
    <n v="699.99"/>
    <m/>
    <m/>
    <m/>
    <m/>
    <m/>
    <m/>
    <n v="1749.92"/>
    <s v="Normal"/>
  </r>
  <r>
    <s v="TRX0200"/>
    <x v="141"/>
    <s v="CUST037"/>
    <s v="Arthur Edwards"/>
    <s v="P008"/>
    <s v="Bookshelf"/>
    <x v="2"/>
    <n v="4"/>
    <n v="149.99"/>
    <s v="PayPal"/>
    <x v="2"/>
    <x v="1"/>
    <d v="2021-08-04T00:00:00"/>
    <n v="599.96"/>
    <m/>
    <m/>
    <m/>
    <m/>
    <m/>
    <m/>
    <n v="1559.94"/>
    <s v="Normal"/>
  </r>
  <r>
    <s v="TRX0062"/>
    <x v="141"/>
    <s v="CUST016"/>
    <s v="Elizabeth Hall"/>
    <s v="P010"/>
    <s v="Keyboard"/>
    <x v="0"/>
    <n v="5"/>
    <n v="89.99"/>
    <s v="PayPal"/>
    <x v="3"/>
    <x v="1"/>
    <d v="2023-08-02T00:00:00"/>
    <n v="449.95"/>
    <m/>
    <m/>
    <m/>
    <m/>
    <m/>
    <m/>
    <n v="3649.8599999999997"/>
    <s v="Normal"/>
  </r>
  <r>
    <s v="TRX0182"/>
    <x v="142"/>
    <s v="CUST031"/>
    <s v="Steven Turner"/>
    <s v="P006"/>
    <s v="Office Chair"/>
    <x v="2"/>
    <n v="2"/>
    <n v="199.99"/>
    <s v="Cash"/>
    <x v="0"/>
    <x v="1"/>
    <d v="2022-01-12T00:00:00"/>
    <n v="399.98"/>
    <m/>
    <m/>
    <m/>
    <m/>
    <m/>
    <m/>
    <n v="2649.83"/>
    <s v="Normal"/>
  </r>
  <r>
    <s v="TRX0229"/>
    <x v="143"/>
    <s v="CUST015"/>
    <s v="Richard Lee"/>
    <s v="P005"/>
    <s v="Blender"/>
    <x v="1"/>
    <n v="4"/>
    <n v="59.99"/>
    <s v="Cash"/>
    <x v="3"/>
    <x v="2"/>
    <d v="2023-05-24T00:00:00"/>
    <n v="239.96"/>
    <m/>
    <m/>
    <m/>
    <m/>
    <m/>
    <m/>
    <n v="739.93000000000006"/>
    <s v="Normal"/>
  </r>
  <r>
    <s v="TRX0048"/>
    <x v="143"/>
    <s v="CUST048"/>
    <s v="Virginia Sanders"/>
    <s v="P007"/>
    <s v="Desk"/>
    <x v="2"/>
    <n v="2"/>
    <n v="299.99"/>
    <s v="PayPal"/>
    <x v="1"/>
    <x v="0"/>
    <d v="2022-01-15T00:00:00"/>
    <n v="599.98"/>
    <m/>
    <m/>
    <m/>
    <m/>
    <m/>
    <m/>
    <n v="4789.7900000000009"/>
    <s v="Normal"/>
  </r>
  <r>
    <s v="TRX0227"/>
    <x v="144"/>
    <s v="CUST017"/>
    <s v="Charles Allen"/>
    <s v="P008"/>
    <s v="Bookshelf"/>
    <x v="2"/>
    <n v="2"/>
    <n v="149.99"/>
    <s v="Cash"/>
    <x v="0"/>
    <x v="0"/>
    <d v="2023-05-22T00:00:00"/>
    <n v="299.98"/>
    <m/>
    <m/>
    <m/>
    <m/>
    <m/>
    <m/>
    <n v="5089.7300000000005"/>
    <s v="Normal"/>
  </r>
  <r>
    <s v="TRX0226"/>
    <x v="145"/>
    <s v="CUST039"/>
    <s v="Lawrence Reed"/>
    <s v="P002"/>
    <s v="Smartphone"/>
    <x v="0"/>
    <n v="5"/>
    <n v="699.99"/>
    <s v="Debit Card"/>
    <x v="4"/>
    <x v="1"/>
    <d v="2023-08-23T00:00:00"/>
    <n v="3499.95"/>
    <m/>
    <m/>
    <m/>
    <m/>
    <m/>
    <m/>
    <n v="6989.7699999999986"/>
    <s v="Normal"/>
  </r>
  <r>
    <s v="TRX0053"/>
    <x v="146"/>
    <s v="CUST043"/>
    <s v="Dennis Gray"/>
    <s v="P005"/>
    <s v="Blender"/>
    <x v="1"/>
    <n v="5"/>
    <n v="59.99"/>
    <s v="Cash"/>
    <x v="3"/>
    <x v="1"/>
    <d v="2023-12-31T00:00:00"/>
    <n v="299.95"/>
    <m/>
    <m/>
    <m/>
    <m/>
    <m/>
    <m/>
    <n v="479.91999999999996"/>
    <s v="Normal"/>
  </r>
  <r>
    <s v="TRX0233"/>
    <x v="147"/>
    <s v="CUST023"/>
    <s v="Paul Baker"/>
    <s v="P010"/>
    <s v="Keyboard"/>
    <x v="0"/>
    <n v="2"/>
    <n v="89.99"/>
    <s v="Credit Card"/>
    <x v="3"/>
    <x v="1"/>
    <d v="2024-01-04T00:00:00"/>
    <n v="179.98"/>
    <m/>
    <m/>
    <m/>
    <m/>
    <m/>
    <m/>
    <n v="13809.790000000006"/>
    <s v="High Value"/>
  </r>
  <r>
    <s v="TRX0175"/>
    <x v="147"/>
    <s v="CUST030"/>
    <s v="Helen Roberts"/>
    <s v="P009"/>
    <s v="Monitor"/>
    <x v="0"/>
    <n v="5"/>
    <n v="249.99"/>
    <s v="Cash"/>
    <x v="4"/>
    <x v="2"/>
    <d v="2021-12-10T00:00:00"/>
    <n v="1249.95"/>
    <m/>
    <m/>
    <m/>
    <m/>
    <m/>
    <m/>
    <n v="6459.79"/>
    <s v="Normal"/>
  </r>
  <r>
    <s v="TRX0186"/>
    <x v="148"/>
    <s v="CUST039"/>
    <s v="Lawrence Reed"/>
    <s v="P008"/>
    <s v="Bookshelf"/>
    <x v="2"/>
    <n v="2"/>
    <n v="149.99"/>
    <s v="PayPal"/>
    <x v="0"/>
    <x v="1"/>
    <d v="2022-03-12T00:00:00"/>
    <n v="299.98"/>
    <m/>
    <m/>
    <m/>
    <m/>
    <m/>
    <m/>
    <n v="6989.7699999999986"/>
    <s v="Normal"/>
  </r>
  <r>
    <s v="TRX0016"/>
    <x v="148"/>
    <s v="CUST035"/>
    <s v="Harry Morgan"/>
    <s v="P001"/>
    <s v="Laptop"/>
    <x v="0"/>
    <n v="5"/>
    <n v="899.99"/>
    <s v="PayPal"/>
    <x v="4"/>
    <x v="1"/>
    <d v="2024-04-07T00:00:00"/>
    <n v="4499.95"/>
    <m/>
    <m/>
    <m/>
    <m/>
    <m/>
    <m/>
    <n v="5519.8899999999994"/>
    <s v="Normal"/>
  </r>
  <r>
    <s v="TRX0199"/>
    <x v="148"/>
    <s v="CUST017"/>
    <s v="Charles Allen"/>
    <s v="P008"/>
    <s v="Bookshelf"/>
    <x v="2"/>
    <n v="4"/>
    <n v="149.99"/>
    <s v="Cash"/>
    <x v="0"/>
    <x v="2"/>
    <d v="2023-12-03T00:00:00"/>
    <n v="599.96"/>
    <m/>
    <m/>
    <m/>
    <m/>
    <m/>
    <m/>
    <n v="5089.7300000000005"/>
    <s v="Normal"/>
  </r>
  <r>
    <s v="TRX0038"/>
    <x v="149"/>
    <s v="CUST035"/>
    <s v="Harry Morgan"/>
    <s v="P009"/>
    <s v="Monitor"/>
    <x v="0"/>
    <n v="1"/>
    <n v="249.99"/>
    <s v="Cash"/>
    <x v="2"/>
    <x v="2"/>
    <d v="2023-07-10T00:00:00"/>
    <n v="249.99"/>
    <m/>
    <m/>
    <m/>
    <m/>
    <m/>
    <m/>
    <n v="5519.8899999999994"/>
    <s v="Normal"/>
  </r>
  <r>
    <s v="TRX0014"/>
    <x v="150"/>
    <s v="CUST033"/>
    <s v="Frank Torres"/>
    <s v="P005"/>
    <s v="Blender"/>
    <x v="1"/>
    <n v="2"/>
    <n v="59.99"/>
    <s v="Credit Card"/>
    <x v="3"/>
    <x v="0"/>
    <d v="2023-09-24T00:00:00"/>
    <n v="119.98"/>
    <m/>
    <m/>
    <m/>
    <m/>
    <m/>
    <m/>
    <n v="1479.91"/>
    <s v="Normal"/>
  </r>
  <r>
    <s v="TRX0003"/>
    <x v="151"/>
    <s v="CUST002"/>
    <s v="Emma Wilson"/>
    <s v="P008"/>
    <s v="Bookshelf"/>
    <x v="2"/>
    <n v="2"/>
    <n v="149.99"/>
    <s v="Cash"/>
    <x v="3"/>
    <x v="1"/>
    <d v="2023-11-03T00:00:00"/>
    <n v="299.98"/>
    <m/>
    <m/>
    <m/>
    <m/>
    <m/>
    <m/>
    <n v="1229.8800000000001"/>
    <s v="Normal"/>
  </r>
  <r>
    <s v="TRX0124"/>
    <x v="151"/>
    <s v="CUST040"/>
    <s v="Sharon Butler"/>
    <s v="P001"/>
    <s v="Laptop"/>
    <x v="0"/>
    <n v="3"/>
    <n v="899.99"/>
    <s v="Debit Card"/>
    <x v="2"/>
    <x v="1"/>
    <d v="2022-11-11T00:00:00"/>
    <n v="2699.9700000000003"/>
    <m/>
    <m/>
    <m/>
    <m/>
    <m/>
    <m/>
    <n v="5619.87"/>
    <s v="Normal"/>
  </r>
  <r>
    <s v="TRX0013"/>
    <x v="151"/>
    <s v="CUST024"/>
    <s v="Dorothy Nelson"/>
    <s v="P001"/>
    <s v="Laptop"/>
    <x v="0"/>
    <n v="3"/>
    <n v="899.99"/>
    <s v="PayPal"/>
    <x v="2"/>
    <x v="0"/>
    <d v="2023-02-18T00:00:00"/>
    <n v="2699.9700000000003"/>
    <m/>
    <m/>
    <m/>
    <m/>
    <m/>
    <m/>
    <n v="8269.7900000000009"/>
    <s v="Normal"/>
  </r>
  <r>
    <s v="TRX0019"/>
    <x v="152"/>
    <s v="CUST023"/>
    <s v="Paul Baker"/>
    <s v="P007"/>
    <s v="Desk"/>
    <x v="2"/>
    <n v="3"/>
    <n v="299.99"/>
    <s v="Credit Card"/>
    <x v="3"/>
    <x v="1"/>
    <d v="2023-11-04T00:00:00"/>
    <n v="899.97"/>
    <m/>
    <m/>
    <m/>
    <m/>
    <m/>
    <m/>
    <n v="13809.790000000006"/>
    <s v="High Value"/>
  </r>
  <r>
    <s v="TRX0050"/>
    <x v="153"/>
    <s v="CUST001"/>
    <s v="John Smith"/>
    <s v="P008"/>
    <s v="Bookshelf"/>
    <x v="2"/>
    <n v="4"/>
    <n v="149.99"/>
    <s v="PayPal"/>
    <x v="3"/>
    <x v="2"/>
    <d v="2021-12-30T00:00:00"/>
    <n v="599.96"/>
    <m/>
    <m/>
    <m/>
    <m/>
    <m/>
    <m/>
    <n v="599.96"/>
    <s v="Normal"/>
  </r>
  <r>
    <s v="TRX0152"/>
    <x v="154"/>
    <s v="CUST044"/>
    <s v="Cynthia Price"/>
    <s v="P004"/>
    <s v="Coffee Maker"/>
    <x v="1"/>
    <n v="4"/>
    <n v="79.989999999999995"/>
    <s v="Credit Card"/>
    <x v="0"/>
    <x v="0"/>
    <d v="2023-12-28T00:00:00"/>
    <n v="319.95999999999998"/>
    <m/>
    <m/>
    <m/>
    <m/>
    <m/>
    <m/>
    <n v="3769.8300000000004"/>
    <s v="Normal"/>
  </r>
  <r>
    <s v="TRX0213"/>
    <x v="155"/>
    <s v="CUST020"/>
    <s v="Margaret Wright"/>
    <s v="P010"/>
    <s v="Keyboard"/>
    <x v="0"/>
    <n v="5"/>
    <n v="89.99"/>
    <s v="PayPal"/>
    <x v="1"/>
    <x v="0"/>
    <d v="2022-05-23T00:00:00"/>
    <n v="449.95"/>
    <m/>
    <m/>
    <m/>
    <m/>
    <m/>
    <m/>
    <n v="2099.88"/>
    <s v="Normal"/>
  </r>
  <r>
    <s v="TRX0197"/>
    <x v="156"/>
    <s v="CUST048"/>
    <s v="Virginia Sanders"/>
    <s v="P008"/>
    <s v="Bookshelf"/>
    <x v="2"/>
    <n v="3"/>
    <n v="149.99"/>
    <s v="PayPal"/>
    <x v="0"/>
    <x v="2"/>
    <d v="2023-09-02T00:00:00"/>
    <n v="449.97"/>
    <m/>
    <m/>
    <m/>
    <m/>
    <m/>
    <m/>
    <n v="4789.7900000000009"/>
    <s v="Normal"/>
  </r>
  <r>
    <s v="TRX0250"/>
    <x v="156"/>
    <s v="CUST026"/>
    <s v="Karen Hill"/>
    <s v="P010"/>
    <s v="Keyboard"/>
    <x v="0"/>
    <n v="2"/>
    <n v="89.99"/>
    <s v="Debit Card"/>
    <x v="3"/>
    <x v="1"/>
    <d v="2021-11-22T00:00:00"/>
    <n v="179.98"/>
    <m/>
    <m/>
    <m/>
    <m/>
    <m/>
    <m/>
    <n v="8009.7699999999995"/>
    <s v="Normal"/>
  </r>
  <r>
    <s v="TRX0068"/>
    <x v="157"/>
    <s v="CUST044"/>
    <s v="Cynthia Price"/>
    <s v="P002"/>
    <s v="Smartphone"/>
    <x v="0"/>
    <n v="2"/>
    <n v="699.99"/>
    <s v="PayPal"/>
    <x v="2"/>
    <x v="2"/>
    <d v="2022-02-26T00:00:00"/>
    <n v="1399.98"/>
    <m/>
    <m/>
    <m/>
    <m/>
    <m/>
    <m/>
    <n v="3769.8300000000004"/>
    <s v="Normal"/>
  </r>
  <r>
    <s v="TRX0144"/>
    <x v="158"/>
    <s v="CUST029"/>
    <s v="Edward Mitchell"/>
    <s v="P001"/>
    <s v="Laptop"/>
    <x v="0"/>
    <n v="3"/>
    <n v="899.99"/>
    <s v="Cash"/>
    <x v="0"/>
    <x v="2"/>
    <d v="2023-01-27T00:00:00"/>
    <n v="2699.9700000000003"/>
    <m/>
    <m/>
    <m/>
    <m/>
    <m/>
    <m/>
    <n v="11919.77"/>
    <s v="High Value"/>
  </r>
  <r>
    <s v="TRX0039"/>
    <x v="159"/>
    <s v="CUST048"/>
    <s v="Virginia Sanders"/>
    <s v="P004"/>
    <s v="Coffee Maker"/>
    <x v="1"/>
    <n v="3"/>
    <n v="79.989999999999995"/>
    <s v="Credit Card"/>
    <x v="2"/>
    <x v="0"/>
    <d v="2021-11-11T00:00:00"/>
    <n v="239.96999999999997"/>
    <m/>
    <m/>
    <m/>
    <m/>
    <m/>
    <m/>
    <n v="4789.7900000000009"/>
    <s v="Normal"/>
  </r>
  <r>
    <s v="TRX0116"/>
    <x v="160"/>
    <s v="CUST009"/>
    <s v="Robert Thomas"/>
    <s v="P010"/>
    <s v="Keyboard"/>
    <x v="0"/>
    <n v="1"/>
    <n v="89.99"/>
    <s v="Debit Card"/>
    <x v="4"/>
    <x v="0"/>
    <d v="2024-02-24T00:00:00"/>
    <n v="89.99"/>
    <m/>
    <m/>
    <m/>
    <m/>
    <m/>
    <m/>
    <n v="3509.8999999999996"/>
    <s v="Normal"/>
  </r>
  <r>
    <s v="TRX0120"/>
    <x v="161"/>
    <s v="CUST045"/>
    <s v="Douglas Watson"/>
    <s v="P002"/>
    <s v="Smartphone"/>
    <x v="0"/>
    <n v="3"/>
    <n v="699.99"/>
    <s v="PayPal"/>
    <x v="2"/>
    <x v="0"/>
    <d v="2022-12-14T00:00:00"/>
    <n v="2099.9700000000003"/>
    <m/>
    <m/>
    <m/>
    <m/>
    <m/>
    <m/>
    <n v="4829.8900000000003"/>
    <s v="Normal"/>
  </r>
  <r>
    <s v="TRX0103"/>
    <x v="161"/>
    <s v="CUST039"/>
    <s v="Lawrence Reed"/>
    <s v="P010"/>
    <s v="Keyboard"/>
    <x v="0"/>
    <n v="2"/>
    <n v="89.99"/>
    <s v="Debit Card"/>
    <x v="4"/>
    <x v="0"/>
    <d v="2023-06-11T00:00:00"/>
    <n v="179.98"/>
    <m/>
    <m/>
    <m/>
    <m/>
    <m/>
    <m/>
    <n v="6989.7699999999986"/>
    <s v="Norm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TRX0155"/>
    <x v="0"/>
    <s v="CUST023"/>
    <s v="Paul Baker"/>
    <s v="P009"/>
    <s v="Monitor"/>
    <x v="0"/>
    <n v="3"/>
    <n v="249.99"/>
    <s v="Cash"/>
    <s v="Central"/>
    <s v="Basic"/>
    <x v="0"/>
    <x v="0"/>
    <d v="2026-02-17T00:00:00"/>
    <x v="0"/>
    <n v="4"/>
    <d v="2024-04-30T00:00:00"/>
    <s v="FILTER FUNCTION IS NOT WORKING IN MY EXCEL"/>
    <d v="2026-02-17T15:49:51"/>
    <n v="13809.790000000006"/>
    <s v="High Value"/>
  </r>
  <r>
    <s v="TRX0023"/>
    <x v="1"/>
    <s v="CUST013"/>
    <s v="Joseph Jackson"/>
    <s v="P009"/>
    <s v="Monitor"/>
    <x v="0"/>
    <n v="3"/>
    <n v="249.99"/>
    <s v="Credit Card"/>
    <s v="Central"/>
    <s v="Premium"/>
    <x v="1"/>
    <x v="0"/>
    <m/>
    <x v="1"/>
    <m/>
    <m/>
    <m/>
    <m/>
    <n v="6949.84"/>
    <s v="Normal"/>
  </r>
  <r>
    <s v="TRX0139"/>
    <x v="2"/>
    <s v="CUST021"/>
    <s v="Kevin Scott"/>
    <s v="P005"/>
    <s v="Blender"/>
    <x v="1"/>
    <n v="3"/>
    <n v="59.99"/>
    <s v="PayPal"/>
    <s v="South"/>
    <s v="Standard"/>
    <x v="2"/>
    <x v="1"/>
    <m/>
    <x v="1"/>
    <m/>
    <m/>
    <m/>
    <m/>
    <n v="3259.87"/>
    <s v="Normal"/>
  </r>
  <r>
    <s v="TRX0043"/>
    <x v="3"/>
    <s v="CUST046"/>
    <s v="Kathleen Bennett"/>
    <s v="P005"/>
    <s v="Blender"/>
    <x v="1"/>
    <n v="3"/>
    <n v="59.99"/>
    <s v="Cash"/>
    <s v="North"/>
    <s v="Premium"/>
    <x v="3"/>
    <x v="1"/>
    <m/>
    <x v="1"/>
    <m/>
    <m/>
    <m/>
    <m/>
    <n v="4309.8100000000004"/>
    <s v="Normal"/>
  </r>
  <r>
    <s v="TRX0212"/>
    <x v="3"/>
    <s v="CUST003"/>
    <s v="Michael Brown"/>
    <s v="P008"/>
    <s v="Bookshelf"/>
    <x v="2"/>
    <n v="5"/>
    <n v="149.99"/>
    <s v="Credit Card"/>
    <s v="North"/>
    <s v="Premium"/>
    <x v="4"/>
    <x v="2"/>
    <m/>
    <x v="1"/>
    <m/>
    <m/>
    <m/>
    <m/>
    <n v="6169.7400000000007"/>
    <s v="Normal"/>
  </r>
  <r>
    <s v="TRX0092"/>
    <x v="4"/>
    <s v="CUST024"/>
    <s v="Dorothy Nelson"/>
    <s v="P005"/>
    <s v="Blender"/>
    <x v="1"/>
    <n v="2"/>
    <n v="59.99"/>
    <s v="Cash"/>
    <s v="West"/>
    <s v="Standard"/>
    <x v="5"/>
    <x v="3"/>
    <m/>
    <x v="1"/>
    <m/>
    <m/>
    <m/>
    <m/>
    <n v="8269.7900000000009"/>
    <s v="Normal"/>
  </r>
  <r>
    <s v="TRX0193"/>
    <x v="4"/>
    <s v="CUST024"/>
    <s v="Dorothy Nelson"/>
    <s v="P003"/>
    <s v="Headphones"/>
    <x v="0"/>
    <n v="5"/>
    <n v="149.99"/>
    <s v="Credit Card"/>
    <s v="Central"/>
    <s v="Standard"/>
    <x v="6"/>
    <x v="2"/>
    <m/>
    <x v="1"/>
    <m/>
    <m/>
    <m/>
    <m/>
    <n v="8269.7900000000009"/>
    <s v="Normal"/>
  </r>
  <r>
    <s v="TRX0240"/>
    <x v="4"/>
    <s v="CUST017"/>
    <s v="Charles Allen"/>
    <s v="P005"/>
    <s v="Blender"/>
    <x v="1"/>
    <n v="3"/>
    <n v="59.99"/>
    <s v="Debit Card"/>
    <s v="South"/>
    <s v="Basic"/>
    <x v="7"/>
    <x v="1"/>
    <m/>
    <x v="1"/>
    <m/>
    <m/>
    <m/>
    <m/>
    <n v="5089.7300000000005"/>
    <s v="Normal"/>
  </r>
  <r>
    <s v="TRX0135"/>
    <x v="5"/>
    <s v="CUST009"/>
    <s v="Robert Thomas"/>
    <s v="P001"/>
    <s v="Laptop"/>
    <x v="0"/>
    <n v="3"/>
    <n v="899.99"/>
    <s v="PayPal"/>
    <s v="East"/>
    <s v="Standard"/>
    <x v="8"/>
    <x v="4"/>
    <m/>
    <x v="1"/>
    <m/>
    <m/>
    <m/>
    <m/>
    <n v="3509.8999999999996"/>
    <s v="Normal"/>
  </r>
  <r>
    <s v="TRX0185"/>
    <x v="6"/>
    <s v="CUST026"/>
    <s v="Karen Hill"/>
    <s v="P005"/>
    <s v="Blender"/>
    <x v="1"/>
    <n v="3"/>
    <n v="59.99"/>
    <s v="Cash"/>
    <s v="West"/>
    <s v="Premium"/>
    <x v="9"/>
    <x v="1"/>
    <m/>
    <x v="1"/>
    <m/>
    <m/>
    <m/>
    <m/>
    <n v="8009.7699999999995"/>
    <s v="Normal"/>
  </r>
  <r>
    <s v="TRX0138"/>
    <x v="6"/>
    <s v="CUST022"/>
    <s v="Susan Green"/>
    <s v="P008"/>
    <s v="Bookshelf"/>
    <x v="2"/>
    <n v="1"/>
    <n v="149.99"/>
    <s v="Credit Card"/>
    <s v="West"/>
    <s v="Standard"/>
    <x v="10"/>
    <x v="5"/>
    <m/>
    <x v="1"/>
    <m/>
    <m/>
    <m/>
    <m/>
    <n v="1979.89"/>
    <s v="Normal"/>
  </r>
  <r>
    <s v="TRX0209"/>
    <x v="6"/>
    <s v="CUST046"/>
    <s v="Kathleen Bennett"/>
    <s v="P008"/>
    <s v="Bookshelf"/>
    <x v="2"/>
    <n v="5"/>
    <n v="149.99"/>
    <s v="Debit Card"/>
    <s v="North"/>
    <s v="Basic"/>
    <x v="11"/>
    <x v="2"/>
    <m/>
    <x v="1"/>
    <m/>
    <m/>
    <m/>
    <m/>
    <n v="4309.8100000000004"/>
    <s v="Normal"/>
  </r>
  <r>
    <s v="TRX0246"/>
    <x v="6"/>
    <s v="CUST041"/>
    <s v="Peter Richardson"/>
    <s v="P008"/>
    <s v="Bookshelf"/>
    <x v="2"/>
    <n v="3"/>
    <n v="149.99"/>
    <s v="Cash"/>
    <s v="North"/>
    <s v="Premium"/>
    <x v="12"/>
    <x v="6"/>
    <m/>
    <x v="1"/>
    <m/>
    <m/>
    <m/>
    <m/>
    <n v="5949.85"/>
    <s v="Normal"/>
  </r>
  <r>
    <s v="TRX0067"/>
    <x v="7"/>
    <s v="CUST043"/>
    <s v="Dennis Gray"/>
    <s v="P005"/>
    <s v="Blender"/>
    <x v="1"/>
    <n v="3"/>
    <n v="59.99"/>
    <s v="Credit Card"/>
    <s v="North"/>
    <s v="Standard"/>
    <x v="13"/>
    <x v="1"/>
    <m/>
    <x v="1"/>
    <m/>
    <m/>
    <m/>
    <m/>
    <n v="479.91999999999996"/>
    <s v="Normal"/>
  </r>
  <r>
    <s v="TRX0191"/>
    <x v="7"/>
    <s v="CUST038"/>
    <s v="Michelle Rogers"/>
    <s v="P002"/>
    <s v="Smartphone"/>
    <x v="0"/>
    <n v="3"/>
    <n v="699.99"/>
    <s v="Credit Card"/>
    <s v="West"/>
    <s v="Basic"/>
    <x v="14"/>
    <x v="7"/>
    <m/>
    <x v="1"/>
    <m/>
    <m/>
    <m/>
    <m/>
    <n v="4199.9400000000005"/>
    <s v="Normal"/>
  </r>
  <r>
    <s v="TRX0230"/>
    <x v="7"/>
    <s v="CUST027"/>
    <s v="George Adams"/>
    <s v="P001"/>
    <s v="Laptop"/>
    <x v="0"/>
    <n v="1"/>
    <n v="899.99"/>
    <s v="Debit Card"/>
    <s v="North"/>
    <s v="Standard"/>
    <x v="15"/>
    <x v="8"/>
    <m/>
    <x v="1"/>
    <m/>
    <m/>
    <m/>
    <m/>
    <n v="3779.93"/>
    <s v="Normal"/>
  </r>
  <r>
    <s v="TRX0049"/>
    <x v="8"/>
    <s v="CUST025"/>
    <s v="Mark Carter"/>
    <s v="P008"/>
    <s v="Bookshelf"/>
    <x v="2"/>
    <n v="4"/>
    <n v="149.99"/>
    <s v="Debit Card"/>
    <s v="North"/>
    <s v="Premium"/>
    <x v="16"/>
    <x v="9"/>
    <m/>
    <x v="1"/>
    <m/>
    <m/>
    <m/>
    <m/>
    <n v="15659.65"/>
    <s v="High Value"/>
  </r>
  <r>
    <s v="TRX0134"/>
    <x v="8"/>
    <s v="CUST010"/>
    <s v="Maria Garcia"/>
    <s v="P002"/>
    <s v="Smartphone"/>
    <x v="0"/>
    <n v="2"/>
    <n v="699.99"/>
    <s v="Cash"/>
    <s v="North"/>
    <s v="Basic"/>
    <x v="17"/>
    <x v="10"/>
    <m/>
    <x v="1"/>
    <m/>
    <m/>
    <m/>
    <m/>
    <n v="1909.93"/>
    <s v="Normal"/>
  </r>
  <r>
    <s v="TRX0122"/>
    <x v="8"/>
    <s v="CUST025"/>
    <s v="Mark Carter"/>
    <s v="P001"/>
    <s v="Laptop"/>
    <x v="0"/>
    <n v="4"/>
    <n v="899.99"/>
    <s v="Credit Card"/>
    <s v="West"/>
    <s v="Standard"/>
    <x v="18"/>
    <x v="11"/>
    <m/>
    <x v="1"/>
    <m/>
    <m/>
    <m/>
    <m/>
    <n v="15659.65"/>
    <s v="High Value"/>
  </r>
  <r>
    <s v="TRX0222"/>
    <x v="8"/>
    <s v="CUST048"/>
    <s v="Virginia Sanders"/>
    <s v="P009"/>
    <s v="Monitor"/>
    <x v="0"/>
    <n v="3"/>
    <n v="249.99"/>
    <s v="Credit Card"/>
    <s v="North"/>
    <s v="Premium"/>
    <x v="19"/>
    <x v="0"/>
    <m/>
    <x v="1"/>
    <m/>
    <m/>
    <m/>
    <m/>
    <n v="4789.7900000000009"/>
    <s v="Normal"/>
  </r>
  <r>
    <s v="TRX0231"/>
    <x v="9"/>
    <s v="CUST018"/>
    <s v="Barbara Young"/>
    <s v="P002"/>
    <s v="Smartphone"/>
    <x v="0"/>
    <n v="5"/>
    <n v="699.99"/>
    <s v="Cash"/>
    <s v="West"/>
    <s v="Basic"/>
    <x v="20"/>
    <x v="12"/>
    <m/>
    <x v="1"/>
    <m/>
    <m/>
    <m/>
    <m/>
    <n v="10649.8"/>
    <s v="High Value"/>
  </r>
  <r>
    <s v="TRX0239"/>
    <x v="10"/>
    <s v="CUST012"/>
    <s v="Patricia Moore"/>
    <s v="P002"/>
    <s v="Smartphone"/>
    <x v="0"/>
    <n v="4"/>
    <n v="699.99"/>
    <s v="Cash"/>
    <s v="East"/>
    <s v="Standard"/>
    <x v="21"/>
    <x v="13"/>
    <m/>
    <x v="1"/>
    <m/>
    <m/>
    <m/>
    <m/>
    <n v="9799.73"/>
    <s v="Normal"/>
  </r>
  <r>
    <s v="TRX0204"/>
    <x v="11"/>
    <s v="CUST044"/>
    <s v="Cynthia Price"/>
    <s v="P009"/>
    <s v="Monitor"/>
    <x v="0"/>
    <n v="4"/>
    <n v="249.99"/>
    <s v="PayPal"/>
    <s v="North"/>
    <s v="Standard"/>
    <x v="22"/>
    <x v="14"/>
    <m/>
    <x v="1"/>
    <m/>
    <m/>
    <m/>
    <m/>
    <n v="3769.8300000000004"/>
    <s v="Normal"/>
  </r>
  <r>
    <s v="TRX0242"/>
    <x v="12"/>
    <s v="CUST025"/>
    <s v="Mark Carter"/>
    <s v="P007"/>
    <s v="Desk"/>
    <x v="2"/>
    <n v="4"/>
    <n v="299.99"/>
    <s v="Cash"/>
    <s v="West"/>
    <s v="Premium"/>
    <x v="23"/>
    <x v="15"/>
    <m/>
    <x v="1"/>
    <m/>
    <m/>
    <m/>
    <m/>
    <n v="15659.65"/>
    <s v="High Value"/>
  </r>
  <r>
    <s v="TRX0071"/>
    <x v="13"/>
    <s v="CUST036"/>
    <s v="Nancy Collins"/>
    <s v="P009"/>
    <s v="Monitor"/>
    <x v="0"/>
    <n v="5"/>
    <n v="249.99"/>
    <s v="Credit Card"/>
    <s v="West"/>
    <s v="Standard"/>
    <x v="24"/>
    <x v="16"/>
    <m/>
    <x v="1"/>
    <m/>
    <m/>
    <m/>
    <m/>
    <n v="4189.7700000000004"/>
    <s v="Normal"/>
  </r>
  <r>
    <s v="TRX0040"/>
    <x v="14"/>
    <s v="CUST022"/>
    <s v="Susan Green"/>
    <s v="P007"/>
    <s v="Desk"/>
    <x v="2"/>
    <n v="5"/>
    <n v="299.99"/>
    <s v="PayPal"/>
    <s v="East"/>
    <s v="Basic"/>
    <x v="25"/>
    <x v="17"/>
    <m/>
    <x v="1"/>
    <m/>
    <m/>
    <m/>
    <m/>
    <n v="1979.89"/>
    <s v="Normal"/>
  </r>
  <r>
    <s v="TRX0235"/>
    <x v="14"/>
    <s v="CUST014"/>
    <s v="Linda Martin"/>
    <s v="P004"/>
    <s v="Coffee Maker"/>
    <x v="1"/>
    <n v="3"/>
    <n v="79.989999999999995"/>
    <s v="PayPal"/>
    <s v="East"/>
    <s v="Premium"/>
    <x v="26"/>
    <x v="18"/>
    <m/>
    <x v="1"/>
    <m/>
    <m/>
    <m/>
    <m/>
    <n v="1289.9000000000001"/>
    <s v="Normal"/>
  </r>
  <r>
    <s v="TRX0004"/>
    <x v="14"/>
    <s v="CUST012"/>
    <s v="Patricia Moore"/>
    <s v="P010"/>
    <s v="Keyboard"/>
    <x v="0"/>
    <n v="5"/>
    <n v="89.99"/>
    <s v="Cash"/>
    <s v="North"/>
    <s v="Premium"/>
    <x v="27"/>
    <x v="19"/>
    <m/>
    <x v="1"/>
    <m/>
    <m/>
    <m/>
    <m/>
    <n v="9799.73"/>
    <s v="Normal"/>
  </r>
  <r>
    <s v="TRX0063"/>
    <x v="15"/>
    <s v="CUST030"/>
    <s v="Helen Roberts"/>
    <s v="P005"/>
    <s v="Blender"/>
    <x v="1"/>
    <n v="2"/>
    <n v="59.99"/>
    <s v="Debit Card"/>
    <s v="Central"/>
    <s v="Standard"/>
    <x v="28"/>
    <x v="3"/>
    <m/>
    <x v="1"/>
    <m/>
    <m/>
    <m/>
    <m/>
    <n v="6459.79"/>
    <s v="Normal"/>
  </r>
  <r>
    <s v="TRX0241"/>
    <x v="16"/>
    <s v="CUST029"/>
    <s v="Edward Mitchell"/>
    <s v="P005"/>
    <s v="Blender"/>
    <x v="1"/>
    <n v="4"/>
    <n v="59.99"/>
    <s v="Debit Card"/>
    <s v="East"/>
    <s v="Standard"/>
    <x v="29"/>
    <x v="20"/>
    <m/>
    <x v="1"/>
    <m/>
    <m/>
    <m/>
    <m/>
    <n v="11919.77"/>
    <s v="High Value"/>
  </r>
  <r>
    <s v="TRX0029"/>
    <x v="16"/>
    <s v="CUST017"/>
    <s v="Charles Allen"/>
    <s v="P006"/>
    <s v="Office Chair"/>
    <x v="2"/>
    <n v="5"/>
    <n v="199.99"/>
    <s v="Cash"/>
    <s v="South"/>
    <s v="Standard"/>
    <x v="30"/>
    <x v="21"/>
    <m/>
    <x v="1"/>
    <m/>
    <m/>
    <m/>
    <m/>
    <n v="5089.7300000000005"/>
    <s v="Normal"/>
  </r>
  <r>
    <s v="TRX0194"/>
    <x v="17"/>
    <s v="CUST006"/>
    <s v="Lisa Anderson"/>
    <s v="P008"/>
    <s v="Bookshelf"/>
    <x v="2"/>
    <n v="2"/>
    <n v="149.99"/>
    <s v="Credit Card"/>
    <s v="West"/>
    <s v="Basic"/>
    <x v="31"/>
    <x v="22"/>
    <m/>
    <x v="1"/>
    <m/>
    <m/>
    <m/>
    <m/>
    <n v="2039.8000000000002"/>
    <s v="Normal"/>
  </r>
  <r>
    <s v="TRX0130"/>
    <x v="18"/>
    <s v="CUST002"/>
    <s v="Emma Wilson"/>
    <s v="P008"/>
    <s v="Bookshelf"/>
    <x v="2"/>
    <n v="3"/>
    <n v="149.99"/>
    <s v="Credit Card"/>
    <s v="West"/>
    <s v="Premium"/>
    <x v="32"/>
    <x v="6"/>
    <m/>
    <x v="1"/>
    <m/>
    <m/>
    <m/>
    <m/>
    <n v="1229.8800000000001"/>
    <s v="Normal"/>
  </r>
  <r>
    <s v="TRX0041"/>
    <x v="19"/>
    <s v="CUST021"/>
    <s v="Kevin Scott"/>
    <s v="P001"/>
    <s v="Laptop"/>
    <x v="0"/>
    <n v="1"/>
    <n v="899.99"/>
    <s v="Credit Card"/>
    <s v="West"/>
    <s v="Premium"/>
    <x v="33"/>
    <x v="8"/>
    <m/>
    <x v="1"/>
    <m/>
    <m/>
    <m/>
    <m/>
    <n v="3259.87"/>
    <s v="Normal"/>
  </r>
  <r>
    <s v="TRX0232"/>
    <x v="20"/>
    <s v="CUST012"/>
    <s v="Patricia Moore"/>
    <s v="P007"/>
    <s v="Desk"/>
    <x v="2"/>
    <n v="3"/>
    <n v="299.99"/>
    <s v="Credit Card"/>
    <s v="East"/>
    <s v="Basic"/>
    <x v="34"/>
    <x v="23"/>
    <m/>
    <x v="1"/>
    <m/>
    <m/>
    <m/>
    <m/>
    <n v="9799.73"/>
    <s v="Normal"/>
  </r>
  <r>
    <s v="TRX0021"/>
    <x v="21"/>
    <s v="CUST006"/>
    <s v="Lisa Anderson"/>
    <s v="P004"/>
    <s v="Coffee Maker"/>
    <x v="1"/>
    <n v="3"/>
    <n v="79.989999999999995"/>
    <s v="Cash"/>
    <s v="South"/>
    <s v="Basic"/>
    <x v="35"/>
    <x v="18"/>
    <m/>
    <x v="1"/>
    <m/>
    <m/>
    <m/>
    <m/>
    <n v="2039.8000000000002"/>
    <s v="Normal"/>
  </r>
  <r>
    <s v="TRX0245"/>
    <x v="22"/>
    <s v="CUST031"/>
    <s v="Steven Turner"/>
    <s v="P006"/>
    <s v="Office Chair"/>
    <x v="2"/>
    <n v="3"/>
    <n v="199.99"/>
    <s v="Credit Card"/>
    <s v="North"/>
    <s v="Premium"/>
    <x v="36"/>
    <x v="24"/>
    <m/>
    <x v="1"/>
    <m/>
    <m/>
    <m/>
    <m/>
    <n v="2649.83"/>
    <s v="Normal"/>
  </r>
  <r>
    <s v="TRX0015"/>
    <x v="23"/>
    <s v="CUST008"/>
    <s v="Jennifer Taylor"/>
    <s v="P002"/>
    <s v="Smartphone"/>
    <x v="0"/>
    <n v="5"/>
    <n v="699.99"/>
    <s v="PayPal"/>
    <s v="West"/>
    <s v="Standard"/>
    <x v="37"/>
    <x v="12"/>
    <m/>
    <x v="1"/>
    <m/>
    <m/>
    <m/>
    <m/>
    <n v="4739.8500000000004"/>
    <s v="Normal"/>
  </r>
  <r>
    <s v="TRX0202"/>
    <x v="24"/>
    <s v="CUST035"/>
    <s v="Harry Morgan"/>
    <s v="P010"/>
    <s v="Keyboard"/>
    <x v="0"/>
    <n v="3"/>
    <n v="89.99"/>
    <s v="PayPal"/>
    <s v="Central"/>
    <s v="Premium"/>
    <x v="38"/>
    <x v="25"/>
    <m/>
    <x v="1"/>
    <m/>
    <m/>
    <m/>
    <m/>
    <n v="5519.8899999999994"/>
    <s v="Normal"/>
  </r>
  <r>
    <s v="TRX0042"/>
    <x v="25"/>
    <s v="CUST019"/>
    <s v="Daniel King"/>
    <s v="P004"/>
    <s v="Coffee Maker"/>
    <x v="1"/>
    <n v="1"/>
    <n v="79.989999999999995"/>
    <s v="Cash"/>
    <s v="North"/>
    <s v="Standard"/>
    <x v="39"/>
    <x v="26"/>
    <m/>
    <x v="1"/>
    <m/>
    <m/>
    <m/>
    <m/>
    <n v="7309.7999999999993"/>
    <s v="Normal"/>
  </r>
  <r>
    <s v="TRX0128"/>
    <x v="26"/>
    <s v="CUST040"/>
    <s v="Sharon Butler"/>
    <s v="P005"/>
    <s v="Blender"/>
    <x v="1"/>
    <n v="2"/>
    <n v="59.99"/>
    <s v="Cash"/>
    <s v="West"/>
    <s v="Basic"/>
    <x v="40"/>
    <x v="3"/>
    <m/>
    <x v="1"/>
    <m/>
    <m/>
    <m/>
    <m/>
    <n v="5619.87"/>
    <s v="Normal"/>
  </r>
  <r>
    <s v="TRX0117"/>
    <x v="26"/>
    <s v="CUST017"/>
    <s v="Charles Allen"/>
    <s v="P010"/>
    <s v="Keyboard"/>
    <x v="0"/>
    <n v="1"/>
    <n v="89.99"/>
    <s v="Cash"/>
    <s v="North"/>
    <s v="Basic"/>
    <x v="41"/>
    <x v="27"/>
    <m/>
    <x v="1"/>
    <m/>
    <m/>
    <m/>
    <m/>
    <n v="5089.7300000000005"/>
    <s v="Normal"/>
  </r>
  <r>
    <s v="TRX0208"/>
    <x v="27"/>
    <s v="CUST004"/>
    <s v="Sarah Davis"/>
    <s v="P010"/>
    <s v="Keyboard"/>
    <x v="0"/>
    <n v="5"/>
    <n v="89.99"/>
    <s v="Credit Card"/>
    <s v="East"/>
    <s v="Standard"/>
    <x v="42"/>
    <x v="19"/>
    <m/>
    <x v="1"/>
    <m/>
    <m/>
    <m/>
    <m/>
    <n v="5499.81"/>
    <s v="Normal"/>
  </r>
  <r>
    <s v="TRX0234"/>
    <x v="28"/>
    <s v="CUST013"/>
    <s v="Joseph Jackson"/>
    <s v="P009"/>
    <s v="Monitor"/>
    <x v="0"/>
    <n v="5"/>
    <n v="249.99"/>
    <s v="Credit Card"/>
    <s v="East"/>
    <s v="Standard"/>
    <x v="43"/>
    <x v="16"/>
    <m/>
    <x v="1"/>
    <m/>
    <m/>
    <m/>
    <m/>
    <n v="6949.84"/>
    <s v="Normal"/>
  </r>
  <r>
    <s v="TRX0121"/>
    <x v="28"/>
    <s v="CUST028"/>
    <s v="Betty Campbell"/>
    <s v="P010"/>
    <s v="Keyboard"/>
    <x v="0"/>
    <n v="1"/>
    <n v="89.99"/>
    <s v="Credit Card"/>
    <s v="South"/>
    <s v="Standard"/>
    <x v="44"/>
    <x v="27"/>
    <m/>
    <x v="1"/>
    <m/>
    <m/>
    <m/>
    <m/>
    <n v="5649.84"/>
    <s v="Normal"/>
  </r>
  <r>
    <s v="TRX0220"/>
    <x v="29"/>
    <s v="CUST003"/>
    <s v="Michael Brown"/>
    <s v="P008"/>
    <s v="Bookshelf"/>
    <x v="2"/>
    <n v="2"/>
    <n v="149.99"/>
    <s v="Cash"/>
    <s v="East"/>
    <s v="Premium"/>
    <x v="45"/>
    <x v="22"/>
    <m/>
    <x v="1"/>
    <m/>
    <m/>
    <m/>
    <m/>
    <n v="6169.7400000000007"/>
    <s v="Normal"/>
  </r>
  <r>
    <s v="TRX0093"/>
    <x v="30"/>
    <s v="CUST050"/>
    <s v="Julie Foster"/>
    <s v="P005"/>
    <s v="Blender"/>
    <x v="1"/>
    <n v="4"/>
    <n v="59.99"/>
    <s v="Cash"/>
    <s v="East"/>
    <s v="Standard"/>
    <x v="46"/>
    <x v="20"/>
    <m/>
    <x v="1"/>
    <m/>
    <m/>
    <m/>
    <m/>
    <n v="239.96"/>
    <s v="Normal"/>
  </r>
  <r>
    <s v="TRX0088"/>
    <x v="31"/>
    <s v="CUST006"/>
    <s v="Lisa Anderson"/>
    <s v="P010"/>
    <s v="Keyboard"/>
    <x v="0"/>
    <n v="5"/>
    <n v="89.99"/>
    <s v="Cash"/>
    <s v="Central"/>
    <s v="Premium"/>
    <x v="47"/>
    <x v="19"/>
    <m/>
    <x v="1"/>
    <m/>
    <m/>
    <m/>
    <m/>
    <n v="2039.8000000000002"/>
    <s v="Normal"/>
  </r>
  <r>
    <s v="TRX0115"/>
    <x v="32"/>
    <s v="CUST012"/>
    <s v="Patricia Moore"/>
    <s v="P010"/>
    <s v="Keyboard"/>
    <x v="0"/>
    <n v="2"/>
    <n v="89.99"/>
    <s v="Credit Card"/>
    <s v="South"/>
    <s v="Premium"/>
    <x v="48"/>
    <x v="28"/>
    <m/>
    <x v="1"/>
    <m/>
    <m/>
    <m/>
    <m/>
    <n v="9799.73"/>
    <s v="Normal"/>
  </r>
  <r>
    <s v="TRX0154"/>
    <x v="32"/>
    <s v="CUST023"/>
    <s v="Paul Baker"/>
    <s v="P001"/>
    <s v="Laptop"/>
    <x v="0"/>
    <n v="11.111234569273"/>
    <n v="899.99"/>
    <s v="Credit Card"/>
    <s v="South"/>
    <s v="Standard"/>
    <x v="49"/>
    <x v="29"/>
    <m/>
    <x v="1"/>
    <m/>
    <m/>
    <m/>
    <m/>
    <n v="13809.790000000006"/>
    <s v="High Value"/>
  </r>
  <r>
    <s v="TRX0044"/>
    <x v="32"/>
    <s v="CUST029"/>
    <s v="Edward Mitchell"/>
    <s v="P001"/>
    <s v="Laptop"/>
    <x v="0"/>
    <n v="5"/>
    <n v="899.99"/>
    <s v="PayPal"/>
    <s v="East"/>
    <s v="Premium"/>
    <x v="50"/>
    <x v="30"/>
    <m/>
    <x v="1"/>
    <m/>
    <m/>
    <m/>
    <m/>
    <n v="11919.77"/>
    <s v="High Value"/>
  </r>
  <r>
    <s v="TRX0061"/>
    <x v="33"/>
    <s v="CUST028"/>
    <s v="Betty Campbell"/>
    <s v="P005"/>
    <s v="Blender"/>
    <x v="1"/>
    <n v="1"/>
    <n v="59.99"/>
    <s v="Debit Card"/>
    <s v="West"/>
    <s v="Premium"/>
    <x v="51"/>
    <x v="31"/>
    <m/>
    <x v="1"/>
    <m/>
    <m/>
    <m/>
    <m/>
    <n v="5649.84"/>
    <s v="Normal"/>
  </r>
  <r>
    <s v="TRX0150"/>
    <x v="33"/>
    <s v="CUST008"/>
    <s v="Jennifer Taylor"/>
    <s v="P007"/>
    <s v="Desk"/>
    <x v="2"/>
    <n v="2"/>
    <n v="299.99"/>
    <s v="Debit Card"/>
    <s v="East"/>
    <s v="Standard"/>
    <x v="52"/>
    <x v="32"/>
    <m/>
    <x v="1"/>
    <m/>
    <m/>
    <m/>
    <m/>
    <n v="4739.8500000000004"/>
    <s v="Normal"/>
  </r>
  <r>
    <s v="TRX0025"/>
    <x v="34"/>
    <s v="CUST049"/>
    <s v="Raymond Ross"/>
    <s v="P010"/>
    <s v="Keyboard"/>
    <x v="0"/>
    <n v="4"/>
    <n v="89.99"/>
    <s v="Debit Card"/>
    <s v="South"/>
    <s v="Basic"/>
    <x v="53"/>
    <x v="33"/>
    <m/>
    <x v="1"/>
    <m/>
    <m/>
    <m/>
    <m/>
    <n v="3669.85"/>
    <s v="Normal"/>
  </r>
  <r>
    <s v="TRX0078"/>
    <x v="35"/>
    <s v="CUST021"/>
    <s v="Kevin Scott"/>
    <s v="P004"/>
    <s v="Coffee Maker"/>
    <x v="1"/>
    <n v="1"/>
    <n v="79.989999999999995"/>
    <s v="PayPal"/>
    <s v="Central"/>
    <s v="Premium"/>
    <x v="54"/>
    <x v="26"/>
    <m/>
    <x v="1"/>
    <m/>
    <m/>
    <m/>
    <m/>
    <n v="3259.87"/>
    <s v="Normal"/>
  </r>
  <r>
    <s v="TRX0007"/>
    <x v="35"/>
    <s v="CUST009"/>
    <s v="Robert Thomas"/>
    <s v="P010"/>
    <s v="Keyboard"/>
    <x v="0"/>
    <n v="2"/>
    <n v="89.99"/>
    <s v="Cash"/>
    <s v="West"/>
    <s v="Basic"/>
    <x v="55"/>
    <x v="28"/>
    <m/>
    <x v="1"/>
    <m/>
    <m/>
    <m/>
    <m/>
    <n v="3509.8999999999996"/>
    <s v="Normal"/>
  </r>
  <r>
    <s v="TRX0184"/>
    <x v="36"/>
    <s v="CUST046"/>
    <s v="Kathleen Bennett"/>
    <s v="P002"/>
    <s v="Smartphone"/>
    <x v="0"/>
    <n v="3"/>
    <n v="699.99"/>
    <s v="Credit Card"/>
    <s v="East"/>
    <s v="Premium"/>
    <x v="56"/>
    <x v="7"/>
    <m/>
    <x v="1"/>
    <m/>
    <m/>
    <m/>
    <m/>
    <n v="4309.8100000000004"/>
    <s v="Normal"/>
  </r>
  <r>
    <s v="TRX0104"/>
    <x v="36"/>
    <s v="CUST012"/>
    <s v="Patricia Moore"/>
    <s v="P001"/>
    <s v="Laptop"/>
    <x v="0"/>
    <n v="4"/>
    <n v="899.99"/>
    <s v="Credit Card"/>
    <s v="East"/>
    <s v="Premium"/>
    <x v="57"/>
    <x v="11"/>
    <m/>
    <x v="1"/>
    <m/>
    <m/>
    <m/>
    <m/>
    <n v="9799.73"/>
    <s v="Normal"/>
  </r>
  <r>
    <s v="TRX0127"/>
    <x v="37"/>
    <s v="CUST030"/>
    <s v="Helen Roberts"/>
    <s v="P008"/>
    <s v="Bookshelf"/>
    <x v="2"/>
    <n v="1"/>
    <n v="149.99"/>
    <s v="PayPal"/>
    <s v="East"/>
    <s v="Basic"/>
    <x v="58"/>
    <x v="5"/>
    <m/>
    <x v="1"/>
    <m/>
    <m/>
    <m/>
    <m/>
    <n v="6459.79"/>
    <s v="Normal"/>
  </r>
  <r>
    <s v="TRX0096"/>
    <x v="38"/>
    <s v="CUST002"/>
    <s v="Emma Wilson"/>
    <s v="P010"/>
    <s v="Keyboard"/>
    <x v="0"/>
    <n v="2"/>
    <n v="89.99"/>
    <s v="PayPal"/>
    <s v="Central"/>
    <s v="Premium"/>
    <x v="59"/>
    <x v="28"/>
    <m/>
    <x v="1"/>
    <m/>
    <m/>
    <m/>
    <m/>
    <n v="1229.8800000000001"/>
    <s v="Normal"/>
  </r>
  <r>
    <s v="TRX0192"/>
    <x v="39"/>
    <s v="CUST017"/>
    <s v="Charles Allen"/>
    <s v="P010"/>
    <s v="Keyboard"/>
    <x v="0"/>
    <n v="1"/>
    <n v="89.99"/>
    <s v="PayPal"/>
    <s v="West"/>
    <s v="Standard"/>
    <x v="60"/>
    <x v="27"/>
    <m/>
    <x v="1"/>
    <m/>
    <m/>
    <m/>
    <m/>
    <n v="5089.7300000000005"/>
    <s v="Normal"/>
  </r>
  <r>
    <s v="TRX0052"/>
    <x v="40"/>
    <s v="CUST022"/>
    <s v="Susan Green"/>
    <s v="P010"/>
    <s v="Keyboard"/>
    <x v="0"/>
    <n v="1"/>
    <n v="89.99"/>
    <s v="Cash"/>
    <s v="South"/>
    <s v="Standard"/>
    <x v="61"/>
    <x v="27"/>
    <m/>
    <x v="1"/>
    <m/>
    <m/>
    <m/>
    <m/>
    <n v="1979.89"/>
    <s v="Normal"/>
  </r>
  <r>
    <s v="TRX0070"/>
    <x v="40"/>
    <s v="CUST007"/>
    <s v="David Martinez"/>
    <s v="P004"/>
    <s v="Coffee Maker"/>
    <x v="1"/>
    <n v="5"/>
    <n v="79.989999999999995"/>
    <s v="Debit Card"/>
    <s v="Central"/>
    <s v="Basic"/>
    <x v="62"/>
    <x v="34"/>
    <m/>
    <x v="1"/>
    <m/>
    <m/>
    <m/>
    <m/>
    <n v="1809.84"/>
    <s v="Normal"/>
  </r>
  <r>
    <s v="TRX0086"/>
    <x v="41"/>
    <s v="CUST020"/>
    <s v="Margaret Wright"/>
    <s v="P008"/>
    <s v="Bookshelf"/>
    <x v="2"/>
    <n v="1"/>
    <n v="149.99"/>
    <s v="PayPal"/>
    <s v="North"/>
    <s v="Basic"/>
    <x v="63"/>
    <x v="5"/>
    <m/>
    <x v="1"/>
    <m/>
    <m/>
    <m/>
    <m/>
    <n v="2099.88"/>
    <s v="Normal"/>
  </r>
  <r>
    <s v="TRX0113"/>
    <x v="41"/>
    <s v="CUST003"/>
    <s v="Michael Brown"/>
    <s v="P002"/>
    <s v="Smartphone"/>
    <x v="0"/>
    <n v="2"/>
    <n v="699.99"/>
    <s v="PayPal"/>
    <s v="East"/>
    <s v="Premium"/>
    <x v="64"/>
    <x v="10"/>
    <m/>
    <x v="1"/>
    <m/>
    <m/>
    <m/>
    <m/>
    <n v="6169.7400000000007"/>
    <s v="Normal"/>
  </r>
  <r>
    <s v="TRX0114"/>
    <x v="41"/>
    <s v="CUST018"/>
    <s v="Barbara Young"/>
    <s v="P010"/>
    <s v="Keyboard"/>
    <x v="0"/>
    <n v="5"/>
    <n v="89.99"/>
    <s v="Debit Card"/>
    <s v="North"/>
    <s v="Premium"/>
    <x v="65"/>
    <x v="19"/>
    <m/>
    <x v="1"/>
    <m/>
    <m/>
    <m/>
    <m/>
    <n v="10649.8"/>
    <s v="High Value"/>
  </r>
  <r>
    <s v="TRX0136"/>
    <x v="42"/>
    <s v="CUST049"/>
    <s v="Raymond Ross"/>
    <s v="P005"/>
    <s v="Blender"/>
    <x v="1"/>
    <n v="4"/>
    <n v="59.99"/>
    <s v="Cash"/>
    <s v="South"/>
    <s v="Standard"/>
    <x v="66"/>
    <x v="20"/>
    <m/>
    <x v="1"/>
    <m/>
    <m/>
    <m/>
    <m/>
    <n v="3669.85"/>
    <s v="Normal"/>
  </r>
  <r>
    <s v="TRX0018"/>
    <x v="43"/>
    <s v="CUST013"/>
    <s v="Joseph Jackson"/>
    <s v="P003"/>
    <s v="Headphones"/>
    <x v="0"/>
    <n v="1"/>
    <n v="149.99"/>
    <s v="Cash"/>
    <s v="Central"/>
    <s v="Standard"/>
    <x v="67"/>
    <x v="5"/>
    <m/>
    <x v="1"/>
    <m/>
    <m/>
    <m/>
    <m/>
    <n v="6949.84"/>
    <s v="Normal"/>
  </r>
  <r>
    <s v="TRX0141"/>
    <x v="43"/>
    <s v="CUST033"/>
    <s v="Frank Torres"/>
    <s v="P007"/>
    <s v="Desk"/>
    <x v="2"/>
    <n v="1"/>
    <n v="299.99"/>
    <s v="Credit Card"/>
    <s v="North"/>
    <s v="Premium"/>
    <x v="68"/>
    <x v="35"/>
    <m/>
    <x v="1"/>
    <m/>
    <m/>
    <m/>
    <m/>
    <n v="1479.91"/>
    <s v="Normal"/>
  </r>
  <r>
    <s v="TRX0097"/>
    <x v="44"/>
    <s v="CUST033"/>
    <s v="Frank Torres"/>
    <s v="P006"/>
    <s v="Office Chair"/>
    <x v="2"/>
    <n v="2"/>
    <n v="199.99"/>
    <s v="Cash"/>
    <s v="North"/>
    <s v="Basic"/>
    <x v="69"/>
    <x v="36"/>
    <m/>
    <x v="1"/>
    <m/>
    <m/>
    <m/>
    <m/>
    <n v="1479.91"/>
    <s v="Normal"/>
  </r>
  <r>
    <s v="TRX0169"/>
    <x v="45"/>
    <s v="CUST047"/>
    <s v="Gerald Murphy"/>
    <s v="P005"/>
    <s v="Blender"/>
    <x v="1"/>
    <n v="3"/>
    <n v="59.99"/>
    <s v="Credit Card"/>
    <s v="West"/>
    <s v="Basic"/>
    <x v="70"/>
    <x v="1"/>
    <m/>
    <x v="1"/>
    <m/>
    <m/>
    <m/>
    <m/>
    <n v="6379.87"/>
    <s v="Normal"/>
  </r>
  <r>
    <s v="TRX0216"/>
    <x v="45"/>
    <s v="CUST041"/>
    <s v="Peter Richardson"/>
    <s v="P008"/>
    <s v="Bookshelf"/>
    <x v="2"/>
    <n v="3"/>
    <n v="149.99"/>
    <s v="Cash"/>
    <s v="Central"/>
    <s v="Premium"/>
    <x v="71"/>
    <x v="6"/>
    <m/>
    <x v="1"/>
    <m/>
    <m/>
    <m/>
    <m/>
    <n v="5949.85"/>
    <s v="Normal"/>
  </r>
  <r>
    <s v="TRX0131"/>
    <x v="46"/>
    <s v="CUST026"/>
    <s v="Karen Hill"/>
    <s v="P006"/>
    <s v="Office Chair"/>
    <x v="2"/>
    <n v="3"/>
    <n v="199.99"/>
    <s v="Cash"/>
    <s v="North"/>
    <s v="Premium"/>
    <x v="72"/>
    <x v="24"/>
    <m/>
    <x v="1"/>
    <m/>
    <m/>
    <m/>
    <m/>
    <n v="8009.7699999999995"/>
    <s v="Normal"/>
  </r>
  <r>
    <s v="TRX0162"/>
    <x v="47"/>
    <s v="CUST040"/>
    <s v="Sharon Butler"/>
    <s v="P001"/>
    <s v="Laptop"/>
    <x v="0"/>
    <n v="1"/>
    <n v="899.99"/>
    <s v="Cash"/>
    <s v="Central"/>
    <s v="Standard"/>
    <x v="73"/>
    <x v="8"/>
    <m/>
    <x v="1"/>
    <m/>
    <m/>
    <m/>
    <m/>
    <n v="5619.87"/>
    <s v="Normal"/>
  </r>
  <r>
    <s v="TRX0244"/>
    <x v="48"/>
    <s v="CUST013"/>
    <s v="Joseph Jackson"/>
    <s v="P001"/>
    <s v="Laptop"/>
    <x v="0"/>
    <n v="5"/>
    <n v="899.99"/>
    <s v="Debit Card"/>
    <s v="South"/>
    <s v="Standard"/>
    <x v="74"/>
    <x v="30"/>
    <m/>
    <x v="1"/>
    <m/>
    <m/>
    <m/>
    <m/>
    <n v="6949.84"/>
    <s v="Normal"/>
  </r>
  <r>
    <s v="TRX0006"/>
    <x v="49"/>
    <s v="CUST007"/>
    <s v="David Martinez"/>
    <s v="P005"/>
    <s v="Blender"/>
    <x v="1"/>
    <n v="2"/>
    <n v="59.99"/>
    <s v="Cash"/>
    <s v="North"/>
    <s v="Standard"/>
    <x v="75"/>
    <x v="3"/>
    <m/>
    <x v="1"/>
    <m/>
    <m/>
    <m/>
    <m/>
    <n v="1809.84"/>
    <s v="Normal"/>
  </r>
  <r>
    <s v="TRX0215"/>
    <x v="49"/>
    <s v="CUST047"/>
    <s v="Gerald Murphy"/>
    <s v="P009"/>
    <s v="Monitor"/>
    <x v="0"/>
    <n v="4"/>
    <n v="249.99"/>
    <s v="Debit Card"/>
    <s v="Central"/>
    <s v="Standard"/>
    <x v="76"/>
    <x v="14"/>
    <m/>
    <x v="1"/>
    <m/>
    <m/>
    <m/>
    <m/>
    <n v="6379.87"/>
    <s v="Normal"/>
  </r>
  <r>
    <s v="TRX0080"/>
    <x v="50"/>
    <s v="CUST018"/>
    <s v="Barbara Young"/>
    <s v="P009"/>
    <s v="Monitor"/>
    <x v="0"/>
    <n v="2"/>
    <n v="249.99"/>
    <s v="Cash"/>
    <s v="North"/>
    <s v="Premium"/>
    <x v="77"/>
    <x v="37"/>
    <m/>
    <x v="1"/>
    <m/>
    <m/>
    <m/>
    <m/>
    <n v="10649.8"/>
    <s v="High Value"/>
  </r>
  <r>
    <s v="TRX0228"/>
    <x v="50"/>
    <s v="CUST019"/>
    <s v="Daniel King"/>
    <s v="P007"/>
    <s v="Desk"/>
    <x v="2"/>
    <n v="1"/>
    <n v="299.99"/>
    <s v="Cash"/>
    <s v="South"/>
    <s v="Basic"/>
    <x v="78"/>
    <x v="35"/>
    <m/>
    <x v="1"/>
    <m/>
    <m/>
    <m/>
    <m/>
    <n v="7309.7999999999993"/>
    <s v="Normal"/>
  </r>
  <r>
    <s v="TRX0157"/>
    <x v="51"/>
    <s v="CUST025"/>
    <s v="Mark Carter"/>
    <s v="P010"/>
    <s v="Keyboard"/>
    <x v="0"/>
    <n v="2"/>
    <n v="89.99"/>
    <s v="PayPal"/>
    <s v="South"/>
    <s v="Basic"/>
    <x v="79"/>
    <x v="28"/>
    <m/>
    <x v="1"/>
    <m/>
    <m/>
    <m/>
    <m/>
    <n v="15659.65"/>
    <s v="High Value"/>
  </r>
  <r>
    <s v="TRX0002"/>
    <x v="51"/>
    <s v="CUST019"/>
    <s v="Daniel King"/>
    <s v="P007"/>
    <s v="Desk"/>
    <x v="2"/>
    <n v="3"/>
    <n v="299.99"/>
    <s v="Cash"/>
    <s v="Central"/>
    <s v="Basic"/>
    <x v="80"/>
    <x v="23"/>
    <m/>
    <x v="1"/>
    <m/>
    <m/>
    <m/>
    <m/>
    <n v="7309.7999999999993"/>
    <s v="Normal"/>
  </r>
  <r>
    <s v="TRX0217"/>
    <x v="52"/>
    <s v="CUST025"/>
    <s v="Mark Carter"/>
    <s v="P002"/>
    <s v="Smartphone"/>
    <x v="0"/>
    <n v="2"/>
    <n v="699.99"/>
    <s v="Credit Card"/>
    <s v="North"/>
    <s v="Premium"/>
    <x v="81"/>
    <x v="10"/>
    <m/>
    <x v="1"/>
    <m/>
    <m/>
    <m/>
    <m/>
    <n v="15659.65"/>
    <s v="High Value"/>
  </r>
  <r>
    <s v="TRX0249"/>
    <x v="53"/>
    <s v="CUST030"/>
    <s v="Helen Roberts"/>
    <s v="P001"/>
    <s v="Laptop"/>
    <x v="0"/>
    <n v="4"/>
    <n v="899.99"/>
    <s v="Debit Card"/>
    <s v="South"/>
    <s v="Standard"/>
    <x v="82"/>
    <x v="11"/>
    <m/>
    <x v="1"/>
    <m/>
    <m/>
    <m/>
    <m/>
    <n v="6459.79"/>
    <s v="Normal"/>
  </r>
  <r>
    <s v="TRX0065"/>
    <x v="54"/>
    <s v="CUST016"/>
    <s v="Elizabeth Hall"/>
    <s v="P008"/>
    <s v="Bookshelf"/>
    <x v="2"/>
    <n v="2"/>
    <n v="149.99"/>
    <s v="Credit Card"/>
    <s v="West"/>
    <s v="Basic"/>
    <x v="83"/>
    <x v="22"/>
    <m/>
    <x v="1"/>
    <m/>
    <m/>
    <m/>
    <m/>
    <n v="3649.8599999999997"/>
    <s v="Normal"/>
  </r>
  <r>
    <s v="TRX0176"/>
    <x v="55"/>
    <s v="CUST044"/>
    <s v="Cynthia Price"/>
    <s v="P008"/>
    <s v="Bookshelf"/>
    <x v="2"/>
    <n v="2"/>
    <n v="149.99"/>
    <s v="Debit Card"/>
    <s v="East"/>
    <s v="Standard"/>
    <x v="84"/>
    <x v="22"/>
    <m/>
    <x v="1"/>
    <m/>
    <m/>
    <m/>
    <m/>
    <n v="3769.8300000000004"/>
    <s v="Normal"/>
  </r>
  <r>
    <s v="TRX0101"/>
    <x v="56"/>
    <s v="CUST010"/>
    <s v="Maria Garcia"/>
    <s v="P010"/>
    <s v="Keyboard"/>
    <x v="0"/>
    <n v="1"/>
    <n v="89.99"/>
    <s v="Credit Card"/>
    <s v="North"/>
    <s v="Standard"/>
    <x v="85"/>
    <x v="27"/>
    <m/>
    <x v="1"/>
    <m/>
    <m/>
    <m/>
    <m/>
    <n v="1909.93"/>
    <s v="Normal"/>
  </r>
  <r>
    <s v="TRX0205"/>
    <x v="57"/>
    <s v="CUST025"/>
    <s v="Mark Carter"/>
    <s v="P007"/>
    <s v="Desk"/>
    <x v="2"/>
    <n v="5"/>
    <n v="299.99"/>
    <s v="Credit Card"/>
    <s v="North"/>
    <s v="Basic"/>
    <x v="86"/>
    <x v="17"/>
    <m/>
    <x v="1"/>
    <m/>
    <m/>
    <m/>
    <m/>
    <n v="15659.65"/>
    <s v="High Value"/>
  </r>
  <r>
    <s v="TRX0020"/>
    <x v="58"/>
    <s v="CUST007"/>
    <s v="David Martinez"/>
    <s v="P003"/>
    <s v="Headphones"/>
    <x v="0"/>
    <n v="4"/>
    <n v="149.99"/>
    <s v="Debit Card"/>
    <s v="South"/>
    <s v="Premium"/>
    <x v="87"/>
    <x v="9"/>
    <m/>
    <x v="1"/>
    <m/>
    <m/>
    <m/>
    <m/>
    <n v="1809.84"/>
    <s v="Normal"/>
  </r>
  <r>
    <s v="TRX0075"/>
    <x v="58"/>
    <s v="CUST020"/>
    <s v="Margaret Wright"/>
    <s v="P009"/>
    <s v="Monitor"/>
    <x v="0"/>
    <n v="5"/>
    <n v="249.99"/>
    <s v="PayPal"/>
    <s v="East"/>
    <s v="Premium"/>
    <x v="88"/>
    <x v="16"/>
    <m/>
    <x v="1"/>
    <m/>
    <m/>
    <m/>
    <m/>
    <n v="2099.88"/>
    <s v="Normal"/>
  </r>
  <r>
    <s v="TRX0098"/>
    <x v="58"/>
    <s v="CUST026"/>
    <s v="Karen Hill"/>
    <s v="P009"/>
    <s v="Monitor"/>
    <x v="0"/>
    <n v="3"/>
    <n v="249.99"/>
    <s v="PayPal"/>
    <s v="North"/>
    <s v="Premium"/>
    <x v="89"/>
    <x v="0"/>
    <m/>
    <x v="1"/>
    <m/>
    <m/>
    <m/>
    <m/>
    <n v="8009.7699999999995"/>
    <s v="Normal"/>
  </r>
  <r>
    <s v="TRX0247"/>
    <x v="58"/>
    <s v="CUST046"/>
    <s v="Kathleen Bennett"/>
    <s v="P006"/>
    <s v="Office Chair"/>
    <x v="2"/>
    <n v="4"/>
    <n v="199.99"/>
    <s v="Cash"/>
    <s v="North"/>
    <s v="Standard"/>
    <x v="90"/>
    <x v="38"/>
    <m/>
    <x v="1"/>
    <m/>
    <m/>
    <m/>
    <m/>
    <n v="4309.8100000000004"/>
    <s v="Normal"/>
  </r>
  <r>
    <s v="TRX0027"/>
    <x v="59"/>
    <s v="CUST028"/>
    <s v="Betty Campbell"/>
    <s v="P006"/>
    <s v="Office Chair"/>
    <x v="2"/>
    <n v="5"/>
    <n v="199.99"/>
    <s v="Cash"/>
    <s v="North"/>
    <s v="Premium"/>
    <x v="91"/>
    <x v="21"/>
    <m/>
    <x v="1"/>
    <m/>
    <m/>
    <m/>
    <m/>
    <n v="5649.84"/>
    <s v="Normal"/>
  </r>
  <r>
    <s v="TRX0140"/>
    <x v="60"/>
    <s v="CUST025"/>
    <s v="Mark Carter"/>
    <s v="P010"/>
    <s v="Keyboard"/>
    <x v="0"/>
    <n v="2"/>
    <n v="89.99"/>
    <s v="Cash"/>
    <s v="East"/>
    <s v="Premium"/>
    <x v="92"/>
    <x v="28"/>
    <m/>
    <x v="1"/>
    <m/>
    <m/>
    <m/>
    <m/>
    <n v="15659.65"/>
    <s v="High Value"/>
  </r>
  <r>
    <s v="TRX0132"/>
    <x v="61"/>
    <s v="CUST047"/>
    <s v="Gerald Murphy"/>
    <s v="P001"/>
    <s v="Laptop"/>
    <x v="0"/>
    <n v="5"/>
    <n v="899.99"/>
    <s v="Debit Card"/>
    <s v="East"/>
    <s v="Basic"/>
    <x v="93"/>
    <x v="30"/>
    <m/>
    <x v="1"/>
    <m/>
    <m/>
    <m/>
    <m/>
    <n v="6379.87"/>
    <s v="Normal"/>
  </r>
  <r>
    <s v="TRX0031"/>
    <x v="61"/>
    <s v="CUST036"/>
    <s v="Nancy Collins"/>
    <s v="P003"/>
    <s v="Headphones"/>
    <x v="0"/>
    <n v="3"/>
    <n v="149.99"/>
    <s v="PayPal"/>
    <s v="East"/>
    <s v="Basic"/>
    <x v="94"/>
    <x v="6"/>
    <m/>
    <x v="1"/>
    <m/>
    <m/>
    <m/>
    <m/>
    <n v="4189.7700000000004"/>
    <s v="Normal"/>
  </r>
  <r>
    <s v="TRX0236"/>
    <x v="62"/>
    <s v="CUST044"/>
    <s v="Cynthia Price"/>
    <s v="P008"/>
    <s v="Bookshelf"/>
    <x v="2"/>
    <n v="5"/>
    <n v="149.99"/>
    <s v="Credit Card"/>
    <s v="Central"/>
    <s v="Basic"/>
    <x v="95"/>
    <x v="2"/>
    <m/>
    <x v="1"/>
    <m/>
    <m/>
    <m/>
    <m/>
    <n v="3769.8300000000004"/>
    <s v="Normal"/>
  </r>
  <r>
    <s v="TRX0001"/>
    <x v="63"/>
    <s v="CUST039"/>
    <s v="Lawrence Reed"/>
    <s v="P004"/>
    <s v="Coffee Maker"/>
    <x v="1"/>
    <n v="3"/>
    <n v="79.989999999999995"/>
    <s v="Cash"/>
    <s v="Central"/>
    <s v="Premium"/>
    <x v="96"/>
    <x v="18"/>
    <m/>
    <x v="1"/>
    <m/>
    <m/>
    <m/>
    <m/>
    <n v="6989.7699999999986"/>
    <s v="Normal"/>
  </r>
  <r>
    <s v="TRX0037"/>
    <x v="63"/>
    <s v="CUST035"/>
    <s v="Harry Morgan"/>
    <s v="P009"/>
    <s v="Monitor"/>
    <x v="0"/>
    <n v="2"/>
    <n v="249.99"/>
    <s v="Cash"/>
    <s v="South"/>
    <s v="Standard"/>
    <x v="97"/>
    <x v="37"/>
    <m/>
    <x v="1"/>
    <m/>
    <m/>
    <m/>
    <m/>
    <n v="5519.8899999999994"/>
    <s v="Normal"/>
  </r>
  <r>
    <s v="TRX0058"/>
    <x v="64"/>
    <s v="CUST047"/>
    <s v="Gerald Murphy"/>
    <s v="P002"/>
    <s v="Smartphone"/>
    <x v="0"/>
    <n v="1"/>
    <n v="699.99"/>
    <s v="Cash"/>
    <s v="Central"/>
    <s v="Premium"/>
    <x v="98"/>
    <x v="39"/>
    <m/>
    <x v="1"/>
    <m/>
    <m/>
    <m/>
    <m/>
    <n v="6379.87"/>
    <s v="Normal"/>
  </r>
  <r>
    <s v="TRX0170"/>
    <x v="64"/>
    <s v="CUST034"/>
    <s v="Carol Evans"/>
    <s v="P003"/>
    <s v="Headphones"/>
    <x v="0"/>
    <n v="3"/>
    <n v="149.99"/>
    <s v="Cash"/>
    <s v="West"/>
    <s v="Premium"/>
    <x v="99"/>
    <x v="6"/>
    <m/>
    <x v="1"/>
    <m/>
    <m/>
    <m/>
    <m/>
    <n v="1149.93"/>
    <s v="Normal"/>
  </r>
  <r>
    <s v="TRX0248"/>
    <x v="65"/>
    <s v="CUST032"/>
    <s v="Sandra Phillips"/>
    <s v="P002"/>
    <s v="Smartphone"/>
    <x v="0"/>
    <n v="2"/>
    <n v="699.99"/>
    <s v="Credit Card"/>
    <s v="North"/>
    <s v="Premium"/>
    <x v="63"/>
    <x v="10"/>
    <m/>
    <x v="1"/>
    <m/>
    <m/>
    <m/>
    <m/>
    <n v="6349.8300000000008"/>
    <s v="Normal"/>
  </r>
  <r>
    <s v="TRX0099"/>
    <x v="66"/>
    <s v="CUST034"/>
    <s v="Carol Evans"/>
    <s v="P009"/>
    <s v="Monitor"/>
    <x v="0"/>
    <n v="1"/>
    <n v="249.99"/>
    <s v="Credit Card"/>
    <s v="West"/>
    <s v="Premium"/>
    <x v="100"/>
    <x v="40"/>
    <m/>
    <x v="1"/>
    <m/>
    <m/>
    <m/>
    <m/>
    <n v="1149.93"/>
    <s v="Normal"/>
  </r>
  <r>
    <s v="TRX0074"/>
    <x v="66"/>
    <s v="CUST023"/>
    <s v="Paul Baker"/>
    <s v="P009"/>
    <s v="Monitor"/>
    <x v="0"/>
    <n v="1"/>
    <n v="249.99"/>
    <s v="Debit Card"/>
    <s v="North"/>
    <s v="Premium"/>
    <x v="101"/>
    <x v="40"/>
    <m/>
    <x v="1"/>
    <m/>
    <m/>
    <m/>
    <m/>
    <n v="13809.790000000006"/>
    <s v="High Value"/>
  </r>
  <r>
    <s v="TRX0225"/>
    <x v="67"/>
    <s v="CUST039"/>
    <s v="Lawrence Reed"/>
    <s v="P002"/>
    <s v="Smartphone"/>
    <x v="0"/>
    <n v="2"/>
    <n v="699.99"/>
    <s v="Debit Card"/>
    <s v="Central"/>
    <s v="Premium"/>
    <x v="102"/>
    <x v="10"/>
    <m/>
    <x v="1"/>
    <m/>
    <m/>
    <m/>
    <m/>
    <n v="6989.7699999999986"/>
    <s v="Normal"/>
  </r>
  <r>
    <s v="TRX0100"/>
    <x v="68"/>
    <s v="CUST031"/>
    <s v="Steven Turner"/>
    <s v="P005"/>
    <s v="Blender"/>
    <x v="1"/>
    <n v="3"/>
    <n v="59.99"/>
    <s v="Credit Card"/>
    <s v="Central"/>
    <s v="Premium"/>
    <x v="103"/>
    <x v="1"/>
    <m/>
    <x v="1"/>
    <m/>
    <m/>
    <m/>
    <m/>
    <n v="2649.83"/>
    <s v="Normal"/>
  </r>
  <r>
    <s v="TRX0142"/>
    <x v="69"/>
    <s v="CUST002"/>
    <s v="Emma Wilson"/>
    <s v="P005"/>
    <s v="Blender"/>
    <x v="1"/>
    <n v="3"/>
    <n v="59.99"/>
    <s v="PayPal"/>
    <s v="East"/>
    <s v="Standard"/>
    <x v="104"/>
    <x v="1"/>
    <m/>
    <x v="1"/>
    <m/>
    <m/>
    <m/>
    <m/>
    <n v="1229.8800000000001"/>
    <s v="Normal"/>
  </r>
  <r>
    <s v="TRX0112"/>
    <x v="69"/>
    <s v="CUST008"/>
    <s v="Jennifer Taylor"/>
    <s v="P004"/>
    <s v="Coffee Maker"/>
    <x v="1"/>
    <n v="4"/>
    <n v="79.989999999999995"/>
    <s v="Cash"/>
    <s v="North"/>
    <s v="Basic"/>
    <x v="105"/>
    <x v="41"/>
    <m/>
    <x v="1"/>
    <m/>
    <m/>
    <m/>
    <m/>
    <n v="4739.8500000000004"/>
    <s v="Normal"/>
  </r>
  <r>
    <s v="TRX0161"/>
    <x v="70"/>
    <s v="CUST017"/>
    <s v="Charles Allen"/>
    <s v="P004"/>
    <s v="Coffee Maker"/>
    <x v="1"/>
    <n v="1"/>
    <n v="79.989999999999995"/>
    <s v="Cash"/>
    <s v="West"/>
    <s v="Basic"/>
    <x v="106"/>
    <x v="26"/>
    <m/>
    <x v="1"/>
    <m/>
    <m/>
    <m/>
    <m/>
    <n v="5089.7300000000005"/>
    <s v="Normal"/>
  </r>
  <r>
    <s v="TRX0108"/>
    <x v="71"/>
    <s v="CUST024"/>
    <s v="Dorothy Nelson"/>
    <s v="P007"/>
    <s v="Desk"/>
    <x v="2"/>
    <n v="3"/>
    <n v="299.99"/>
    <s v="Credit Card"/>
    <s v="Central"/>
    <s v="Premium"/>
    <x v="107"/>
    <x v="23"/>
    <m/>
    <x v="1"/>
    <m/>
    <m/>
    <m/>
    <m/>
    <n v="8269.7900000000009"/>
    <s v="Normal"/>
  </r>
  <r>
    <s v="TRX0211"/>
    <x v="72"/>
    <s v="CUST046"/>
    <s v="Kathleen Bennett"/>
    <s v="P010"/>
    <s v="Keyboard"/>
    <x v="0"/>
    <n v="2"/>
    <n v="89.99"/>
    <s v="Credit Card"/>
    <s v="South"/>
    <s v="Premium"/>
    <x v="108"/>
    <x v="28"/>
    <m/>
    <x v="1"/>
    <m/>
    <m/>
    <m/>
    <m/>
    <n v="4309.8100000000004"/>
    <s v="Normal"/>
  </r>
  <r>
    <s v="TRX0005"/>
    <x v="73"/>
    <s v="CUST042"/>
    <s v="Ruth Brooks"/>
    <s v="P003"/>
    <s v="Headphones"/>
    <x v="0"/>
    <n v="4"/>
    <n v="149.99"/>
    <s v="Cash"/>
    <s v="North"/>
    <s v="Basic"/>
    <x v="67"/>
    <x v="9"/>
    <m/>
    <x v="1"/>
    <m/>
    <m/>
    <m/>
    <m/>
    <n v="1749.92"/>
    <s v="Normal"/>
  </r>
  <r>
    <s v="TRX0195"/>
    <x v="74"/>
    <s v="CUST026"/>
    <s v="Karen Hill"/>
    <s v="P009"/>
    <s v="Monitor"/>
    <x v="0"/>
    <n v="2"/>
    <n v="249.99"/>
    <s v="PayPal"/>
    <s v="South"/>
    <s v="Basic"/>
    <x v="57"/>
    <x v="37"/>
    <m/>
    <x v="1"/>
    <m/>
    <m/>
    <m/>
    <m/>
    <n v="8009.7699999999995"/>
    <s v="Normal"/>
  </r>
  <r>
    <s v="TRX0054"/>
    <x v="74"/>
    <s v="CUST004"/>
    <s v="Sarah Davis"/>
    <s v="P006"/>
    <s v="Office Chair"/>
    <x v="2"/>
    <n v="4"/>
    <n v="199.99"/>
    <s v="Debit Card"/>
    <s v="East"/>
    <s v="Basic"/>
    <x v="90"/>
    <x v="38"/>
    <m/>
    <x v="1"/>
    <m/>
    <m/>
    <m/>
    <m/>
    <n v="5499.81"/>
    <s v="Normal"/>
  </r>
  <r>
    <s v="TRX0077"/>
    <x v="75"/>
    <s v="CUST019"/>
    <s v="Daniel King"/>
    <s v="P010"/>
    <s v="Keyboard"/>
    <x v="0"/>
    <n v="5"/>
    <n v="89.99"/>
    <s v="Credit Card"/>
    <s v="East"/>
    <s v="Premium"/>
    <x v="109"/>
    <x v="19"/>
    <m/>
    <x v="1"/>
    <m/>
    <m/>
    <m/>
    <m/>
    <n v="7309.7999999999993"/>
    <s v="Normal"/>
  </r>
  <r>
    <s v="TRX0111"/>
    <x v="75"/>
    <s v="CUST011"/>
    <s v="William White"/>
    <s v="P003"/>
    <s v="Headphones"/>
    <x v="0"/>
    <n v="1"/>
    <n v="149.99"/>
    <s v="PayPal"/>
    <s v="East"/>
    <s v="Standard"/>
    <x v="110"/>
    <x v="5"/>
    <m/>
    <x v="1"/>
    <m/>
    <m/>
    <m/>
    <m/>
    <n v="4749.91"/>
    <s v="Normal"/>
  </r>
  <r>
    <s v="TRX0123"/>
    <x v="75"/>
    <s v="CUST041"/>
    <s v="Peter Richardson"/>
    <s v="P002"/>
    <s v="Smartphone"/>
    <x v="0"/>
    <n v="4"/>
    <n v="699.99"/>
    <s v="PayPal"/>
    <s v="South"/>
    <s v="Basic"/>
    <x v="111"/>
    <x v="13"/>
    <m/>
    <x v="1"/>
    <m/>
    <m/>
    <m/>
    <m/>
    <n v="5949.85"/>
    <s v="Normal"/>
  </r>
  <r>
    <s v="TRX0177"/>
    <x v="76"/>
    <s v="CUST032"/>
    <s v="Sandra Phillips"/>
    <s v="P001"/>
    <s v="Laptop"/>
    <x v="0"/>
    <n v="3"/>
    <n v="899.99"/>
    <s v="Credit Card"/>
    <s v="North"/>
    <s v="Standard"/>
    <x v="112"/>
    <x v="4"/>
    <m/>
    <x v="1"/>
    <m/>
    <m/>
    <m/>
    <m/>
    <n v="6349.8300000000008"/>
    <s v="Normal"/>
  </r>
  <r>
    <s v="TRX0119"/>
    <x v="77"/>
    <s v="CUST014"/>
    <s v="Linda Martin"/>
    <s v="P008"/>
    <s v="Bookshelf"/>
    <x v="2"/>
    <n v="3"/>
    <n v="149.99"/>
    <s v="PayPal"/>
    <s v="East"/>
    <s v="Basic"/>
    <x v="113"/>
    <x v="6"/>
    <m/>
    <x v="1"/>
    <m/>
    <m/>
    <m/>
    <m/>
    <n v="1289.9000000000001"/>
    <s v="Normal"/>
  </r>
  <r>
    <s v="TRX0181"/>
    <x v="78"/>
    <s v="CUST012"/>
    <s v="Patricia Moore"/>
    <s v="P007"/>
    <s v="Desk"/>
    <x v="2"/>
    <n v="2"/>
    <n v="299.99"/>
    <s v="Debit Card"/>
    <s v="Central"/>
    <s v="Basic"/>
    <x v="114"/>
    <x v="32"/>
    <m/>
    <x v="1"/>
    <m/>
    <m/>
    <m/>
    <m/>
    <n v="9799.73"/>
    <s v="Normal"/>
  </r>
  <r>
    <s v="TRX0129"/>
    <x v="79"/>
    <s v="CUST015"/>
    <s v="Richard Lee"/>
    <s v="P006"/>
    <s v="Office Chair"/>
    <x v="2"/>
    <n v="1"/>
    <n v="199.99"/>
    <s v="Debit Card"/>
    <s v="East"/>
    <s v="Standard"/>
    <x v="115"/>
    <x v="42"/>
    <m/>
    <x v="1"/>
    <m/>
    <m/>
    <m/>
    <m/>
    <n v="739.93000000000006"/>
    <s v="Normal"/>
  </r>
  <r>
    <s v="TRX0174"/>
    <x v="80"/>
    <s v="CUST003"/>
    <s v="Michael Brown"/>
    <s v="P007"/>
    <s v="Desk"/>
    <x v="2"/>
    <n v="4"/>
    <n v="299.99"/>
    <s v="Cash"/>
    <s v="Central"/>
    <s v="Premium"/>
    <x v="116"/>
    <x v="15"/>
    <m/>
    <x v="1"/>
    <m/>
    <m/>
    <m/>
    <m/>
    <n v="6169.7400000000007"/>
    <s v="Normal"/>
  </r>
  <r>
    <s v="TRX0146"/>
    <x v="81"/>
    <s v="CUST010"/>
    <s v="Maria Garcia"/>
    <s v="P005"/>
    <s v="Blender"/>
    <x v="1"/>
    <n v="2"/>
    <n v="59.99"/>
    <s v="Credit Card"/>
    <s v="Central"/>
    <s v="Basic"/>
    <x v="47"/>
    <x v="3"/>
    <m/>
    <x v="1"/>
    <m/>
    <m/>
    <m/>
    <m/>
    <n v="1909.93"/>
    <s v="Normal"/>
  </r>
  <r>
    <s v="TRX0203"/>
    <x v="81"/>
    <s v="CUST032"/>
    <s v="Sandra Phillips"/>
    <s v="P003"/>
    <s v="Headphones"/>
    <x v="0"/>
    <n v="4"/>
    <n v="149.99"/>
    <s v="Credit Card"/>
    <s v="North"/>
    <s v="Premium"/>
    <x v="117"/>
    <x v="9"/>
    <m/>
    <x v="1"/>
    <m/>
    <m/>
    <m/>
    <m/>
    <n v="6349.8300000000008"/>
    <s v="Normal"/>
  </r>
  <r>
    <s v="TRX0055"/>
    <x v="82"/>
    <s v="CUST016"/>
    <s v="Elizabeth Hall"/>
    <s v="P002"/>
    <s v="Smartphone"/>
    <x v="0"/>
    <n v="2"/>
    <n v="699.99"/>
    <s v="Debit Card"/>
    <s v="East"/>
    <s v="Premium"/>
    <x v="118"/>
    <x v="10"/>
    <m/>
    <x v="1"/>
    <m/>
    <m/>
    <m/>
    <m/>
    <n v="3649.8599999999997"/>
    <s v="Normal"/>
  </r>
  <r>
    <s v="TRX0218"/>
    <x v="82"/>
    <s v="CUST034"/>
    <s v="Carol Evans"/>
    <s v="P008"/>
    <s v="Bookshelf"/>
    <x v="2"/>
    <n v="3"/>
    <n v="149.99"/>
    <s v="Credit Card"/>
    <s v="South"/>
    <s v="Standard"/>
    <x v="119"/>
    <x v="6"/>
    <m/>
    <x v="1"/>
    <m/>
    <m/>
    <m/>
    <m/>
    <n v="1149.93"/>
    <s v="Normal"/>
  </r>
  <r>
    <s v="TRX0085"/>
    <x v="83"/>
    <s v="CUST019"/>
    <s v="Daniel King"/>
    <s v="P007"/>
    <s v="Desk"/>
    <x v="2"/>
    <n v="3"/>
    <n v="299.99"/>
    <s v="Credit Card"/>
    <s v="Central"/>
    <s v="Standard"/>
    <x v="120"/>
    <x v="23"/>
    <m/>
    <x v="1"/>
    <m/>
    <m/>
    <m/>
    <m/>
    <n v="7309.7999999999993"/>
    <s v="Normal"/>
  </r>
  <r>
    <s v="TRX0158"/>
    <x v="84"/>
    <s v="CUST027"/>
    <s v="George Adams"/>
    <s v="P001"/>
    <s v="Laptop"/>
    <x v="0"/>
    <n v="3"/>
    <n v="899.99"/>
    <s v="PayPal"/>
    <s v="West"/>
    <s v="Basic"/>
    <x v="121"/>
    <x v="4"/>
    <m/>
    <x v="1"/>
    <m/>
    <m/>
    <m/>
    <m/>
    <n v="3779.93"/>
    <s v="Normal"/>
  </r>
  <r>
    <s v="TRX0173"/>
    <x v="85"/>
    <s v="CUST018"/>
    <s v="Barbara Young"/>
    <s v="P002"/>
    <s v="Smartphone"/>
    <x v="0"/>
    <n v="5"/>
    <n v="699.99"/>
    <s v="Cash"/>
    <s v="East"/>
    <s v="Standard"/>
    <x v="122"/>
    <x v="12"/>
    <m/>
    <x v="1"/>
    <m/>
    <m/>
    <m/>
    <m/>
    <n v="10649.8"/>
    <s v="High Value"/>
  </r>
  <r>
    <s v="TRX0034"/>
    <x v="85"/>
    <s v="CUST049"/>
    <s v="Raymond Ross"/>
    <s v="P002"/>
    <s v="Smartphone"/>
    <x v="0"/>
    <n v="4"/>
    <n v="699.99"/>
    <s v="Credit Card"/>
    <s v="Central"/>
    <s v="Basic"/>
    <x v="123"/>
    <x v="13"/>
    <m/>
    <x v="1"/>
    <m/>
    <m/>
    <m/>
    <m/>
    <n v="3669.85"/>
    <s v="Normal"/>
  </r>
  <r>
    <s v="TRX0189"/>
    <x v="85"/>
    <s v="CUST040"/>
    <s v="Sharon Butler"/>
    <s v="P001"/>
    <s v="Laptop"/>
    <x v="0"/>
    <n v="1"/>
    <n v="899.99"/>
    <s v="Credit Card"/>
    <s v="East"/>
    <s v="Standard"/>
    <x v="124"/>
    <x v="8"/>
    <m/>
    <x v="1"/>
    <m/>
    <m/>
    <m/>
    <m/>
    <n v="5619.87"/>
    <s v="Normal"/>
  </r>
  <r>
    <s v="TRX0190"/>
    <x v="86"/>
    <s v="CUST039"/>
    <s v="Lawrence Reed"/>
    <s v="P003"/>
    <s v="Headphones"/>
    <x v="0"/>
    <n v="2"/>
    <n v="149.99"/>
    <s v="Credit Card"/>
    <s v="West"/>
    <s v="Basic"/>
    <x v="125"/>
    <x v="22"/>
    <m/>
    <x v="1"/>
    <m/>
    <m/>
    <m/>
    <m/>
    <n v="6989.7699999999986"/>
    <s v="Normal"/>
  </r>
  <r>
    <s v="TRX0079"/>
    <x v="87"/>
    <s v="CUST039"/>
    <s v="Lawrence Reed"/>
    <s v="P010"/>
    <s v="Keyboard"/>
    <x v="0"/>
    <n v="3"/>
    <n v="89.99"/>
    <s v="PayPal"/>
    <s v="Central"/>
    <s v="Basic"/>
    <x v="126"/>
    <x v="25"/>
    <m/>
    <x v="1"/>
    <m/>
    <m/>
    <m/>
    <m/>
    <n v="6989.7699999999986"/>
    <s v="Normal"/>
  </r>
  <r>
    <s v="TRX0095"/>
    <x v="88"/>
    <s v="CUST046"/>
    <s v="Kathleen Bennett"/>
    <s v="P003"/>
    <s v="Headphones"/>
    <x v="0"/>
    <n v="2"/>
    <n v="149.99"/>
    <s v="PayPal"/>
    <s v="Central"/>
    <s v="Basic"/>
    <x v="127"/>
    <x v="22"/>
    <m/>
    <x v="1"/>
    <m/>
    <m/>
    <m/>
    <m/>
    <n v="4309.8100000000004"/>
    <s v="Normal"/>
  </r>
  <r>
    <s v="TRX0009"/>
    <x v="88"/>
    <s v="CUST004"/>
    <s v="Sarah Davis"/>
    <s v="P002"/>
    <s v="Smartphone"/>
    <x v="0"/>
    <n v="2"/>
    <n v="699.99"/>
    <s v="Cash"/>
    <s v="Central"/>
    <s v="Basic"/>
    <x v="128"/>
    <x v="10"/>
    <m/>
    <x v="1"/>
    <m/>
    <m/>
    <m/>
    <m/>
    <n v="5499.81"/>
    <s v="Normal"/>
  </r>
  <r>
    <s v="TRX0167"/>
    <x v="89"/>
    <s v="CUST028"/>
    <s v="Betty Campbell"/>
    <s v="P002"/>
    <s v="Smartphone"/>
    <x v="0"/>
    <n v="5"/>
    <n v="699.99"/>
    <s v="Cash"/>
    <s v="North"/>
    <s v="Premium"/>
    <x v="129"/>
    <x v="12"/>
    <m/>
    <x v="1"/>
    <m/>
    <m/>
    <m/>
    <m/>
    <n v="5649.84"/>
    <s v="Normal"/>
  </r>
  <r>
    <s v="TRX0153"/>
    <x v="90"/>
    <s v="CUST049"/>
    <s v="Raymond Ross"/>
    <s v="P010"/>
    <s v="Keyboard"/>
    <x v="0"/>
    <n v="3"/>
    <n v="89.99"/>
    <s v="Credit Card"/>
    <s v="North"/>
    <s v="Standard"/>
    <x v="130"/>
    <x v="25"/>
    <m/>
    <x v="1"/>
    <m/>
    <m/>
    <m/>
    <m/>
    <n v="3669.85"/>
    <s v="Normal"/>
  </r>
  <r>
    <s v="TRX0057"/>
    <x v="91"/>
    <s v="CUST023"/>
    <s v="Paul Baker"/>
    <s v="P009"/>
    <s v="Monitor"/>
    <x v="0"/>
    <n v="5"/>
    <n v="249.99"/>
    <s v="Credit Card"/>
    <s v="South"/>
    <s v="Standard"/>
    <x v="131"/>
    <x v="16"/>
    <m/>
    <x v="1"/>
    <m/>
    <m/>
    <m/>
    <m/>
    <n v="13809.790000000006"/>
    <s v="High Value"/>
  </r>
  <r>
    <s v="TRX0017"/>
    <x v="92"/>
    <s v="CUST026"/>
    <s v="Karen Hill"/>
    <s v="P007"/>
    <s v="Desk"/>
    <x v="2"/>
    <n v="3"/>
    <n v="299.99"/>
    <s v="Credit Card"/>
    <s v="South"/>
    <s v="Standard"/>
    <x v="132"/>
    <x v="23"/>
    <m/>
    <x v="1"/>
    <m/>
    <m/>
    <m/>
    <m/>
    <n v="8009.7699999999995"/>
    <s v="Normal"/>
  </r>
  <r>
    <s v="TRX0060"/>
    <x v="93"/>
    <s v="CUST012"/>
    <s v="Patricia Moore"/>
    <s v="P010"/>
    <s v="Keyboard"/>
    <x v="0"/>
    <n v="3"/>
    <n v="89.99"/>
    <s v="Credit Card"/>
    <s v="North"/>
    <s v="Premium"/>
    <x v="133"/>
    <x v="25"/>
    <m/>
    <x v="1"/>
    <m/>
    <m/>
    <m/>
    <m/>
    <n v="9799.73"/>
    <s v="Normal"/>
  </r>
  <r>
    <s v="TRX0109"/>
    <x v="94"/>
    <s v="CUST010"/>
    <s v="Maria Garcia"/>
    <s v="P008"/>
    <s v="Bookshelf"/>
    <x v="2"/>
    <n v="2"/>
    <n v="149.99"/>
    <s v="Credit Card"/>
    <s v="West"/>
    <s v="Premium"/>
    <x v="134"/>
    <x v="22"/>
    <m/>
    <x v="1"/>
    <m/>
    <m/>
    <m/>
    <m/>
    <n v="1909.93"/>
    <s v="Normal"/>
  </r>
  <r>
    <s v="TRX0090"/>
    <x v="95"/>
    <s v="CUST020"/>
    <s v="Margaret Wright"/>
    <s v="P009"/>
    <s v="Monitor"/>
    <x v="0"/>
    <n v="1"/>
    <n v="249.99"/>
    <s v="Credit Card"/>
    <s v="North"/>
    <s v="Premium"/>
    <x v="135"/>
    <x v="40"/>
    <m/>
    <x v="1"/>
    <m/>
    <m/>
    <m/>
    <m/>
    <n v="2099.88"/>
    <s v="Normal"/>
  </r>
  <r>
    <s v="TRX0035"/>
    <x v="96"/>
    <s v="CUST041"/>
    <s v="Peter Richardson"/>
    <s v="P003"/>
    <s v="Headphones"/>
    <x v="0"/>
    <n v="3"/>
    <n v="149.99"/>
    <s v="Cash"/>
    <s v="North"/>
    <s v="Basic"/>
    <x v="136"/>
    <x v="6"/>
    <m/>
    <x v="1"/>
    <m/>
    <m/>
    <m/>
    <m/>
    <n v="5949.85"/>
    <s v="Normal"/>
  </r>
  <r>
    <s v="TRX0172"/>
    <x v="96"/>
    <s v="CUST023"/>
    <s v="Paul Baker"/>
    <s v="P005"/>
    <s v="Blender"/>
    <x v="1"/>
    <n v="5"/>
    <n v="59.99"/>
    <s v="PayPal"/>
    <s v="West"/>
    <s v="Premium"/>
    <x v="137"/>
    <x v="43"/>
    <m/>
    <x v="1"/>
    <m/>
    <m/>
    <m/>
    <m/>
    <n v="13809.790000000006"/>
    <s v="High Value"/>
  </r>
  <r>
    <s v="TRX0076"/>
    <x v="96"/>
    <s v="CUST012"/>
    <s v="Patricia Moore"/>
    <s v="P009"/>
    <s v="Monitor"/>
    <x v="0"/>
    <n v="4"/>
    <n v="249.99"/>
    <s v="Credit Card"/>
    <s v="West"/>
    <s v="Standard"/>
    <x v="138"/>
    <x v="14"/>
    <m/>
    <x v="1"/>
    <m/>
    <m/>
    <m/>
    <m/>
    <n v="9799.73"/>
    <s v="Normal"/>
  </r>
  <r>
    <s v="TRX0210"/>
    <x v="97"/>
    <s v="CUST004"/>
    <s v="Sarah Davis"/>
    <s v="P008"/>
    <s v="Bookshelf"/>
    <x v="2"/>
    <n v="5"/>
    <n v="149.99"/>
    <s v="PayPal"/>
    <s v="Central"/>
    <s v="Basic"/>
    <x v="139"/>
    <x v="2"/>
    <m/>
    <x v="1"/>
    <m/>
    <m/>
    <m/>
    <m/>
    <n v="5499.81"/>
    <s v="Normal"/>
  </r>
  <r>
    <s v="TRX0149"/>
    <x v="97"/>
    <s v="CUST027"/>
    <s v="George Adams"/>
    <s v="P005"/>
    <s v="Blender"/>
    <x v="1"/>
    <n v="3"/>
    <n v="59.99"/>
    <s v="Debit Card"/>
    <s v="South"/>
    <s v="Standard"/>
    <x v="140"/>
    <x v="1"/>
    <m/>
    <x v="1"/>
    <m/>
    <m/>
    <m/>
    <m/>
    <n v="3779.93"/>
    <s v="Normal"/>
  </r>
  <r>
    <s v="TRX0073"/>
    <x v="98"/>
    <s v="CUST032"/>
    <s v="Sandra Phillips"/>
    <s v="P008"/>
    <s v="Bookshelf"/>
    <x v="2"/>
    <n v="5"/>
    <n v="149.99"/>
    <s v="Cash"/>
    <s v="North"/>
    <s v="Basic"/>
    <x v="141"/>
    <x v="2"/>
    <m/>
    <x v="1"/>
    <m/>
    <m/>
    <m/>
    <m/>
    <n v="6349.8300000000008"/>
    <s v="Normal"/>
  </r>
  <r>
    <s v="TRX0033"/>
    <x v="98"/>
    <s v="CUST025"/>
    <s v="Mark Carter"/>
    <s v="P002"/>
    <s v="Smartphone"/>
    <x v="0"/>
    <n v="2"/>
    <n v="699.99"/>
    <s v="PayPal"/>
    <s v="West"/>
    <s v="Standard"/>
    <x v="142"/>
    <x v="10"/>
    <m/>
    <x v="1"/>
    <m/>
    <m/>
    <m/>
    <m/>
    <n v="15659.65"/>
    <s v="High Value"/>
  </r>
  <r>
    <s v="TRX0160"/>
    <x v="99"/>
    <s v="CUST029"/>
    <s v="Edward Mitchell"/>
    <s v="P006"/>
    <s v="Office Chair"/>
    <x v="2"/>
    <n v="4"/>
    <n v="199.99"/>
    <s v="Debit Card"/>
    <s v="Central"/>
    <s v="Premium"/>
    <x v="143"/>
    <x v="38"/>
    <m/>
    <x v="1"/>
    <m/>
    <m/>
    <m/>
    <m/>
    <n v="11919.77"/>
    <s v="High Value"/>
  </r>
  <r>
    <s v="TRX0145"/>
    <x v="100"/>
    <s v="CUST033"/>
    <s v="Frank Torres"/>
    <s v="P005"/>
    <s v="Blender"/>
    <x v="1"/>
    <n v="1"/>
    <n v="59.99"/>
    <s v="Debit Card"/>
    <s v="West"/>
    <s v="Standard"/>
    <x v="144"/>
    <x v="31"/>
    <m/>
    <x v="1"/>
    <m/>
    <m/>
    <m/>
    <m/>
    <n v="1479.91"/>
    <s v="Normal"/>
  </r>
  <r>
    <s v="TRX0148"/>
    <x v="100"/>
    <s v="CUST004"/>
    <s v="Sarah Davis"/>
    <s v="P002"/>
    <s v="Smartphone"/>
    <x v="0"/>
    <n v="3"/>
    <n v="699.99"/>
    <s v="PayPal"/>
    <s v="West"/>
    <s v="Standard"/>
    <x v="145"/>
    <x v="7"/>
    <m/>
    <x v="1"/>
    <m/>
    <m/>
    <m/>
    <m/>
    <n v="5499.81"/>
    <s v="Normal"/>
  </r>
  <r>
    <s v="TRX0012"/>
    <x v="101"/>
    <s v="CUST045"/>
    <s v="Douglas Watson"/>
    <s v="P009"/>
    <s v="Monitor"/>
    <x v="0"/>
    <n v="5"/>
    <n v="249.99"/>
    <s v="Credit Card"/>
    <s v="North"/>
    <s v="Basic"/>
    <x v="146"/>
    <x v="16"/>
    <m/>
    <x v="1"/>
    <m/>
    <m/>
    <m/>
    <m/>
    <n v="4829.8900000000003"/>
    <s v="Normal"/>
  </r>
  <r>
    <s v="TRX0206"/>
    <x v="102"/>
    <s v="CUST014"/>
    <s v="Linda Martin"/>
    <s v="P008"/>
    <s v="Bookshelf"/>
    <x v="2"/>
    <n v="2"/>
    <n v="149.99"/>
    <s v="Cash"/>
    <s v="South"/>
    <s v="Standard"/>
    <x v="147"/>
    <x v="22"/>
    <m/>
    <x v="1"/>
    <m/>
    <m/>
    <m/>
    <m/>
    <n v="1289.9000000000001"/>
    <s v="Normal"/>
  </r>
  <r>
    <s v="TRX0045"/>
    <x v="103"/>
    <s v="CUST021"/>
    <s v="Kevin Scott"/>
    <s v="P007"/>
    <s v="Desk"/>
    <x v="2"/>
    <n v="3"/>
    <n v="299.99"/>
    <s v="Cash"/>
    <s v="South"/>
    <s v="Premium"/>
    <x v="138"/>
    <x v="23"/>
    <m/>
    <x v="1"/>
    <m/>
    <m/>
    <m/>
    <m/>
    <n v="3259.87"/>
    <s v="Normal"/>
  </r>
  <r>
    <s v="TRX0094"/>
    <x v="103"/>
    <s v="CUST017"/>
    <s v="Charles Allen"/>
    <s v="P009"/>
    <s v="Monitor"/>
    <x v="0"/>
    <n v="5"/>
    <n v="249.99"/>
    <s v="Cash"/>
    <s v="Central"/>
    <s v="Premium"/>
    <x v="148"/>
    <x v="16"/>
    <m/>
    <x v="1"/>
    <m/>
    <m/>
    <m/>
    <m/>
    <n v="5089.7300000000005"/>
    <s v="Normal"/>
  </r>
  <r>
    <s v="TRX0133"/>
    <x v="103"/>
    <s v="CUST013"/>
    <s v="Joseph Jackson"/>
    <s v="P003"/>
    <s v="Headphones"/>
    <x v="0"/>
    <n v="2"/>
    <n v="149.99"/>
    <s v="Cash"/>
    <s v="South"/>
    <s v="Premium"/>
    <x v="149"/>
    <x v="22"/>
    <m/>
    <x v="1"/>
    <m/>
    <m/>
    <m/>
    <m/>
    <n v="6949.84"/>
    <s v="Normal"/>
  </r>
  <r>
    <s v="TRX0201"/>
    <x v="103"/>
    <s v="CUST025"/>
    <s v="Mark Carter"/>
    <s v="P002"/>
    <s v="Smartphone"/>
    <x v="0"/>
    <n v="5"/>
    <n v="699.99"/>
    <s v="Debit Card"/>
    <s v="West"/>
    <s v="Standard"/>
    <x v="150"/>
    <x v="12"/>
    <m/>
    <x v="1"/>
    <m/>
    <m/>
    <m/>
    <m/>
    <n v="15659.65"/>
    <s v="High Value"/>
  </r>
  <r>
    <s v="TRX0137"/>
    <x v="104"/>
    <s v="CUST011"/>
    <s v="William White"/>
    <s v="P009"/>
    <s v="Monitor"/>
    <x v="0"/>
    <n v="4"/>
    <n v="249.99"/>
    <s v="PayPal"/>
    <s v="East"/>
    <s v="Premium"/>
    <x v="151"/>
    <x v="14"/>
    <m/>
    <x v="1"/>
    <m/>
    <m/>
    <m/>
    <m/>
    <n v="4749.91"/>
    <s v="Normal"/>
  </r>
  <r>
    <s v="TRX0066"/>
    <x v="105"/>
    <s v="CUST024"/>
    <s v="Dorothy Nelson"/>
    <s v="P002"/>
    <s v="Smartphone"/>
    <x v="0"/>
    <n v="4"/>
    <n v="699.99"/>
    <s v="Credit Card"/>
    <s v="North"/>
    <s v="Premium"/>
    <x v="152"/>
    <x v="13"/>
    <m/>
    <x v="1"/>
    <m/>
    <m/>
    <m/>
    <m/>
    <n v="8269.7900000000009"/>
    <s v="Normal"/>
  </r>
  <r>
    <s v="TRX0180"/>
    <x v="106"/>
    <s v="CUST036"/>
    <s v="Nancy Collins"/>
    <s v="P009"/>
    <s v="Monitor"/>
    <x v="0"/>
    <n v="2"/>
    <n v="249.99"/>
    <s v="Credit Card"/>
    <s v="Central"/>
    <s v="Premium"/>
    <x v="153"/>
    <x v="37"/>
    <m/>
    <x v="1"/>
    <m/>
    <m/>
    <m/>
    <m/>
    <n v="4189.7700000000004"/>
    <s v="Normal"/>
  </r>
  <r>
    <s v="TRX0082"/>
    <x v="106"/>
    <s v="CUST005"/>
    <s v="James Johnson"/>
    <s v="P005"/>
    <s v="Blender"/>
    <x v="1"/>
    <n v="3"/>
    <n v="59.99"/>
    <s v="Cash"/>
    <s v="Central"/>
    <s v="Premium"/>
    <x v="154"/>
    <x v="1"/>
    <m/>
    <x v="1"/>
    <m/>
    <m/>
    <m/>
    <m/>
    <n v="179.97"/>
    <s v="Normal"/>
  </r>
  <r>
    <s v="TRX0036"/>
    <x v="106"/>
    <s v="CUST008"/>
    <s v="Jennifer Taylor"/>
    <s v="P004"/>
    <s v="Coffee Maker"/>
    <x v="1"/>
    <n v="4"/>
    <n v="79.989999999999995"/>
    <s v="Debit Card"/>
    <s v="East"/>
    <s v="Standard"/>
    <x v="155"/>
    <x v="41"/>
    <m/>
    <x v="1"/>
    <m/>
    <m/>
    <m/>
    <m/>
    <n v="4739.8500000000004"/>
    <s v="Normal"/>
  </r>
  <r>
    <s v="TRX0198"/>
    <x v="107"/>
    <s v="CUST030"/>
    <s v="Helen Roberts"/>
    <s v="P004"/>
    <s v="Coffee Maker"/>
    <x v="1"/>
    <n v="3"/>
    <n v="79.989999999999995"/>
    <s v="Debit Card"/>
    <s v="East"/>
    <s v="Standard"/>
    <x v="96"/>
    <x v="18"/>
    <m/>
    <x v="1"/>
    <m/>
    <m/>
    <m/>
    <m/>
    <n v="6459.79"/>
    <s v="Normal"/>
  </r>
  <r>
    <s v="TRX0032"/>
    <x v="108"/>
    <s v="CUST041"/>
    <s v="Peter Richardson"/>
    <s v="P001"/>
    <s v="Laptop"/>
    <x v="0"/>
    <n v="2"/>
    <n v="899.99"/>
    <s v="Cash"/>
    <s v="North"/>
    <s v="Basic"/>
    <x v="156"/>
    <x v="44"/>
    <m/>
    <x v="1"/>
    <m/>
    <m/>
    <m/>
    <m/>
    <n v="5949.85"/>
    <s v="Normal"/>
  </r>
  <r>
    <s v="TRX0081"/>
    <x v="109"/>
    <s v="CUST007"/>
    <s v="David Martinez"/>
    <s v="P008"/>
    <s v="Bookshelf"/>
    <x v="2"/>
    <n v="1"/>
    <n v="149.99"/>
    <s v="Debit Card"/>
    <s v="East"/>
    <s v="Standard"/>
    <x v="157"/>
    <x v="5"/>
    <m/>
    <x v="1"/>
    <m/>
    <m/>
    <m/>
    <m/>
    <n v="1809.84"/>
    <s v="Normal"/>
  </r>
  <r>
    <s v="TRX0224"/>
    <x v="109"/>
    <s v="CUST031"/>
    <s v="Steven Turner"/>
    <s v="P007"/>
    <s v="Desk"/>
    <x v="2"/>
    <n v="2"/>
    <n v="299.99"/>
    <s v="Cash"/>
    <s v="East"/>
    <s v="Premium"/>
    <x v="158"/>
    <x v="32"/>
    <m/>
    <x v="1"/>
    <m/>
    <m/>
    <m/>
    <m/>
    <n v="2649.83"/>
    <s v="Normal"/>
  </r>
  <r>
    <s v="TRX0028"/>
    <x v="110"/>
    <s v="CUST002"/>
    <s v="Emma Wilson"/>
    <s v="P005"/>
    <s v="Blender"/>
    <x v="1"/>
    <n v="2"/>
    <n v="59.99"/>
    <s v="Cash"/>
    <s v="West"/>
    <s v="Basic"/>
    <x v="159"/>
    <x v="3"/>
    <m/>
    <x v="1"/>
    <m/>
    <m/>
    <m/>
    <m/>
    <n v="1229.8800000000001"/>
    <s v="Normal"/>
  </r>
  <r>
    <s v="TRX0183"/>
    <x v="111"/>
    <s v="CUST007"/>
    <s v="David Martinez"/>
    <s v="P010"/>
    <s v="Keyboard"/>
    <x v="0"/>
    <n v="1"/>
    <n v="89.99"/>
    <s v="Debit Card"/>
    <s v="Central"/>
    <s v="Standard"/>
    <x v="160"/>
    <x v="27"/>
    <m/>
    <x v="1"/>
    <m/>
    <m/>
    <m/>
    <m/>
    <n v="1809.84"/>
    <s v="Normal"/>
  </r>
  <r>
    <s v="TRX0163"/>
    <x v="111"/>
    <s v="CUST019"/>
    <s v="Daniel King"/>
    <s v="P001"/>
    <s v="Laptop"/>
    <x v="0"/>
    <n v="5"/>
    <n v="899.99"/>
    <s v="Debit Card"/>
    <s v="East"/>
    <s v="Standard"/>
    <x v="161"/>
    <x v="30"/>
    <m/>
    <x v="1"/>
    <m/>
    <m/>
    <m/>
    <m/>
    <n v="7309.7999999999993"/>
    <s v="Normal"/>
  </r>
  <r>
    <s v="TRX0046"/>
    <x v="112"/>
    <s v="CUST003"/>
    <s v="Michael Brown"/>
    <s v="P008"/>
    <s v="Bookshelf"/>
    <x v="2"/>
    <n v="2"/>
    <n v="149.99"/>
    <s v="Cash"/>
    <s v="South"/>
    <s v="Basic"/>
    <x v="162"/>
    <x v="22"/>
    <m/>
    <x v="1"/>
    <m/>
    <m/>
    <m/>
    <m/>
    <n v="6169.7400000000007"/>
    <s v="Normal"/>
  </r>
  <r>
    <s v="TRX0164"/>
    <x v="113"/>
    <s v="CUST014"/>
    <s v="Linda Martin"/>
    <s v="P003"/>
    <s v="Headphones"/>
    <x v="0"/>
    <n v="2"/>
    <n v="149.99"/>
    <s v="Debit Card"/>
    <s v="West"/>
    <s v="Premium"/>
    <x v="163"/>
    <x v="22"/>
    <m/>
    <x v="1"/>
    <m/>
    <m/>
    <m/>
    <m/>
    <n v="1289.9000000000001"/>
    <s v="Normal"/>
  </r>
  <r>
    <s v="TRX0008"/>
    <x v="113"/>
    <s v="CUST007"/>
    <s v="David Martinez"/>
    <s v="P008"/>
    <s v="Bookshelf"/>
    <x v="2"/>
    <n v="3"/>
    <n v="149.99"/>
    <s v="Debit Card"/>
    <s v="North"/>
    <s v="Standard"/>
    <x v="164"/>
    <x v="6"/>
    <m/>
    <x v="1"/>
    <m/>
    <m/>
    <m/>
    <m/>
    <n v="1809.84"/>
    <s v="Normal"/>
  </r>
  <r>
    <s v="TRX0171"/>
    <x v="114"/>
    <s v="CUST021"/>
    <s v="Kevin Scott"/>
    <s v="P007"/>
    <s v="Desk"/>
    <x v="2"/>
    <n v="2"/>
    <n v="299.99"/>
    <s v="PayPal"/>
    <s v="South"/>
    <s v="Basic"/>
    <x v="165"/>
    <x v="32"/>
    <m/>
    <x v="1"/>
    <m/>
    <m/>
    <m/>
    <m/>
    <n v="3259.87"/>
    <s v="Normal"/>
  </r>
  <r>
    <s v="TRX0143"/>
    <x v="115"/>
    <s v="CUST003"/>
    <s v="Michael Brown"/>
    <s v="P007"/>
    <s v="Desk"/>
    <x v="2"/>
    <n v="2"/>
    <n v="299.99"/>
    <s v="Cash"/>
    <s v="West"/>
    <s v="Basic"/>
    <x v="166"/>
    <x v="32"/>
    <m/>
    <x v="1"/>
    <m/>
    <m/>
    <m/>
    <m/>
    <n v="6169.7400000000007"/>
    <s v="Normal"/>
  </r>
  <r>
    <s v="TRX0165"/>
    <x v="115"/>
    <s v="CUST030"/>
    <s v="Helen Roberts"/>
    <s v="P006"/>
    <s v="Office Chair"/>
    <x v="2"/>
    <n v="4"/>
    <n v="199.99"/>
    <s v="Credit Card"/>
    <s v="Central"/>
    <s v="Basic"/>
    <x v="82"/>
    <x v="38"/>
    <m/>
    <x v="1"/>
    <m/>
    <m/>
    <m/>
    <m/>
    <n v="6459.79"/>
    <s v="Normal"/>
  </r>
  <r>
    <s v="TRX0156"/>
    <x v="116"/>
    <s v="CUST009"/>
    <s v="Robert Thomas"/>
    <s v="P010"/>
    <s v="Keyboard"/>
    <x v="0"/>
    <n v="1"/>
    <n v="89.99"/>
    <s v="Credit Card"/>
    <s v="South"/>
    <s v="Premium"/>
    <x v="167"/>
    <x v="27"/>
    <m/>
    <x v="1"/>
    <m/>
    <m/>
    <m/>
    <m/>
    <n v="3509.8999999999996"/>
    <s v="Normal"/>
  </r>
  <r>
    <s v="TRX0147"/>
    <x v="116"/>
    <s v="CUST036"/>
    <s v="Nancy Collins"/>
    <s v="P008"/>
    <s v="Bookshelf"/>
    <x v="2"/>
    <n v="5"/>
    <n v="149.99"/>
    <s v="Cash"/>
    <s v="Central"/>
    <s v="Premium"/>
    <x v="168"/>
    <x v="2"/>
    <m/>
    <x v="1"/>
    <m/>
    <m/>
    <m/>
    <m/>
    <n v="4189.7700000000004"/>
    <s v="Normal"/>
  </r>
  <r>
    <s v="TRX0207"/>
    <x v="117"/>
    <s v="CUST025"/>
    <s v="Mark Carter"/>
    <s v="P001"/>
    <s v="Laptop"/>
    <x v="0"/>
    <n v="1"/>
    <n v="899.99"/>
    <s v="PayPal"/>
    <s v="North"/>
    <s v="Premium"/>
    <x v="169"/>
    <x v="8"/>
    <m/>
    <x v="1"/>
    <m/>
    <m/>
    <m/>
    <m/>
    <n v="15659.65"/>
    <s v="High Value"/>
  </r>
  <r>
    <s v="TRX0056"/>
    <x v="118"/>
    <s v="CUST019"/>
    <s v="Daniel King"/>
    <s v="P010"/>
    <s v="Keyboard"/>
    <x v="0"/>
    <n v="2"/>
    <n v="89.99"/>
    <s v="Credit Card"/>
    <s v="South"/>
    <s v="Premium"/>
    <x v="170"/>
    <x v="28"/>
    <m/>
    <x v="1"/>
    <m/>
    <m/>
    <m/>
    <m/>
    <n v="7309.7999999999993"/>
    <s v="Normal"/>
  </r>
  <r>
    <s v="TRX0026"/>
    <x v="119"/>
    <s v="CUST037"/>
    <s v="Arthur Edwards"/>
    <s v="P001"/>
    <s v="Laptop"/>
    <x v="0"/>
    <n v="1"/>
    <n v="899.99"/>
    <s v="PayPal"/>
    <s v="North"/>
    <s v="Standard"/>
    <x v="171"/>
    <x v="8"/>
    <m/>
    <x v="1"/>
    <m/>
    <m/>
    <m/>
    <m/>
    <n v="1559.94"/>
    <s v="Normal"/>
  </r>
  <r>
    <s v="TRX0237"/>
    <x v="120"/>
    <s v="CUST006"/>
    <s v="Lisa Anderson"/>
    <s v="P003"/>
    <s v="Headphones"/>
    <x v="0"/>
    <n v="5"/>
    <n v="149.99"/>
    <s v="PayPal"/>
    <s v="East"/>
    <s v="Premium"/>
    <x v="34"/>
    <x v="2"/>
    <m/>
    <x v="1"/>
    <m/>
    <m/>
    <m/>
    <m/>
    <n v="2039.8000000000002"/>
    <s v="Normal"/>
  </r>
  <r>
    <s v="TRX0091"/>
    <x v="120"/>
    <s v="CUST003"/>
    <s v="Michael Brown"/>
    <s v="P007"/>
    <s v="Desk"/>
    <x v="2"/>
    <n v="3"/>
    <n v="299.99"/>
    <s v="Cash"/>
    <s v="South"/>
    <s v="Standard"/>
    <x v="172"/>
    <x v="23"/>
    <m/>
    <x v="1"/>
    <m/>
    <m/>
    <m/>
    <m/>
    <n v="6169.7400000000007"/>
    <s v="Normal"/>
  </r>
  <r>
    <s v="TRX0125"/>
    <x v="121"/>
    <s v="CUST026"/>
    <s v="Karen Hill"/>
    <s v="P002"/>
    <s v="Smartphone"/>
    <x v="0"/>
    <n v="3"/>
    <n v="699.99"/>
    <s v="Credit Card"/>
    <s v="Central"/>
    <s v="Premium"/>
    <x v="173"/>
    <x v="7"/>
    <m/>
    <x v="1"/>
    <m/>
    <m/>
    <m/>
    <m/>
    <n v="8009.7699999999995"/>
    <s v="Normal"/>
  </r>
  <r>
    <s v="TRX0223"/>
    <x v="122"/>
    <s v="CUST036"/>
    <s v="Nancy Collins"/>
    <s v="P006"/>
    <s v="Office Chair"/>
    <x v="2"/>
    <n v="5"/>
    <n v="199.99"/>
    <s v="PayPal"/>
    <s v="Central"/>
    <s v="Standard"/>
    <x v="174"/>
    <x v="21"/>
    <m/>
    <x v="1"/>
    <m/>
    <m/>
    <m/>
    <m/>
    <n v="4189.7700000000004"/>
    <s v="Normal"/>
  </r>
  <r>
    <s v="TRX0243"/>
    <x v="122"/>
    <s v="CUST048"/>
    <s v="Virginia Sanders"/>
    <s v="P009"/>
    <s v="Monitor"/>
    <x v="0"/>
    <n v="5"/>
    <n v="249.99"/>
    <s v="Credit Card"/>
    <s v="South"/>
    <s v="Basic"/>
    <x v="175"/>
    <x v="16"/>
    <m/>
    <x v="1"/>
    <m/>
    <m/>
    <m/>
    <m/>
    <n v="4789.7900000000009"/>
    <s v="Normal"/>
  </r>
  <r>
    <s v="TRX0084"/>
    <x v="123"/>
    <s v="CUST031"/>
    <s v="Steven Turner"/>
    <s v="P003"/>
    <s v="Headphones"/>
    <x v="0"/>
    <n v="4"/>
    <n v="149.99"/>
    <s v="Debit Card"/>
    <s v="East"/>
    <s v="Standard"/>
    <x v="176"/>
    <x v="9"/>
    <m/>
    <x v="1"/>
    <m/>
    <m/>
    <m/>
    <m/>
    <n v="2649.83"/>
    <s v="Normal"/>
  </r>
  <r>
    <s v="TRX0238"/>
    <x v="123"/>
    <s v="CUST038"/>
    <s v="Michelle Rogers"/>
    <s v="P002"/>
    <s v="Smartphone"/>
    <x v="0"/>
    <n v="3"/>
    <n v="699.99"/>
    <s v="Cash"/>
    <s v="North"/>
    <s v="Premium"/>
    <x v="177"/>
    <x v="7"/>
    <m/>
    <x v="1"/>
    <m/>
    <m/>
    <m/>
    <m/>
    <n v="4199.9400000000005"/>
    <s v="Normal"/>
  </r>
  <r>
    <s v="TRX0102"/>
    <x v="124"/>
    <s v="CUST045"/>
    <s v="Douglas Watson"/>
    <s v="P004"/>
    <s v="Coffee Maker"/>
    <x v="1"/>
    <n v="1"/>
    <n v="79.989999999999995"/>
    <s v="Credit Card"/>
    <s v="South"/>
    <s v="Basic"/>
    <x v="178"/>
    <x v="26"/>
    <m/>
    <x v="1"/>
    <m/>
    <m/>
    <m/>
    <m/>
    <n v="4829.8900000000003"/>
    <s v="Normal"/>
  </r>
  <r>
    <s v="TRX0022"/>
    <x v="124"/>
    <s v="CUST025"/>
    <s v="Mark Carter"/>
    <s v="P007"/>
    <s v="Desk"/>
    <x v="2"/>
    <n v="1"/>
    <n v="299.99"/>
    <s v="Credit Card"/>
    <s v="North"/>
    <s v="Basic"/>
    <x v="179"/>
    <x v="35"/>
    <m/>
    <x v="1"/>
    <m/>
    <m/>
    <m/>
    <m/>
    <n v="15659.65"/>
    <s v="High Value"/>
  </r>
  <r>
    <s v="TRX0087"/>
    <x v="125"/>
    <s v="CUST028"/>
    <s v="Betty Campbell"/>
    <s v="P009"/>
    <s v="Monitor"/>
    <x v="0"/>
    <n v="4"/>
    <n v="249.99"/>
    <s v="Credit Card"/>
    <s v="North"/>
    <s v="Premium"/>
    <x v="116"/>
    <x v="14"/>
    <m/>
    <x v="1"/>
    <m/>
    <m/>
    <m/>
    <m/>
    <n v="5649.84"/>
    <s v="Normal"/>
  </r>
  <r>
    <s v="TRX0107"/>
    <x v="125"/>
    <s v="CUST030"/>
    <s v="Helen Roberts"/>
    <s v="P003"/>
    <s v="Headphones"/>
    <x v="0"/>
    <n v="2"/>
    <n v="149.99"/>
    <s v="Cash"/>
    <s v="North"/>
    <s v="Standard"/>
    <x v="180"/>
    <x v="22"/>
    <m/>
    <x v="1"/>
    <m/>
    <m/>
    <m/>
    <m/>
    <n v="6459.79"/>
    <s v="Normal"/>
  </r>
  <r>
    <s v="TRX0051"/>
    <x v="125"/>
    <s v="CUST032"/>
    <s v="Sandra Phillips"/>
    <s v="P007"/>
    <s v="Desk"/>
    <x v="2"/>
    <n v="3"/>
    <n v="299.99"/>
    <s v="Credit Card"/>
    <s v="South"/>
    <s v="Basic"/>
    <x v="181"/>
    <x v="23"/>
    <m/>
    <x v="1"/>
    <m/>
    <m/>
    <m/>
    <m/>
    <n v="6349.8300000000008"/>
    <s v="Normal"/>
  </r>
  <r>
    <s v="TRX0106"/>
    <x v="126"/>
    <s v="CUST039"/>
    <s v="Lawrence Reed"/>
    <s v="P006"/>
    <s v="Office Chair"/>
    <x v="2"/>
    <n v="4"/>
    <n v="199.99"/>
    <s v="Debit Card"/>
    <s v="South"/>
    <s v="Standard"/>
    <x v="182"/>
    <x v="38"/>
    <m/>
    <x v="1"/>
    <m/>
    <m/>
    <m/>
    <m/>
    <n v="6989.7699999999986"/>
    <s v="Normal"/>
  </r>
  <r>
    <s v="TRX0059"/>
    <x v="126"/>
    <s v="CUST016"/>
    <s v="Elizabeth Hall"/>
    <s v="P007"/>
    <s v="Desk"/>
    <x v="2"/>
    <n v="5"/>
    <n v="299.99"/>
    <s v="Debit Card"/>
    <s v="Central"/>
    <s v="Basic"/>
    <x v="183"/>
    <x v="17"/>
    <m/>
    <x v="1"/>
    <m/>
    <m/>
    <m/>
    <m/>
    <n v="3649.8599999999997"/>
    <s v="Normal"/>
  </r>
  <r>
    <s v="TRX0072"/>
    <x v="126"/>
    <s v="CUST009"/>
    <s v="Robert Thomas"/>
    <s v="P008"/>
    <s v="Bookshelf"/>
    <x v="2"/>
    <n v="3"/>
    <n v="149.99"/>
    <s v="Credit Card"/>
    <s v="East"/>
    <s v="Standard"/>
    <x v="184"/>
    <x v="6"/>
    <m/>
    <x v="1"/>
    <m/>
    <m/>
    <m/>
    <m/>
    <n v="3509.8999999999996"/>
    <s v="Normal"/>
  </r>
  <r>
    <s v="TRX0110"/>
    <x v="127"/>
    <s v="CUST006"/>
    <s v="Lisa Anderson"/>
    <s v="P005"/>
    <s v="Blender"/>
    <x v="1"/>
    <n v="5"/>
    <n v="59.99"/>
    <s v="Debit Card"/>
    <s v="East"/>
    <s v="Basic"/>
    <x v="185"/>
    <x v="43"/>
    <m/>
    <x v="1"/>
    <m/>
    <m/>
    <m/>
    <m/>
    <n v="2039.8000000000002"/>
    <s v="Normal"/>
  </r>
  <r>
    <s v="TRX0126"/>
    <x v="128"/>
    <s v="CUST022"/>
    <s v="Susan Green"/>
    <s v="P005"/>
    <s v="Blender"/>
    <x v="1"/>
    <n v="4"/>
    <n v="59.99"/>
    <s v="Debit Card"/>
    <s v="East"/>
    <s v="Standard"/>
    <x v="170"/>
    <x v="20"/>
    <m/>
    <x v="1"/>
    <m/>
    <m/>
    <m/>
    <m/>
    <n v="1979.89"/>
    <s v="Normal"/>
  </r>
  <r>
    <s v="TRX0159"/>
    <x v="129"/>
    <s v="CUST024"/>
    <s v="Dorothy Nelson"/>
    <s v="P009"/>
    <s v="Monitor"/>
    <x v="0"/>
    <n v="4"/>
    <n v="249.99"/>
    <s v="Debit Card"/>
    <s v="Central"/>
    <s v="Premium"/>
    <x v="186"/>
    <x v="14"/>
    <m/>
    <x v="1"/>
    <m/>
    <m/>
    <m/>
    <m/>
    <n v="8269.7900000000009"/>
    <s v="Normal"/>
  </r>
  <r>
    <s v="TRX0030"/>
    <x v="130"/>
    <s v="CUST011"/>
    <s v="William White"/>
    <s v="P001"/>
    <s v="Laptop"/>
    <x v="0"/>
    <n v="4"/>
    <n v="899.99"/>
    <s v="PayPal"/>
    <s v="Central"/>
    <s v="Basic"/>
    <x v="187"/>
    <x v="11"/>
    <m/>
    <x v="1"/>
    <m/>
    <m/>
    <m/>
    <m/>
    <n v="4749.91"/>
    <s v="Normal"/>
  </r>
  <r>
    <s v="TRX0178"/>
    <x v="130"/>
    <s v="CUST025"/>
    <s v="Mark Carter"/>
    <s v="P007"/>
    <s v="Desk"/>
    <x v="2"/>
    <n v="3"/>
    <n v="299.99"/>
    <s v="Debit Card"/>
    <s v="West"/>
    <s v="Standard"/>
    <x v="188"/>
    <x v="23"/>
    <m/>
    <x v="1"/>
    <m/>
    <m/>
    <m/>
    <m/>
    <n v="15659.65"/>
    <s v="High Value"/>
  </r>
  <r>
    <s v="TRX0188"/>
    <x v="130"/>
    <s v="CUST045"/>
    <s v="Douglas Watson"/>
    <s v="P002"/>
    <s v="Smartphone"/>
    <x v="0"/>
    <n v="2"/>
    <n v="699.99"/>
    <s v="Debit Card"/>
    <s v="Central"/>
    <s v="Premium"/>
    <x v="189"/>
    <x v="10"/>
    <m/>
    <x v="1"/>
    <m/>
    <m/>
    <m/>
    <m/>
    <n v="4829.8900000000003"/>
    <s v="Normal"/>
  </r>
  <r>
    <s v="TRX0010"/>
    <x v="131"/>
    <s v="CUST026"/>
    <s v="Karen Hill"/>
    <s v="P002"/>
    <s v="Smartphone"/>
    <x v="0"/>
    <n v="4"/>
    <n v="699.99"/>
    <s v="Debit Card"/>
    <s v="West"/>
    <s v="Premium"/>
    <x v="190"/>
    <x v="13"/>
    <m/>
    <x v="1"/>
    <m/>
    <m/>
    <m/>
    <m/>
    <n v="8009.7699999999995"/>
    <s v="Normal"/>
  </r>
  <r>
    <s v="TRX0069"/>
    <x v="131"/>
    <s v="CUST029"/>
    <s v="Edward Mitchell"/>
    <s v="P010"/>
    <s v="Keyboard"/>
    <x v="0"/>
    <n v="2"/>
    <n v="89.99"/>
    <s v="Debit Card"/>
    <s v="South"/>
    <s v="Basic"/>
    <x v="191"/>
    <x v="28"/>
    <m/>
    <x v="1"/>
    <m/>
    <m/>
    <m/>
    <m/>
    <n v="11919.77"/>
    <s v="High Value"/>
  </r>
  <r>
    <s v="TRX0166"/>
    <x v="131"/>
    <s v="CUST003"/>
    <s v="Michael Brown"/>
    <s v="P010"/>
    <s v="Keyboard"/>
    <x v="0"/>
    <n v="3"/>
    <n v="89.99"/>
    <s v="Debit Card"/>
    <s v="South"/>
    <s v="Premium"/>
    <x v="192"/>
    <x v="25"/>
    <m/>
    <x v="1"/>
    <m/>
    <m/>
    <m/>
    <m/>
    <n v="6169.7400000000007"/>
    <s v="Normal"/>
  </r>
  <r>
    <s v="TRX0219"/>
    <x v="132"/>
    <s v="CUST037"/>
    <s v="Arthur Edwards"/>
    <s v="P005"/>
    <s v="Blender"/>
    <x v="1"/>
    <n v="1"/>
    <n v="59.99"/>
    <s v="Debit Card"/>
    <s v="Central"/>
    <s v="Standard"/>
    <x v="193"/>
    <x v="31"/>
    <m/>
    <x v="1"/>
    <m/>
    <m/>
    <m/>
    <m/>
    <n v="1559.94"/>
    <s v="Normal"/>
  </r>
  <r>
    <s v="TRX0024"/>
    <x v="133"/>
    <s v="CUST042"/>
    <s v="Ruth Brooks"/>
    <s v="P008"/>
    <s v="Bookshelf"/>
    <x v="2"/>
    <n v="3"/>
    <n v="149.99"/>
    <s v="Debit Card"/>
    <s v="North"/>
    <s v="Premium"/>
    <x v="170"/>
    <x v="6"/>
    <m/>
    <x v="1"/>
    <m/>
    <m/>
    <m/>
    <m/>
    <n v="1749.92"/>
    <s v="Normal"/>
  </r>
  <r>
    <s v="TRX0105"/>
    <x v="133"/>
    <s v="CUST048"/>
    <s v="Virginia Sanders"/>
    <s v="P007"/>
    <s v="Desk"/>
    <x v="2"/>
    <n v="5"/>
    <n v="299.99"/>
    <s v="Credit Card"/>
    <s v="South"/>
    <s v="Basic"/>
    <x v="194"/>
    <x v="17"/>
    <m/>
    <x v="1"/>
    <m/>
    <m/>
    <m/>
    <m/>
    <n v="4789.7900000000009"/>
    <s v="Normal"/>
  </r>
  <r>
    <s v="TRX0011"/>
    <x v="134"/>
    <s v="CUST040"/>
    <s v="Sharon Butler"/>
    <s v="P005"/>
    <s v="Blender"/>
    <x v="1"/>
    <n v="5"/>
    <n v="59.99"/>
    <s v="Debit Card"/>
    <s v="Central"/>
    <s v="Standard"/>
    <x v="195"/>
    <x v="43"/>
    <m/>
    <x v="1"/>
    <m/>
    <m/>
    <m/>
    <m/>
    <n v="5619.87"/>
    <s v="Normal"/>
  </r>
  <r>
    <s v="TRX0187"/>
    <x v="135"/>
    <s v="CUST036"/>
    <s v="Nancy Collins"/>
    <s v="P004"/>
    <s v="Coffee Maker"/>
    <x v="1"/>
    <n v="3"/>
    <n v="79.989999999999995"/>
    <s v="Cash"/>
    <s v="East"/>
    <s v="Premium"/>
    <x v="179"/>
    <x v="18"/>
    <m/>
    <x v="1"/>
    <m/>
    <m/>
    <m/>
    <m/>
    <n v="4189.7700000000004"/>
    <s v="Normal"/>
  </r>
  <r>
    <s v="TRX0089"/>
    <x v="136"/>
    <s v="CUST021"/>
    <s v="Kevin Scott"/>
    <s v="P006"/>
    <s v="Office Chair"/>
    <x v="2"/>
    <n v="3"/>
    <n v="199.99"/>
    <s v="Cash"/>
    <s v="Central"/>
    <s v="Basic"/>
    <x v="196"/>
    <x v="24"/>
    <m/>
    <x v="1"/>
    <m/>
    <m/>
    <m/>
    <m/>
    <n v="3259.87"/>
    <s v="Normal"/>
  </r>
  <r>
    <s v="TRX0196"/>
    <x v="136"/>
    <s v="CUST023"/>
    <s v="Paul Baker"/>
    <s v="P010"/>
    <s v="Keyboard"/>
    <x v="0"/>
    <n v="2"/>
    <n v="89.99"/>
    <s v="PayPal"/>
    <s v="Central"/>
    <s v="Basic"/>
    <x v="197"/>
    <x v="28"/>
    <m/>
    <x v="1"/>
    <m/>
    <m/>
    <m/>
    <m/>
    <n v="13809.790000000006"/>
    <s v="High Value"/>
  </r>
  <r>
    <s v="TRX0118"/>
    <x v="137"/>
    <s v="CUST015"/>
    <s v="Richard Lee"/>
    <s v="P008"/>
    <s v="Bookshelf"/>
    <x v="2"/>
    <n v="2"/>
    <n v="149.99"/>
    <s v="Cash"/>
    <s v="South"/>
    <s v="Premium"/>
    <x v="198"/>
    <x v="22"/>
    <m/>
    <x v="1"/>
    <m/>
    <m/>
    <m/>
    <m/>
    <n v="739.93000000000006"/>
    <s v="Normal"/>
  </r>
  <r>
    <s v="TRX0179"/>
    <x v="138"/>
    <s v="CUST029"/>
    <s v="Edward Mitchell"/>
    <s v="P002"/>
    <s v="Smartphone"/>
    <x v="0"/>
    <n v="5"/>
    <n v="699.99"/>
    <s v="PayPal"/>
    <s v="South"/>
    <s v="Premium"/>
    <x v="54"/>
    <x v="12"/>
    <m/>
    <x v="1"/>
    <m/>
    <m/>
    <m/>
    <m/>
    <n v="11919.77"/>
    <s v="High Value"/>
  </r>
  <r>
    <s v="TRX0168"/>
    <x v="138"/>
    <s v="CUST003"/>
    <s v="Michael Brown"/>
    <s v="P008"/>
    <s v="Bookshelf"/>
    <x v="2"/>
    <n v="3"/>
    <n v="149.99"/>
    <s v="PayPal"/>
    <s v="Central"/>
    <s v="Standard"/>
    <x v="174"/>
    <x v="6"/>
    <m/>
    <x v="1"/>
    <m/>
    <m/>
    <m/>
    <m/>
    <n v="6169.7400000000007"/>
    <s v="Normal"/>
  </r>
  <r>
    <s v="TRX0214"/>
    <x v="139"/>
    <s v="CUST018"/>
    <s v="Barbara Young"/>
    <s v="P001"/>
    <s v="Laptop"/>
    <x v="0"/>
    <n v="3"/>
    <n v="899.99"/>
    <s v="Cash"/>
    <s v="East"/>
    <s v="Standard"/>
    <x v="199"/>
    <x v="4"/>
    <m/>
    <x v="1"/>
    <m/>
    <m/>
    <m/>
    <m/>
    <n v="10649.8"/>
    <s v="High Value"/>
  </r>
  <r>
    <s v="TRX0221"/>
    <x v="139"/>
    <s v="CUST033"/>
    <s v="Frank Torres"/>
    <s v="P006"/>
    <s v="Office Chair"/>
    <x v="2"/>
    <n v="3"/>
    <n v="199.99"/>
    <s v="Cash"/>
    <s v="West"/>
    <s v="Premium"/>
    <x v="31"/>
    <x v="24"/>
    <m/>
    <x v="1"/>
    <m/>
    <m/>
    <m/>
    <m/>
    <n v="1479.91"/>
    <s v="Normal"/>
  </r>
  <r>
    <s v="TRX0083"/>
    <x v="140"/>
    <s v="CUST017"/>
    <s v="Charles Allen"/>
    <s v="P007"/>
    <s v="Desk"/>
    <x v="2"/>
    <n v="5"/>
    <n v="299.99"/>
    <s v="Cash"/>
    <s v="West"/>
    <s v="Standard"/>
    <x v="200"/>
    <x v="17"/>
    <m/>
    <x v="1"/>
    <m/>
    <m/>
    <m/>
    <m/>
    <n v="5089.7300000000005"/>
    <s v="Normal"/>
  </r>
  <r>
    <s v="TRX0151"/>
    <x v="140"/>
    <s v="CUST040"/>
    <s v="Sharon Butler"/>
    <s v="P002"/>
    <s v="Smartphone"/>
    <x v="0"/>
    <n v="1"/>
    <n v="699.99"/>
    <s v="PayPal"/>
    <s v="West"/>
    <s v="Basic"/>
    <x v="201"/>
    <x v="39"/>
    <m/>
    <x v="1"/>
    <m/>
    <m/>
    <m/>
    <m/>
    <n v="5619.87"/>
    <s v="Normal"/>
  </r>
  <r>
    <s v="TRX0047"/>
    <x v="141"/>
    <s v="CUST042"/>
    <s v="Ruth Brooks"/>
    <s v="P002"/>
    <s v="Smartphone"/>
    <x v="0"/>
    <n v="1"/>
    <n v="699.99"/>
    <s v="Cash"/>
    <s v="North"/>
    <s v="Premium"/>
    <x v="145"/>
    <x v="39"/>
    <m/>
    <x v="1"/>
    <m/>
    <m/>
    <m/>
    <m/>
    <n v="1749.92"/>
    <s v="Normal"/>
  </r>
  <r>
    <s v="TRX0200"/>
    <x v="141"/>
    <s v="CUST037"/>
    <s v="Arthur Edwards"/>
    <s v="P008"/>
    <s v="Bookshelf"/>
    <x v="2"/>
    <n v="4"/>
    <n v="149.99"/>
    <s v="PayPal"/>
    <s v="North"/>
    <s v="Premium"/>
    <x v="30"/>
    <x v="9"/>
    <m/>
    <x v="1"/>
    <m/>
    <m/>
    <m/>
    <m/>
    <n v="1559.94"/>
    <s v="Normal"/>
  </r>
  <r>
    <s v="TRX0062"/>
    <x v="141"/>
    <s v="CUST016"/>
    <s v="Elizabeth Hall"/>
    <s v="P010"/>
    <s v="Keyboard"/>
    <x v="0"/>
    <n v="5"/>
    <n v="89.99"/>
    <s v="PayPal"/>
    <s v="West"/>
    <s v="Premium"/>
    <x v="202"/>
    <x v="19"/>
    <m/>
    <x v="1"/>
    <m/>
    <m/>
    <m/>
    <m/>
    <n v="3649.8599999999997"/>
    <s v="Normal"/>
  </r>
  <r>
    <s v="TRX0182"/>
    <x v="142"/>
    <s v="CUST031"/>
    <s v="Steven Turner"/>
    <s v="P006"/>
    <s v="Office Chair"/>
    <x v="2"/>
    <n v="2"/>
    <n v="199.99"/>
    <s v="Cash"/>
    <s v="Central"/>
    <s v="Premium"/>
    <x v="203"/>
    <x v="36"/>
    <m/>
    <x v="1"/>
    <m/>
    <m/>
    <m/>
    <m/>
    <n v="2649.83"/>
    <s v="Normal"/>
  </r>
  <r>
    <s v="TRX0229"/>
    <x v="143"/>
    <s v="CUST015"/>
    <s v="Richard Lee"/>
    <s v="P005"/>
    <s v="Blender"/>
    <x v="1"/>
    <n v="4"/>
    <n v="59.99"/>
    <s v="Cash"/>
    <s v="West"/>
    <s v="Standard"/>
    <x v="204"/>
    <x v="20"/>
    <m/>
    <x v="1"/>
    <m/>
    <m/>
    <m/>
    <m/>
    <n v="739.93000000000006"/>
    <s v="Normal"/>
  </r>
  <r>
    <s v="TRX0048"/>
    <x v="143"/>
    <s v="CUST048"/>
    <s v="Virginia Sanders"/>
    <s v="P007"/>
    <s v="Desk"/>
    <x v="2"/>
    <n v="2"/>
    <n v="299.99"/>
    <s v="PayPal"/>
    <s v="South"/>
    <s v="Basic"/>
    <x v="205"/>
    <x v="32"/>
    <m/>
    <x v="1"/>
    <m/>
    <m/>
    <m/>
    <m/>
    <n v="4789.7900000000009"/>
    <s v="Normal"/>
  </r>
  <r>
    <s v="TRX0227"/>
    <x v="144"/>
    <s v="CUST017"/>
    <s v="Charles Allen"/>
    <s v="P008"/>
    <s v="Bookshelf"/>
    <x v="2"/>
    <n v="2"/>
    <n v="149.99"/>
    <s v="Cash"/>
    <s v="Central"/>
    <s v="Basic"/>
    <x v="32"/>
    <x v="22"/>
    <m/>
    <x v="1"/>
    <m/>
    <m/>
    <m/>
    <m/>
    <n v="5089.7300000000005"/>
    <s v="Normal"/>
  </r>
  <r>
    <s v="TRX0226"/>
    <x v="145"/>
    <s v="CUST039"/>
    <s v="Lawrence Reed"/>
    <s v="P002"/>
    <s v="Smartphone"/>
    <x v="0"/>
    <n v="5"/>
    <n v="699.99"/>
    <s v="Debit Card"/>
    <s v="East"/>
    <s v="Premium"/>
    <x v="65"/>
    <x v="12"/>
    <m/>
    <x v="1"/>
    <m/>
    <m/>
    <m/>
    <m/>
    <n v="6989.7699999999986"/>
    <s v="Normal"/>
  </r>
  <r>
    <s v="TRX0053"/>
    <x v="146"/>
    <s v="CUST043"/>
    <s v="Dennis Gray"/>
    <s v="P005"/>
    <s v="Blender"/>
    <x v="1"/>
    <n v="5"/>
    <n v="59.99"/>
    <s v="Cash"/>
    <s v="West"/>
    <s v="Premium"/>
    <x v="206"/>
    <x v="43"/>
    <m/>
    <x v="1"/>
    <m/>
    <m/>
    <m/>
    <m/>
    <n v="479.91999999999996"/>
    <s v="Normal"/>
  </r>
  <r>
    <s v="TRX0233"/>
    <x v="147"/>
    <s v="CUST023"/>
    <s v="Paul Baker"/>
    <s v="P010"/>
    <s v="Keyboard"/>
    <x v="0"/>
    <n v="2"/>
    <n v="89.99"/>
    <s v="Credit Card"/>
    <s v="West"/>
    <s v="Premium"/>
    <x v="4"/>
    <x v="28"/>
    <m/>
    <x v="1"/>
    <m/>
    <m/>
    <m/>
    <m/>
    <n v="13809.790000000006"/>
    <s v="High Value"/>
  </r>
  <r>
    <s v="TRX0175"/>
    <x v="147"/>
    <s v="CUST030"/>
    <s v="Helen Roberts"/>
    <s v="P009"/>
    <s v="Monitor"/>
    <x v="0"/>
    <n v="5"/>
    <n v="249.99"/>
    <s v="Cash"/>
    <s v="East"/>
    <s v="Standard"/>
    <x v="207"/>
    <x v="16"/>
    <m/>
    <x v="1"/>
    <m/>
    <m/>
    <m/>
    <m/>
    <n v="6459.79"/>
    <s v="Normal"/>
  </r>
  <r>
    <s v="TRX0186"/>
    <x v="148"/>
    <s v="CUST039"/>
    <s v="Lawrence Reed"/>
    <s v="P008"/>
    <s v="Bookshelf"/>
    <x v="2"/>
    <n v="2"/>
    <n v="149.99"/>
    <s v="PayPal"/>
    <s v="Central"/>
    <s v="Premium"/>
    <x v="208"/>
    <x v="22"/>
    <m/>
    <x v="1"/>
    <m/>
    <m/>
    <m/>
    <m/>
    <n v="6989.7699999999986"/>
    <s v="Normal"/>
  </r>
  <r>
    <s v="TRX0016"/>
    <x v="148"/>
    <s v="CUST035"/>
    <s v="Harry Morgan"/>
    <s v="P001"/>
    <s v="Laptop"/>
    <x v="0"/>
    <n v="5"/>
    <n v="899.99"/>
    <s v="PayPal"/>
    <s v="East"/>
    <s v="Premium"/>
    <x v="64"/>
    <x v="30"/>
    <m/>
    <x v="1"/>
    <m/>
    <m/>
    <m/>
    <m/>
    <n v="5519.8899999999994"/>
    <s v="Normal"/>
  </r>
  <r>
    <s v="TRX0199"/>
    <x v="148"/>
    <s v="CUST017"/>
    <s v="Charles Allen"/>
    <s v="P008"/>
    <s v="Bookshelf"/>
    <x v="2"/>
    <n v="4"/>
    <n v="149.99"/>
    <s v="Cash"/>
    <s v="Central"/>
    <s v="Standard"/>
    <x v="209"/>
    <x v="9"/>
    <m/>
    <x v="1"/>
    <m/>
    <m/>
    <m/>
    <m/>
    <n v="5089.7300000000005"/>
    <s v="Normal"/>
  </r>
  <r>
    <s v="TRX0038"/>
    <x v="149"/>
    <s v="CUST035"/>
    <s v="Harry Morgan"/>
    <s v="P009"/>
    <s v="Monitor"/>
    <x v="0"/>
    <n v="1"/>
    <n v="249.99"/>
    <s v="Cash"/>
    <s v="North"/>
    <s v="Standard"/>
    <x v="210"/>
    <x v="40"/>
    <m/>
    <x v="1"/>
    <m/>
    <m/>
    <m/>
    <m/>
    <n v="5519.8899999999994"/>
    <s v="Normal"/>
  </r>
  <r>
    <s v="TRX0014"/>
    <x v="150"/>
    <s v="CUST033"/>
    <s v="Frank Torres"/>
    <s v="P005"/>
    <s v="Blender"/>
    <x v="1"/>
    <n v="2"/>
    <n v="59.99"/>
    <s v="Credit Card"/>
    <s v="West"/>
    <s v="Basic"/>
    <x v="211"/>
    <x v="3"/>
    <m/>
    <x v="1"/>
    <m/>
    <m/>
    <m/>
    <m/>
    <n v="1479.91"/>
    <s v="Normal"/>
  </r>
  <r>
    <s v="TRX0003"/>
    <x v="151"/>
    <s v="CUST002"/>
    <s v="Emma Wilson"/>
    <s v="P008"/>
    <s v="Bookshelf"/>
    <x v="2"/>
    <n v="2"/>
    <n v="149.99"/>
    <s v="Cash"/>
    <s v="West"/>
    <s v="Premium"/>
    <x v="212"/>
    <x v="22"/>
    <m/>
    <x v="1"/>
    <m/>
    <m/>
    <m/>
    <m/>
    <n v="1229.8800000000001"/>
    <s v="Normal"/>
  </r>
  <r>
    <s v="TRX0124"/>
    <x v="151"/>
    <s v="CUST040"/>
    <s v="Sharon Butler"/>
    <s v="P001"/>
    <s v="Laptop"/>
    <x v="0"/>
    <n v="3"/>
    <n v="899.99"/>
    <s v="Debit Card"/>
    <s v="North"/>
    <s v="Premium"/>
    <x v="213"/>
    <x v="4"/>
    <m/>
    <x v="1"/>
    <m/>
    <m/>
    <m/>
    <m/>
    <n v="5619.87"/>
    <s v="Normal"/>
  </r>
  <r>
    <s v="TRX0013"/>
    <x v="151"/>
    <s v="CUST024"/>
    <s v="Dorothy Nelson"/>
    <s v="P001"/>
    <s v="Laptop"/>
    <x v="0"/>
    <n v="3"/>
    <n v="899.99"/>
    <s v="PayPal"/>
    <s v="North"/>
    <s v="Basic"/>
    <x v="214"/>
    <x v="4"/>
    <m/>
    <x v="1"/>
    <m/>
    <m/>
    <m/>
    <m/>
    <n v="8269.7900000000009"/>
    <s v="Normal"/>
  </r>
  <r>
    <s v="TRX0019"/>
    <x v="152"/>
    <s v="CUST023"/>
    <s v="Paul Baker"/>
    <s v="P007"/>
    <s v="Desk"/>
    <x v="2"/>
    <n v="3"/>
    <n v="299.99"/>
    <s v="Credit Card"/>
    <s v="West"/>
    <s v="Premium"/>
    <x v="215"/>
    <x v="23"/>
    <m/>
    <x v="1"/>
    <m/>
    <m/>
    <m/>
    <m/>
    <n v="13809.790000000006"/>
    <s v="High Value"/>
  </r>
  <r>
    <s v="TRX0050"/>
    <x v="153"/>
    <s v="CUST001"/>
    <s v="John Smith"/>
    <s v="P008"/>
    <s v="Bookshelf"/>
    <x v="2"/>
    <n v="4"/>
    <n v="149.99"/>
    <s v="PayPal"/>
    <s v="West"/>
    <s v="Standard"/>
    <x v="144"/>
    <x v="9"/>
    <m/>
    <x v="1"/>
    <m/>
    <m/>
    <m/>
    <m/>
    <n v="599.96"/>
    <s v="Normal"/>
  </r>
  <r>
    <s v="TRX0152"/>
    <x v="154"/>
    <s v="CUST044"/>
    <s v="Cynthia Price"/>
    <s v="P004"/>
    <s v="Coffee Maker"/>
    <x v="1"/>
    <n v="4"/>
    <n v="79.989999999999995"/>
    <s v="Credit Card"/>
    <s v="Central"/>
    <s v="Basic"/>
    <x v="216"/>
    <x v="41"/>
    <m/>
    <x v="1"/>
    <m/>
    <m/>
    <m/>
    <m/>
    <n v="3769.8300000000004"/>
    <s v="Normal"/>
  </r>
  <r>
    <s v="TRX0213"/>
    <x v="155"/>
    <s v="CUST020"/>
    <s v="Margaret Wright"/>
    <s v="P010"/>
    <s v="Keyboard"/>
    <x v="0"/>
    <n v="5"/>
    <n v="89.99"/>
    <s v="PayPal"/>
    <s v="South"/>
    <s v="Basic"/>
    <x v="217"/>
    <x v="19"/>
    <m/>
    <x v="1"/>
    <m/>
    <m/>
    <m/>
    <m/>
    <n v="2099.88"/>
    <s v="Normal"/>
  </r>
  <r>
    <s v="TRX0197"/>
    <x v="156"/>
    <s v="CUST048"/>
    <s v="Virginia Sanders"/>
    <s v="P008"/>
    <s v="Bookshelf"/>
    <x v="2"/>
    <n v="3"/>
    <n v="149.99"/>
    <s v="PayPal"/>
    <s v="Central"/>
    <s v="Standard"/>
    <x v="218"/>
    <x v="6"/>
    <m/>
    <x v="1"/>
    <m/>
    <m/>
    <m/>
    <m/>
    <n v="4789.7900000000009"/>
    <s v="Normal"/>
  </r>
  <r>
    <s v="TRX0250"/>
    <x v="156"/>
    <s v="CUST026"/>
    <s v="Karen Hill"/>
    <s v="P010"/>
    <s v="Keyboard"/>
    <x v="0"/>
    <n v="2"/>
    <n v="89.99"/>
    <s v="Debit Card"/>
    <s v="West"/>
    <s v="Premium"/>
    <x v="164"/>
    <x v="28"/>
    <m/>
    <x v="1"/>
    <m/>
    <m/>
    <m/>
    <m/>
    <n v="8009.7699999999995"/>
    <s v="Normal"/>
  </r>
  <r>
    <s v="TRX0068"/>
    <x v="157"/>
    <s v="CUST044"/>
    <s v="Cynthia Price"/>
    <s v="P002"/>
    <s v="Smartphone"/>
    <x v="0"/>
    <n v="2"/>
    <n v="699.99"/>
    <s v="PayPal"/>
    <s v="North"/>
    <s v="Standard"/>
    <x v="111"/>
    <x v="10"/>
    <m/>
    <x v="1"/>
    <m/>
    <m/>
    <m/>
    <m/>
    <n v="3769.8300000000004"/>
    <s v="Normal"/>
  </r>
  <r>
    <s v="TRX0144"/>
    <x v="158"/>
    <s v="CUST029"/>
    <s v="Edward Mitchell"/>
    <s v="P001"/>
    <s v="Laptop"/>
    <x v="0"/>
    <n v="3"/>
    <n v="899.99"/>
    <s v="Cash"/>
    <s v="Central"/>
    <s v="Standard"/>
    <x v="115"/>
    <x v="4"/>
    <m/>
    <x v="1"/>
    <m/>
    <m/>
    <m/>
    <m/>
    <n v="11919.77"/>
    <s v="High Value"/>
  </r>
  <r>
    <s v="TRX0039"/>
    <x v="159"/>
    <s v="CUST048"/>
    <s v="Virginia Sanders"/>
    <s v="P004"/>
    <s v="Coffee Maker"/>
    <x v="1"/>
    <n v="3"/>
    <n v="79.989999999999995"/>
    <s v="Credit Card"/>
    <s v="North"/>
    <s v="Basic"/>
    <x v="219"/>
    <x v="18"/>
    <m/>
    <x v="1"/>
    <m/>
    <m/>
    <m/>
    <m/>
    <n v="4789.7900000000009"/>
    <s v="Normal"/>
  </r>
  <r>
    <s v="TRX0116"/>
    <x v="160"/>
    <s v="CUST009"/>
    <s v="Robert Thomas"/>
    <s v="P010"/>
    <s v="Keyboard"/>
    <x v="0"/>
    <n v="1"/>
    <n v="89.99"/>
    <s v="Debit Card"/>
    <s v="East"/>
    <s v="Basic"/>
    <x v="220"/>
    <x v="27"/>
    <m/>
    <x v="1"/>
    <m/>
    <m/>
    <m/>
    <m/>
    <n v="3509.8999999999996"/>
    <s v="Normal"/>
  </r>
  <r>
    <s v="TRX0120"/>
    <x v="161"/>
    <s v="CUST045"/>
    <s v="Douglas Watson"/>
    <s v="P002"/>
    <s v="Smartphone"/>
    <x v="0"/>
    <n v="3"/>
    <n v="699.99"/>
    <s v="PayPal"/>
    <s v="North"/>
    <s v="Basic"/>
    <x v="67"/>
    <x v="7"/>
    <m/>
    <x v="1"/>
    <m/>
    <m/>
    <m/>
    <m/>
    <n v="4829.8900000000003"/>
    <s v="Normal"/>
  </r>
  <r>
    <s v="TRX0103"/>
    <x v="161"/>
    <s v="CUST039"/>
    <s v="Lawrence Reed"/>
    <s v="P010"/>
    <s v="Keyboard"/>
    <x v="0"/>
    <n v="2"/>
    <n v="89.99"/>
    <s v="Debit Card"/>
    <s v="East"/>
    <s v="Basic"/>
    <x v="221"/>
    <x v="28"/>
    <m/>
    <x v="1"/>
    <m/>
    <m/>
    <m/>
    <m/>
    <n v="6989.7699999999986"/>
    <s v="Normal"/>
  </r>
  <r>
    <s v="TRX0064"/>
    <x v="161"/>
    <s v="CUST031"/>
    <s v="Steven Turner"/>
    <s v="P010"/>
    <s v="Keyboard"/>
    <x v="0"/>
    <n v="3"/>
    <n v="89.99"/>
    <s v="Debit Card"/>
    <s v="North"/>
    <s v="Premium"/>
    <x v="222"/>
    <x v="25"/>
    <m/>
    <x v="1"/>
    <m/>
    <m/>
    <m/>
    <m/>
    <n v="2649.83"/>
    <s v="Normal"/>
  </r>
  <r>
    <m/>
    <x v="162"/>
    <m/>
    <m/>
    <m/>
    <m/>
    <x v="3"/>
    <m/>
    <m/>
    <m/>
    <m/>
    <m/>
    <x v="223"/>
    <x v="45"/>
    <m/>
    <x v="1"/>
    <m/>
    <m/>
    <m/>
    <m/>
    <m/>
    <m/>
  </r>
  <r>
    <m/>
    <x v="162"/>
    <m/>
    <m/>
    <m/>
    <m/>
    <x v="3"/>
    <m/>
    <m/>
    <m/>
    <m/>
    <m/>
    <x v="223"/>
    <x v="29"/>
    <m/>
    <x v="1"/>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A1A45-2339-480C-B33F-BFAEA71E797E}"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9:B63" firstHeaderRow="1" firstDataRow="1" firstDataCol="1"/>
  <pivotFields count="25">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47">
        <item x="31"/>
        <item x="26"/>
        <item x="27"/>
        <item x="3"/>
        <item x="5"/>
        <item x="1"/>
        <item x="28"/>
        <item x="42"/>
        <item x="20"/>
        <item x="18"/>
        <item x="40"/>
        <item x="25"/>
        <item x="43"/>
        <item x="22"/>
        <item x="35"/>
        <item x="41"/>
        <item x="33"/>
        <item x="34"/>
        <item x="36"/>
        <item x="19"/>
        <item x="6"/>
        <item x="37"/>
        <item x="9"/>
        <item x="24"/>
        <item x="32"/>
        <item x="39"/>
        <item x="2"/>
        <item x="0"/>
        <item x="38"/>
        <item x="23"/>
        <item x="8"/>
        <item x="21"/>
        <item x="14"/>
        <item x="15"/>
        <item x="16"/>
        <item x="10"/>
        <item x="17"/>
        <item x="44"/>
        <item x="7"/>
        <item x="4"/>
        <item x="13"/>
        <item x="12"/>
        <item x="11"/>
        <item x="30"/>
        <item x="29"/>
        <item x="45"/>
        <item t="default"/>
      </items>
    </pivotField>
    <pivotField showAll="0"/>
    <pivotField showAll="0">
      <items count="3">
        <item x="0"/>
        <item x="1"/>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3">
    <field x="24"/>
    <field x="23"/>
    <field x="22"/>
  </rowFields>
  <rowItems count="24">
    <i>
      <x/>
    </i>
    <i r="1">
      <x/>
    </i>
    <i r="2">
      <x/>
    </i>
    <i>
      <x v="1"/>
    </i>
    <i r="1">
      <x v="2"/>
    </i>
    <i r="2">
      <x v="4"/>
    </i>
    <i r="2">
      <x v="5"/>
    </i>
    <i r="2">
      <x v="6"/>
    </i>
    <i r="1">
      <x v="3"/>
    </i>
    <i r="2">
      <x v="7"/>
    </i>
    <i r="2">
      <x v="8"/>
    </i>
    <i r="2">
      <x v="9"/>
    </i>
    <i r="1">
      <x v="4"/>
    </i>
    <i r="2">
      <x v="10"/>
    </i>
    <i r="2">
      <x v="11"/>
    </i>
    <i r="2">
      <x v="12"/>
    </i>
    <i>
      <x v="2"/>
    </i>
    <i r="1">
      <x v="1"/>
    </i>
    <i r="2">
      <x v="1"/>
    </i>
    <i r="2">
      <x v="2"/>
    </i>
    <i r="2">
      <x v="3"/>
    </i>
    <i r="1">
      <x v="2"/>
    </i>
    <i r="2">
      <x v="4"/>
    </i>
    <i t="grand">
      <x/>
    </i>
  </rowItems>
  <colItems count="1">
    <i/>
  </colItems>
  <dataFields count="1">
    <dataField name="Sum of Total_Amount" fld="13" baseField="23" baseItem="4"/>
  </dataFields>
  <formats count="45">
    <format dxfId="44">
      <pivotArea field="24" type="button" dataOnly="0" labelOnly="1" outline="0" axis="axisRow" fieldPosition="0"/>
    </format>
    <format dxfId="43">
      <pivotArea dataOnly="0" labelOnly="1" outline="0" axis="axisValues" fieldPosition="0"/>
    </format>
    <format dxfId="42">
      <pivotArea field="24" type="button" dataOnly="0" labelOnly="1" outline="0" axis="axisRow"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24" type="button" dataOnly="0" labelOnly="1" outline="0" axis="axisRow" fieldPosition="0"/>
    </format>
    <format dxfId="37">
      <pivotArea dataOnly="0" labelOnly="1" fieldPosition="0">
        <references count="1">
          <reference field="24" count="3">
            <x v="0"/>
            <x v="1"/>
            <x v="2"/>
          </reference>
        </references>
      </pivotArea>
    </format>
    <format dxfId="36">
      <pivotArea dataOnly="0" labelOnly="1" grandRow="1" outline="0" fieldPosition="0"/>
    </format>
    <format dxfId="35">
      <pivotArea dataOnly="0" labelOnly="1" fieldPosition="0">
        <references count="2">
          <reference field="23" count="1">
            <x v="0"/>
          </reference>
          <reference field="24" count="1" selected="0">
            <x v="0"/>
          </reference>
        </references>
      </pivotArea>
    </format>
    <format dxfId="34">
      <pivotArea dataOnly="0" labelOnly="1" fieldPosition="0">
        <references count="2">
          <reference field="23" count="3">
            <x v="2"/>
            <x v="3"/>
            <x v="4"/>
          </reference>
          <reference field="24" count="1" selected="0">
            <x v="1"/>
          </reference>
        </references>
      </pivotArea>
    </format>
    <format dxfId="33">
      <pivotArea dataOnly="0" labelOnly="1" fieldPosition="0">
        <references count="2">
          <reference field="23" count="2">
            <x v="1"/>
            <x v="2"/>
          </reference>
          <reference field="24" count="1" selected="0">
            <x v="2"/>
          </reference>
        </references>
      </pivotArea>
    </format>
    <format dxfId="32">
      <pivotArea dataOnly="0" labelOnly="1" fieldPosition="0">
        <references count="3">
          <reference field="22" count="1">
            <x v="0"/>
          </reference>
          <reference field="23" count="1" selected="0">
            <x v="0"/>
          </reference>
          <reference field="24" count="1" selected="0">
            <x v="0"/>
          </reference>
        </references>
      </pivotArea>
    </format>
    <format dxfId="31">
      <pivotArea dataOnly="0" labelOnly="1" fieldPosition="0">
        <references count="3">
          <reference field="22" count="3">
            <x v="4"/>
            <x v="5"/>
            <x v="6"/>
          </reference>
          <reference field="23" count="1" selected="0">
            <x v="2"/>
          </reference>
          <reference field="24" count="1" selected="0">
            <x v="1"/>
          </reference>
        </references>
      </pivotArea>
    </format>
    <format dxfId="30">
      <pivotArea dataOnly="0" labelOnly="1" fieldPosition="0">
        <references count="3">
          <reference field="22" count="3">
            <x v="7"/>
            <x v="8"/>
            <x v="9"/>
          </reference>
          <reference field="23" count="1" selected="0">
            <x v="3"/>
          </reference>
          <reference field="24" count="1" selected="0">
            <x v="1"/>
          </reference>
        </references>
      </pivotArea>
    </format>
    <format dxfId="29">
      <pivotArea dataOnly="0" labelOnly="1" fieldPosition="0">
        <references count="3">
          <reference field="22" count="3">
            <x v="10"/>
            <x v="11"/>
            <x v="12"/>
          </reference>
          <reference field="23" count="1" selected="0">
            <x v="4"/>
          </reference>
          <reference field="24" count="1" selected="0">
            <x v="1"/>
          </reference>
        </references>
      </pivotArea>
    </format>
    <format dxfId="28">
      <pivotArea dataOnly="0" labelOnly="1" fieldPosition="0">
        <references count="3">
          <reference field="22" count="3">
            <x v="1"/>
            <x v="2"/>
            <x v="3"/>
          </reference>
          <reference field="23" count="1" selected="0">
            <x v="1"/>
          </reference>
          <reference field="24" count="1" selected="0">
            <x v="2"/>
          </reference>
        </references>
      </pivotArea>
    </format>
    <format dxfId="27">
      <pivotArea dataOnly="0" labelOnly="1" fieldPosition="0">
        <references count="3">
          <reference field="22" count="1">
            <x v="4"/>
          </reference>
          <reference field="23" count="1" selected="0">
            <x v="2"/>
          </reference>
          <reference field="24" count="1" selected="0">
            <x v="2"/>
          </reference>
        </references>
      </pivotArea>
    </format>
    <format dxfId="26">
      <pivotArea dataOnly="0" labelOnly="1" outline="0" axis="axisValues" fieldPosition="0"/>
    </format>
    <format dxfId="25">
      <pivotArea dataOnly="0" grandRow="1" fieldPosition="0"/>
    </format>
    <format dxfId="24">
      <pivotArea collapsedLevelsAreSubtotals="1" fieldPosition="0">
        <references count="1">
          <reference field="24" count="1">
            <x v="0"/>
          </reference>
        </references>
      </pivotArea>
    </format>
    <format dxfId="23">
      <pivotArea collapsedLevelsAreSubtotals="1" fieldPosition="0">
        <references count="2">
          <reference field="23" count="1">
            <x v="0"/>
          </reference>
          <reference field="24" count="1" selected="0">
            <x v="0"/>
          </reference>
        </references>
      </pivotArea>
    </format>
    <format dxfId="22">
      <pivotArea collapsedLevelsAreSubtotals="1" fieldPosition="0">
        <references count="3">
          <reference field="22" count="1">
            <x v="0"/>
          </reference>
          <reference field="23" count="1" selected="0">
            <x v="0"/>
          </reference>
          <reference field="24" count="1" selected="0">
            <x v="0"/>
          </reference>
        </references>
      </pivotArea>
    </format>
    <format dxfId="21">
      <pivotArea collapsedLevelsAreSubtotals="1" fieldPosition="0">
        <references count="1">
          <reference field="24" count="1">
            <x v="1"/>
          </reference>
        </references>
      </pivotArea>
    </format>
    <format dxfId="20">
      <pivotArea collapsedLevelsAreSubtotals="1" fieldPosition="0">
        <references count="2">
          <reference field="23" count="1">
            <x v="2"/>
          </reference>
          <reference field="24" count="1" selected="0">
            <x v="1"/>
          </reference>
        </references>
      </pivotArea>
    </format>
    <format dxfId="19">
      <pivotArea collapsedLevelsAreSubtotals="1" fieldPosition="0">
        <references count="3">
          <reference field="22" count="3">
            <x v="4"/>
            <x v="5"/>
            <x v="6"/>
          </reference>
          <reference field="23" count="1" selected="0">
            <x v="2"/>
          </reference>
          <reference field="24" count="1" selected="0">
            <x v="1"/>
          </reference>
        </references>
      </pivotArea>
    </format>
    <format dxfId="18">
      <pivotArea collapsedLevelsAreSubtotals="1" fieldPosition="0">
        <references count="2">
          <reference field="23" count="1">
            <x v="3"/>
          </reference>
          <reference field="24" count="1" selected="0">
            <x v="1"/>
          </reference>
        </references>
      </pivotArea>
    </format>
    <format dxfId="17">
      <pivotArea collapsedLevelsAreSubtotals="1" fieldPosition="0">
        <references count="3">
          <reference field="22" count="3">
            <x v="7"/>
            <x v="8"/>
            <x v="9"/>
          </reference>
          <reference field="23" count="1" selected="0">
            <x v="3"/>
          </reference>
          <reference field="24" count="1" selected="0">
            <x v="1"/>
          </reference>
        </references>
      </pivotArea>
    </format>
    <format dxfId="16">
      <pivotArea collapsedLevelsAreSubtotals="1" fieldPosition="0">
        <references count="2">
          <reference field="23" count="1">
            <x v="4"/>
          </reference>
          <reference field="24" count="1" selected="0">
            <x v="1"/>
          </reference>
        </references>
      </pivotArea>
    </format>
    <format dxfId="15">
      <pivotArea collapsedLevelsAreSubtotals="1" fieldPosition="0">
        <references count="3">
          <reference field="22" count="3">
            <x v="10"/>
            <x v="11"/>
            <x v="12"/>
          </reference>
          <reference field="23" count="1" selected="0">
            <x v="4"/>
          </reference>
          <reference field="24" count="1" selected="0">
            <x v="1"/>
          </reference>
        </references>
      </pivotArea>
    </format>
    <format dxfId="14">
      <pivotArea collapsedLevelsAreSubtotals="1" fieldPosition="0">
        <references count="1">
          <reference field="24" count="1">
            <x v="2"/>
          </reference>
        </references>
      </pivotArea>
    </format>
    <format dxfId="13">
      <pivotArea collapsedLevelsAreSubtotals="1" fieldPosition="0">
        <references count="2">
          <reference field="23" count="1">
            <x v="1"/>
          </reference>
          <reference field="24" count="1" selected="0">
            <x v="2"/>
          </reference>
        </references>
      </pivotArea>
    </format>
    <format dxfId="12">
      <pivotArea collapsedLevelsAreSubtotals="1" fieldPosition="0">
        <references count="3">
          <reference field="22" count="3">
            <x v="1"/>
            <x v="2"/>
            <x v="3"/>
          </reference>
          <reference field="23" count="1" selected="0">
            <x v="1"/>
          </reference>
          <reference field="24" count="1" selected="0">
            <x v="2"/>
          </reference>
        </references>
      </pivotArea>
    </format>
    <format dxfId="11">
      <pivotArea collapsedLevelsAreSubtotals="1" fieldPosition="0">
        <references count="2">
          <reference field="23" count="1">
            <x v="2"/>
          </reference>
          <reference field="24" count="1" selected="0">
            <x v="2"/>
          </reference>
        </references>
      </pivotArea>
    </format>
    <format dxfId="10">
      <pivotArea collapsedLevelsAreSubtotals="1" fieldPosition="0">
        <references count="3">
          <reference field="22" count="1">
            <x v="4"/>
          </reference>
          <reference field="23" count="1" selected="0">
            <x v="2"/>
          </reference>
          <reference field="24" count="1" selected="0">
            <x v="2"/>
          </reference>
        </references>
      </pivotArea>
    </format>
    <format dxfId="9">
      <pivotArea dataOnly="0" labelOnly="1" fieldPosition="0">
        <references count="1">
          <reference field="24" count="3">
            <x v="0"/>
            <x v="1"/>
            <x v="2"/>
          </reference>
        </references>
      </pivotArea>
    </format>
    <format dxfId="8">
      <pivotArea dataOnly="0" labelOnly="1" fieldPosition="0">
        <references count="2">
          <reference field="23" count="1">
            <x v="0"/>
          </reference>
          <reference field="24" count="1" selected="0">
            <x v="0"/>
          </reference>
        </references>
      </pivotArea>
    </format>
    <format dxfId="7">
      <pivotArea dataOnly="0" labelOnly="1" fieldPosition="0">
        <references count="2">
          <reference field="23" count="3">
            <x v="2"/>
            <x v="3"/>
            <x v="4"/>
          </reference>
          <reference field="24" count="1" selected="0">
            <x v="1"/>
          </reference>
        </references>
      </pivotArea>
    </format>
    <format dxfId="6">
      <pivotArea dataOnly="0" labelOnly="1" fieldPosition="0">
        <references count="2">
          <reference field="23" count="2">
            <x v="1"/>
            <x v="2"/>
          </reference>
          <reference field="24" count="1" selected="0">
            <x v="2"/>
          </reference>
        </references>
      </pivotArea>
    </format>
    <format dxfId="5">
      <pivotArea dataOnly="0" labelOnly="1" fieldPosition="0">
        <references count="3">
          <reference field="22" count="1">
            <x v="0"/>
          </reference>
          <reference field="23" count="1" selected="0">
            <x v="0"/>
          </reference>
          <reference field="24" count="1" selected="0">
            <x v="0"/>
          </reference>
        </references>
      </pivotArea>
    </format>
    <format dxfId="4">
      <pivotArea dataOnly="0" labelOnly="1" fieldPosition="0">
        <references count="3">
          <reference field="22" count="3">
            <x v="4"/>
            <x v="5"/>
            <x v="6"/>
          </reference>
          <reference field="23" count="1" selected="0">
            <x v="2"/>
          </reference>
          <reference field="24" count="1" selected="0">
            <x v="1"/>
          </reference>
        </references>
      </pivotArea>
    </format>
    <format dxfId="3">
      <pivotArea dataOnly="0" labelOnly="1" fieldPosition="0">
        <references count="3">
          <reference field="22" count="3">
            <x v="7"/>
            <x v="8"/>
            <x v="9"/>
          </reference>
          <reference field="23" count="1" selected="0">
            <x v="3"/>
          </reference>
          <reference field="24" count="1" selected="0">
            <x v="1"/>
          </reference>
        </references>
      </pivotArea>
    </format>
    <format dxfId="2">
      <pivotArea dataOnly="0" labelOnly="1" fieldPosition="0">
        <references count="3">
          <reference field="22" count="3">
            <x v="10"/>
            <x v="11"/>
            <x v="12"/>
          </reference>
          <reference field="23" count="1" selected="0">
            <x v="4"/>
          </reference>
          <reference field="24" count="1" selected="0">
            <x v="1"/>
          </reference>
        </references>
      </pivotArea>
    </format>
    <format dxfId="1">
      <pivotArea dataOnly="0" labelOnly="1" fieldPosition="0">
        <references count="3">
          <reference field="22" count="3">
            <x v="1"/>
            <x v="2"/>
            <x v="3"/>
          </reference>
          <reference field="23" count="1" selected="0">
            <x v="1"/>
          </reference>
          <reference field="24" count="1" selected="0">
            <x v="2"/>
          </reference>
        </references>
      </pivotArea>
    </format>
    <format dxfId="0">
      <pivotArea dataOnly="0" labelOnly="1" fieldPosition="0">
        <references count="3">
          <reference field="22" count="1">
            <x v="4"/>
          </reference>
          <reference field="23" count="1" selected="0">
            <x v="2"/>
          </reference>
          <reference field="24" count="1" selected="0">
            <x v="2"/>
          </reference>
        </references>
      </pivotArea>
    </format>
  </format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D5714-59BE-4877-B119-919A572F300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6:B12" firstHeaderRow="1" firstDataRow="1" firstDataCol="1"/>
  <pivotFields count="22">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h="1" x="1"/>
        <item h="1"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4" showAll="0"/>
    <pivotField dataField="1"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formats count="14">
    <format dxfId="58">
      <pivotArea type="all" dataOnly="0" outline="0" fieldPosition="0"/>
    </format>
    <format dxfId="57">
      <pivotArea outline="0" collapsedLevelsAreSubtotals="1" fieldPosition="0"/>
    </format>
    <format dxfId="56">
      <pivotArea field="10" type="button" dataOnly="0" labelOnly="1" outline="0" axis="axisRow" fieldPosition="0"/>
    </format>
    <format dxfId="55">
      <pivotArea dataOnly="0" labelOnly="1" fieldPosition="0">
        <references count="1">
          <reference field="10" count="0"/>
        </references>
      </pivotArea>
    </format>
    <format dxfId="54">
      <pivotArea dataOnly="0" labelOnly="1" grandRow="1" outline="0" fieldPosition="0"/>
    </format>
    <format dxfId="53">
      <pivotArea dataOnly="0" labelOnly="1" outline="0" axis="axisValues" fieldPosition="0"/>
    </format>
    <format dxfId="52">
      <pivotArea field="10" type="button" dataOnly="0" labelOnly="1" outline="0" axis="axisRow" fieldPosition="0"/>
    </format>
    <format dxfId="51">
      <pivotArea dataOnly="0" labelOnly="1" outline="0" axis="axisValues" fieldPosition="0"/>
    </format>
    <format dxfId="50">
      <pivotArea grandRow="1" outline="0" collapsedLevelsAreSubtotals="1" fieldPosition="0"/>
    </format>
    <format dxfId="49">
      <pivotArea dataOnly="0" labelOnly="1" grandRow="1" outline="0" fieldPosition="0"/>
    </format>
    <format dxfId="48">
      <pivotArea grandRow="1" outline="0" collapsedLevelsAreSubtotals="1" fieldPosition="0"/>
    </format>
    <format dxfId="47">
      <pivotArea dataOnly="0" labelOnly="1" grandRow="1" outline="0" fieldPosition="0"/>
    </format>
    <format dxfId="46">
      <pivotArea collapsedLevelsAreSubtotals="1" fieldPosition="0">
        <references count="1">
          <reference field="10" count="0"/>
        </references>
      </pivotArea>
    </format>
    <format dxfId="45">
      <pivotArea dataOnly="0" labelOnly="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D285C-EC43-4D20-8B14-DBD8C00473F6}"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90:B95" firstHeaderRow="1" firstDataRow="1" firstDataCol="1"/>
  <pivotFields count="25">
    <pivotField showAll="0"/>
    <pivotField showAll="0">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items count="225">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x="223"/>
        <item t="default"/>
      </items>
    </pivotField>
    <pivotField dataField="1" showAll="0">
      <items count="47">
        <item x="31"/>
        <item x="26"/>
        <item x="27"/>
        <item x="3"/>
        <item x="5"/>
        <item x="1"/>
        <item x="28"/>
        <item x="42"/>
        <item x="20"/>
        <item x="18"/>
        <item x="40"/>
        <item x="25"/>
        <item x="43"/>
        <item x="22"/>
        <item x="35"/>
        <item x="41"/>
        <item x="33"/>
        <item x="34"/>
        <item x="36"/>
        <item x="19"/>
        <item x="6"/>
        <item x="37"/>
        <item x="9"/>
        <item x="24"/>
        <item x="32"/>
        <item x="39"/>
        <item x="2"/>
        <item x="0"/>
        <item x="38"/>
        <item x="23"/>
        <item x="8"/>
        <item x="21"/>
        <item x="14"/>
        <item x="15"/>
        <item x="16"/>
        <item x="10"/>
        <item x="17"/>
        <item x="44"/>
        <item x="7"/>
        <item x="4"/>
        <item x="13"/>
        <item x="12"/>
        <item x="11"/>
        <item x="30"/>
        <item x="29"/>
        <item x="45"/>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Count of Total_Amount" fld="13" subtotal="count" baseField="0" baseItem="0"/>
  </dataFields>
  <formats count="13">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grandRow="1" outline="0" fieldPosition="0"/>
    </format>
    <format dxfId="66">
      <pivotArea dataOnly="0" labelOnly="1" outline="0" axis="axisValues" fieldPosition="0"/>
    </format>
    <format dxfId="65">
      <pivotArea field="6" type="button" dataOnly="0" labelOnly="1" outline="0" axis="axisRow" fieldPosition="0"/>
    </format>
    <format dxfId="64">
      <pivotArea dataOnly="0" labelOnly="1" outline="0" axis="axisValues" fieldPosition="0"/>
    </format>
    <format dxfId="63">
      <pivotArea dataOnly="0" fieldPosition="0">
        <references count="1">
          <reference field="6" count="0"/>
        </references>
      </pivotArea>
    </format>
    <format dxfId="62">
      <pivotArea field="6" type="button" dataOnly="0" labelOnly="1" outline="0" axis="axisRow" fieldPosition="0"/>
    </format>
    <format dxfId="61">
      <pivotArea dataOnly="0" labelOnly="1" outline="0" axis="axisValues" fieldPosition="0"/>
    </format>
    <format dxfId="60">
      <pivotArea grandRow="1" outline="0" collapsedLevelsAreSubtotals="1" fieldPosition="0"/>
    </format>
    <format dxfId="59">
      <pivotArea dataOnly="0" labelOnly="1" grandRow="1" outline="0" fieldPosition="0"/>
    </format>
  </formats>
  <chartFormats count="10">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6" count="1" selected="0">
            <x v="0"/>
          </reference>
        </references>
      </pivotArea>
    </chartFormat>
    <chartFormat chart="15" format="8">
      <pivotArea type="data" outline="0" fieldPosition="0">
        <references count="2">
          <reference field="4294967294" count="1" selected="0">
            <x v="0"/>
          </reference>
          <reference field="6" count="1" selected="0">
            <x v="1"/>
          </reference>
        </references>
      </pivotArea>
    </chartFormat>
    <chartFormat chart="15" format="9">
      <pivotArea type="data" outline="0" fieldPosition="0">
        <references count="2">
          <reference field="4294967294" count="1" selected="0">
            <x v="0"/>
          </reference>
          <reference field="6" count="1" selected="0">
            <x v="2"/>
          </reference>
        </references>
      </pivotArea>
    </chartFormat>
    <chartFormat chart="15" format="10">
      <pivotArea type="data" outline="0" fieldPosition="0">
        <references count="2">
          <reference field="4294967294" count="1" selected="0">
            <x v="0"/>
          </reference>
          <reference field="6" count="1" selected="0">
            <x v="3"/>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6" count="1" selected="0">
            <x v="0"/>
          </reference>
        </references>
      </pivotArea>
    </chartFormat>
    <chartFormat chart="21" format="18">
      <pivotArea type="data" outline="0" fieldPosition="0">
        <references count="2">
          <reference field="4294967294" count="1" selected="0">
            <x v="0"/>
          </reference>
          <reference field="6" count="1" selected="0">
            <x v="1"/>
          </reference>
        </references>
      </pivotArea>
    </chartFormat>
    <chartFormat chart="21" format="19">
      <pivotArea type="data" outline="0" fieldPosition="0">
        <references count="2">
          <reference field="4294967294" count="1" selected="0">
            <x v="0"/>
          </reference>
          <reference field="6" count="1" selected="0">
            <x v="2"/>
          </reference>
        </references>
      </pivotArea>
    </chartFormat>
    <chartFormat chart="21"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5593BF-7DB3-4307-B992-A59F5764879F}" sourceName="Region">
  <pivotTables>
    <pivotTable tabId="4" name="PivotTable2"/>
  </pivotTables>
  <data>
    <tabular pivotCacheId="1858322564">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0A079D4-1195-4697-93F8-6E0DC30B74E9}" sourceName="Date">
  <pivotTables>
    <pivotTable tabId="4" name="PivotTable4"/>
  </pivotTables>
  <data>
    <tabular pivotCacheId="605337109">
      <items count="16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B83FD83F-54B9-4EE8-80D3-341987D15E0C}" sourceName="Total_Amount">
  <pivotTables>
    <pivotTable tabId="4" name="PivotTable4"/>
  </pivotTables>
  <data>
    <tabular pivotCacheId="605337109">
      <items count="46">
        <i x="31" s="1"/>
        <i x="26" s="1"/>
        <i x="27" s="1"/>
        <i x="3" s="1"/>
        <i x="5" s="1"/>
        <i x="1" s="1"/>
        <i x="28" s="1"/>
        <i x="42" s="1"/>
        <i x="20" s="1"/>
        <i x="18" s="1"/>
        <i x="40" s="1"/>
        <i x="25" s="1"/>
        <i x="43" s="1"/>
        <i x="22" s="1"/>
        <i x="35" s="1"/>
        <i x="41" s="1"/>
        <i x="33" s="1"/>
        <i x="34" s="1"/>
        <i x="36" s="1"/>
        <i x="19" s="1"/>
        <i x="6" s="1"/>
        <i x="37" s="1"/>
        <i x="9" s="1"/>
        <i x="24" s="1"/>
        <i x="32" s="1"/>
        <i x="39" s="1"/>
        <i x="2" s="1"/>
        <i x="0" s="1"/>
        <i x="38" s="1"/>
        <i x="23" s="1"/>
        <i x="8" s="1"/>
        <i x="21" s="1"/>
        <i x="14" s="1"/>
        <i x="15" s="1"/>
        <i x="16" s="1"/>
        <i x="10" s="1"/>
        <i x="17" s="1"/>
        <i x="44" s="1"/>
        <i x="7" s="1"/>
        <i x="4" s="1"/>
        <i x="13" s="1"/>
        <i x="12" s="1"/>
        <i x="11" s="1"/>
        <i x="30" s="1"/>
        <i x="29" s="1"/>
        <i x="4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367788-1E49-4251-98BD-BB736464A001}" sourceName="Category">
  <pivotTables>
    <pivotTable tabId="4" name="PivotTable5"/>
  </pivotTables>
  <data>
    <tabular pivotCacheId="60533710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6A79BF9-6E93-4336-B013-BA364EF9C60F}" cache="Slicer_Region" caption="Region" style="SlicerStyleDark6" rowHeight="234950"/>
  <slicer name="Date" xr10:uid="{7A8E0C69-03E2-41D2-B33D-F0A2DA26E26F}" cache="Slicer_Date" caption="Date" startItem="30" style="SlicerStyleDark6" rowHeight="234950"/>
  <slicer name="Total_Amount" xr10:uid="{549B9863-B84C-4CC4-ACC8-F53E3983F6BA}" cache="Slicer_Total_Amount" caption="Total_Amount" style="SlicerStyleDark6" rowHeight="234950"/>
  <slicer name="Category" xr10:uid="{83FD5CA2-EA3E-43E9-BFFB-A45E39DE486F}" cache="Slicer_Category" caption="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8F3F1E13-8343-4F0A-80C4-4989873F7BA0}" sourceName="Date">
  <pivotTables>
    <pivotTable tabId="4" name="PivotTable2"/>
  </pivotTables>
  <state minimalRefreshVersion="6" lastRefreshVersion="6" pivotCacheId="1858322564" filterType="unknown">
    <bounds startDate="2024-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Now" xr10:uid="{9747CB61-A03E-4079-8E52-3B9E54B86A91}" sourceName="Now">
  <pivotTables>
    <pivotTable tabId="4" name="PivotTable4"/>
  </pivotTables>
  <state minimalRefreshVersion="6" lastRefreshVersion="6" pivotCacheId="605337109" filterType="unknown">
    <bounds startDate="2026-01-01T15:49:51" endDate="2027-01-01T15:49:51"/>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 xr10:uid="{55C7B3D6-13FE-4065-B8FE-FBA94A133250}" sourceName="Customer_Since">
  <pivotTables>
    <pivotTable tabId="4" name="PivotTable5"/>
  </pivotTables>
  <state minimalRefreshVersion="6" lastRefreshVersion="6" pivotCacheId="605337109"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05BCD21-0C9D-4C12-973E-0F465D0F1C6D}" cache="NativeTimeline_Date1" caption="Date" level="2" selectionLevel="2" scrollPosition="2024-01-01T00:00:00" style="TimeSlicerStyleDark6"/>
  <timeline name="Now" xr10:uid="{F7228F9E-CA37-4351-8E46-7B88B2CF51D8}" cache="NativeTimeline_Now" caption="Now" level="2" selectionLevel="2" scrollPosition="2026-01-01T00:00:00" style="TimeSlicerStyleDark6"/>
  <timeline name="Customer_Since" xr10:uid="{9AFDB158-40F5-45EF-811E-9C5BD01D8230}" cache="NativeTimeline_Customer_Since" caption="Customer_Since" level="2" selectionLevel="2" scrollPosition="2021-01-01T00:00:00" style="TimeSlicerStyleDark6"/>
</timeline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E967-4FF9-41BE-9E76-290CD41700E5}">
  <dimension ref="A1:AD2368"/>
  <sheetViews>
    <sheetView tabSelected="1" zoomScaleNormal="100" workbookViewId="0">
      <pane ySplit="1" topLeftCell="A2" activePane="bottomLeft" state="frozen"/>
      <selection pane="bottomLeft" activeCell="X257" sqref="X257"/>
    </sheetView>
  </sheetViews>
  <sheetFormatPr defaultRowHeight="14.4" x14ac:dyDescent="0.3"/>
  <cols>
    <col min="1" max="1" width="14.44140625" customWidth="1"/>
    <col min="2" max="2" width="10.33203125" bestFit="1" customWidth="1"/>
    <col min="3" max="3" width="11.6640625" customWidth="1"/>
    <col min="4" max="4" width="15" customWidth="1"/>
    <col min="5" max="5" width="10.21875" customWidth="1"/>
    <col min="6" max="6" width="13.88671875" customWidth="1"/>
    <col min="7" max="7" width="9.88671875" customWidth="1"/>
    <col min="8" max="8" width="11.5546875" bestFit="1" customWidth="1"/>
    <col min="9" max="9" width="12" customWidth="1"/>
    <col min="10" max="10" width="17.33203125" customWidth="1"/>
    <col min="12" max="12" width="18.21875" customWidth="1"/>
    <col min="13" max="13" width="15.5546875" customWidth="1"/>
    <col min="14" max="14" width="16" customWidth="1"/>
    <col min="15" max="15" width="10.33203125" bestFit="1" customWidth="1"/>
    <col min="16" max="16" width="15.44140625" bestFit="1" customWidth="1"/>
    <col min="17" max="17" width="13.21875" customWidth="1"/>
    <col min="18" max="18" width="10.33203125" bestFit="1" customWidth="1"/>
    <col min="19" max="19" width="27.109375" customWidth="1"/>
    <col min="20" max="20" width="17.5546875" bestFit="1" customWidth="1"/>
    <col min="21" max="21" width="20.6640625" customWidth="1"/>
    <col min="22" max="22" width="17.88671875" customWidth="1"/>
    <col min="23" max="23" width="16.33203125" style="39" customWidth="1"/>
    <col min="24" max="24" width="13.44140625" customWidth="1"/>
    <col min="25" max="25" width="22.33203125" customWidth="1"/>
    <col min="26" max="26" width="12.33203125" customWidth="1"/>
    <col min="28" max="29" width="16.5546875" customWidth="1"/>
    <col min="30" max="30" width="21" bestFit="1" customWidth="1"/>
  </cols>
  <sheetData>
    <row r="1" spans="1:30" ht="31.8" customHeight="1" x14ac:dyDescent="0.3">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399</v>
      </c>
      <c r="P1" s="17" t="s">
        <v>400</v>
      </c>
      <c r="Q1" s="17" t="s">
        <v>401</v>
      </c>
      <c r="R1" s="17" t="s">
        <v>402</v>
      </c>
      <c r="S1" s="17" t="s">
        <v>403</v>
      </c>
      <c r="T1" s="17" t="s">
        <v>405</v>
      </c>
      <c r="U1" s="17" t="s">
        <v>443</v>
      </c>
      <c r="V1" s="37" t="s">
        <v>444</v>
      </c>
      <c r="W1" s="17" t="s">
        <v>483</v>
      </c>
      <c r="X1" s="17" t="s">
        <v>484</v>
      </c>
      <c r="Y1" s="17" t="s">
        <v>485</v>
      </c>
      <c r="Z1" s="17" t="s">
        <v>487</v>
      </c>
      <c r="AA1" s="17" t="s">
        <v>486</v>
      </c>
      <c r="AB1" s="17" t="s">
        <v>488</v>
      </c>
      <c r="AC1" s="17" t="s">
        <v>489</v>
      </c>
      <c r="AD1" s="17" t="s">
        <v>490</v>
      </c>
    </row>
    <row r="2" spans="1:30" x14ac:dyDescent="0.3">
      <c r="A2" s="41" t="s">
        <v>14</v>
      </c>
      <c r="B2" s="42">
        <v>45393</v>
      </c>
      <c r="C2" s="41" t="s">
        <v>15</v>
      </c>
      <c r="D2" s="41" t="s">
        <v>16</v>
      </c>
      <c r="E2" s="41" t="s">
        <v>17</v>
      </c>
      <c r="F2" s="41" t="s">
        <v>18</v>
      </c>
      <c r="G2" s="41" t="s">
        <v>19</v>
      </c>
      <c r="H2" s="41">
        <v>3</v>
      </c>
      <c r="I2" s="41">
        <v>249.99</v>
      </c>
      <c r="J2" s="41" t="s">
        <v>20</v>
      </c>
      <c r="K2" s="41" t="s">
        <v>21</v>
      </c>
      <c r="L2" s="41" t="s">
        <v>22</v>
      </c>
      <c r="M2" s="42">
        <v>44425</v>
      </c>
      <c r="N2" s="41">
        <f>H2*I2</f>
        <v>749.97</v>
      </c>
      <c r="O2" s="43">
        <f ca="1">TODAY()</f>
        <v>46077</v>
      </c>
      <c r="P2" s="44">
        <f ca="1">NOW()</f>
        <v>46077.83000613426</v>
      </c>
      <c r="Q2" s="18">
        <f ca="1">DATEDIF(M2,TODAY(),"Y")</f>
        <v>4</v>
      </c>
      <c r="R2" s="45">
        <f>EOMONTH(B2,0)</f>
        <v>45412</v>
      </c>
      <c r="S2" s="50" t="s">
        <v>404</v>
      </c>
      <c r="T2" s="46">
        <f ca="1">NOW()</f>
        <v>46077.83000613426</v>
      </c>
      <c r="U2" s="18">
        <f>SUMIFS($N:$N,$D:$D,D2)</f>
        <v>13809.790000000006</v>
      </c>
      <c r="V2" s="38" t="str">
        <f>IF(U2&gt;10000,"High Value","Normal")</f>
        <v>High Value</v>
      </c>
      <c r="W2" s="18">
        <f>COUNTIF($E$2:$E$500, E2)</f>
        <v>26</v>
      </c>
      <c r="X2" s="18">
        <f>MAX(W2:W500)</f>
        <v>35</v>
      </c>
      <c r="Y2" s="38" t="str">
        <f>INDEX(E2:E500, MATCH(MAX(W2:W500), W2:W500, 0))</f>
        <v>P008</v>
      </c>
      <c r="Z2" s="18">
        <f>COUNTIF($D:$D, D2)</f>
        <v>8</v>
      </c>
      <c r="AA2" s="18" t="str">
        <f>IF(Z2&gt;1,"Repeat","Unique")</f>
        <v>Repeat</v>
      </c>
      <c r="AB2" s="18" t="str">
        <f>IF($AA2="Repeat",D2,"")</f>
        <v>Paul Baker</v>
      </c>
      <c r="AC2" s="18" t="str">
        <f>LEFT(D2,1) &amp; MID(D2,FIND(" ",D2)+1,1)</f>
        <v>PB</v>
      </c>
      <c r="AD2" s="18" t="str">
        <f>LOWER(LEFT(D2,1) &amp; MID(D2,FIND(" ",D2)+1,100) &amp; "@gmail.com")</f>
        <v>pbaker@gmail.com</v>
      </c>
    </row>
    <row r="3" spans="1:30" x14ac:dyDescent="0.3">
      <c r="A3" s="41" t="s">
        <v>23</v>
      </c>
      <c r="B3" s="42">
        <v>45396</v>
      </c>
      <c r="C3" s="41" t="s">
        <v>24</v>
      </c>
      <c r="D3" s="41" t="s">
        <v>25</v>
      </c>
      <c r="E3" s="41" t="s">
        <v>17</v>
      </c>
      <c r="F3" s="41" t="s">
        <v>18</v>
      </c>
      <c r="G3" s="41" t="s">
        <v>19</v>
      </c>
      <c r="H3" s="41">
        <v>3</v>
      </c>
      <c r="I3" s="41">
        <v>249.99</v>
      </c>
      <c r="J3" s="41" t="s">
        <v>26</v>
      </c>
      <c r="K3" s="41" t="s">
        <v>21</v>
      </c>
      <c r="L3" s="41" t="s">
        <v>27</v>
      </c>
      <c r="M3" s="42">
        <v>44575</v>
      </c>
      <c r="N3" s="41">
        <f t="shared" ref="N3:N66" si="0">H3*I3</f>
        <v>749.97</v>
      </c>
      <c r="O3" s="40"/>
      <c r="P3" s="40"/>
      <c r="Q3" s="40"/>
      <c r="R3" s="40"/>
      <c r="S3" s="50"/>
      <c r="T3" s="40"/>
      <c r="U3" s="18">
        <f t="shared" ref="U3:U66" si="1">SUMIFS($N:$N,$D:$D,D3)</f>
        <v>6949.84</v>
      </c>
      <c r="V3" s="38" t="str">
        <f t="shared" ref="V3:V66" si="2">IF(U3&gt;10000,"High Value","Normal")</f>
        <v>Normal</v>
      </c>
      <c r="W3" s="18">
        <f t="shared" ref="W3:W66" si="3">COUNTIF($E$2:$E$500, E3)</f>
        <v>26</v>
      </c>
      <c r="X3" s="40"/>
      <c r="Y3" s="40"/>
      <c r="Z3" s="18">
        <f t="shared" ref="Z3:Z66" si="4">COUNTIF($D:$D, D3)</f>
        <v>5</v>
      </c>
      <c r="AA3" s="18" t="str">
        <f t="shared" ref="AA3:AA66" si="5">IF(Z3&gt;1,"Repeat","Unique")</f>
        <v>Repeat</v>
      </c>
      <c r="AB3" s="18" t="str">
        <f t="shared" ref="AB3:AB66" si="6">IF($AA3="Repeat",D3,"")</f>
        <v>Joseph Jackson</v>
      </c>
      <c r="AC3" s="18" t="str">
        <f t="shared" ref="AC3:AC66" si="7">LEFT(D3,1) &amp; MID(D3,FIND(" ",D3)+1,1)</f>
        <v>JJ</v>
      </c>
      <c r="AD3" s="18" t="str">
        <f t="shared" ref="AD3:AD66" si="8">LOWER(LEFT(D3,1) &amp; MID(D3,FIND(" ",D3)+1,100) &amp; "@gmail.com")</f>
        <v>jjackson@gmail.com</v>
      </c>
    </row>
    <row r="4" spans="1:30" x14ac:dyDescent="0.3">
      <c r="A4" s="41" t="s">
        <v>28</v>
      </c>
      <c r="B4" s="42">
        <v>45399</v>
      </c>
      <c r="C4" s="41" t="s">
        <v>29</v>
      </c>
      <c r="D4" s="41" t="s">
        <v>30</v>
      </c>
      <c r="E4" s="41" t="s">
        <v>31</v>
      </c>
      <c r="F4" s="41" t="s">
        <v>32</v>
      </c>
      <c r="G4" s="41" t="s">
        <v>33</v>
      </c>
      <c r="H4" s="41">
        <v>3</v>
      </c>
      <c r="I4" s="41">
        <v>59.99</v>
      </c>
      <c r="J4" s="41" t="s">
        <v>34</v>
      </c>
      <c r="K4" s="41" t="s">
        <v>35</v>
      </c>
      <c r="L4" s="41" t="s">
        <v>36</v>
      </c>
      <c r="M4" s="42">
        <v>45262</v>
      </c>
      <c r="N4" s="41">
        <f t="shared" si="0"/>
        <v>179.97</v>
      </c>
      <c r="O4" s="40"/>
      <c r="P4" s="40"/>
      <c r="Q4" s="40"/>
      <c r="R4" s="40"/>
      <c r="S4" s="50"/>
      <c r="T4" s="40"/>
      <c r="U4" s="18">
        <f t="shared" si="1"/>
        <v>3259.87</v>
      </c>
      <c r="V4" s="38" t="str">
        <f t="shared" si="2"/>
        <v>Normal</v>
      </c>
      <c r="W4" s="18">
        <f t="shared" si="3"/>
        <v>29</v>
      </c>
      <c r="X4" s="40"/>
      <c r="Y4" s="40"/>
      <c r="Z4" s="18">
        <f t="shared" si="4"/>
        <v>6</v>
      </c>
      <c r="AA4" s="18" t="str">
        <f t="shared" si="5"/>
        <v>Repeat</v>
      </c>
      <c r="AB4" s="18" t="str">
        <f t="shared" si="6"/>
        <v>Kevin Scott</v>
      </c>
      <c r="AC4" s="18" t="str">
        <f t="shared" si="7"/>
        <v>KS</v>
      </c>
      <c r="AD4" s="18" t="str">
        <f t="shared" si="8"/>
        <v>kscott@gmail.com</v>
      </c>
    </row>
    <row r="5" spans="1:30" ht="16.2" customHeight="1" x14ac:dyDescent="0.3">
      <c r="A5" s="41" t="s">
        <v>37</v>
      </c>
      <c r="B5" s="42">
        <v>45400</v>
      </c>
      <c r="C5" s="41" t="s">
        <v>38</v>
      </c>
      <c r="D5" s="41" t="s">
        <v>39</v>
      </c>
      <c r="E5" s="41" t="s">
        <v>31</v>
      </c>
      <c r="F5" s="41" t="s">
        <v>32</v>
      </c>
      <c r="G5" s="41" t="s">
        <v>33</v>
      </c>
      <c r="H5" s="41">
        <v>3</v>
      </c>
      <c r="I5" s="41">
        <v>59.99</v>
      </c>
      <c r="J5" s="41" t="s">
        <v>20</v>
      </c>
      <c r="K5" s="41" t="s">
        <v>40</v>
      </c>
      <c r="L5" s="41" t="s">
        <v>27</v>
      </c>
      <c r="M5" s="42">
        <v>45114</v>
      </c>
      <c r="N5" s="41">
        <f t="shared" si="0"/>
        <v>179.97</v>
      </c>
      <c r="O5" s="40"/>
      <c r="P5" s="40"/>
      <c r="Q5" s="40"/>
      <c r="R5" s="40"/>
      <c r="S5" s="50"/>
      <c r="T5" s="40"/>
      <c r="U5" s="18">
        <f t="shared" si="1"/>
        <v>4309.8100000000004</v>
      </c>
      <c r="V5" s="38" t="str">
        <f t="shared" si="2"/>
        <v>Normal</v>
      </c>
      <c r="W5" s="18">
        <f t="shared" si="3"/>
        <v>29</v>
      </c>
      <c r="X5" s="40"/>
      <c r="Y5" s="40"/>
      <c r="Z5" s="18">
        <f t="shared" si="4"/>
        <v>6</v>
      </c>
      <c r="AA5" s="18" t="str">
        <f t="shared" si="5"/>
        <v>Repeat</v>
      </c>
      <c r="AB5" s="18" t="str">
        <f t="shared" si="6"/>
        <v>Kathleen Bennett</v>
      </c>
      <c r="AC5" s="18" t="str">
        <f t="shared" si="7"/>
        <v>KB</v>
      </c>
      <c r="AD5" s="18" t="str">
        <f t="shared" si="8"/>
        <v>kbennett@gmail.com</v>
      </c>
    </row>
    <row r="6" spans="1:30" x14ac:dyDescent="0.3">
      <c r="A6" s="41" t="s">
        <v>41</v>
      </c>
      <c r="B6" s="42">
        <v>45400</v>
      </c>
      <c r="C6" s="41" t="s">
        <v>42</v>
      </c>
      <c r="D6" s="41" t="s">
        <v>43</v>
      </c>
      <c r="E6" s="41" t="s">
        <v>44</v>
      </c>
      <c r="F6" s="41" t="s">
        <v>45</v>
      </c>
      <c r="G6" s="41" t="s">
        <v>46</v>
      </c>
      <c r="H6" s="41">
        <v>5</v>
      </c>
      <c r="I6" s="41">
        <v>149.99</v>
      </c>
      <c r="J6" s="41" t="s">
        <v>26</v>
      </c>
      <c r="K6" s="41" t="s">
        <v>40</v>
      </c>
      <c r="L6" s="41" t="s">
        <v>27</v>
      </c>
      <c r="M6" s="42">
        <v>45295</v>
      </c>
      <c r="N6" s="41">
        <f t="shared" si="0"/>
        <v>749.95</v>
      </c>
      <c r="O6" s="40"/>
      <c r="P6" s="40"/>
      <c r="Q6" s="40"/>
      <c r="R6" s="40"/>
      <c r="S6" s="47"/>
      <c r="T6" s="40"/>
      <c r="U6" s="18">
        <f t="shared" si="1"/>
        <v>6169.7400000000007</v>
      </c>
      <c r="V6" s="38" t="str">
        <f t="shared" si="2"/>
        <v>Normal</v>
      </c>
      <c r="W6" s="18">
        <f t="shared" si="3"/>
        <v>35</v>
      </c>
      <c r="X6" s="40"/>
      <c r="Y6" s="40"/>
      <c r="Z6" s="18">
        <f t="shared" si="4"/>
        <v>9</v>
      </c>
      <c r="AA6" s="18" t="str">
        <f t="shared" si="5"/>
        <v>Repeat</v>
      </c>
      <c r="AB6" s="18" t="str">
        <f t="shared" si="6"/>
        <v>Michael Brown</v>
      </c>
      <c r="AC6" s="18" t="str">
        <f t="shared" si="7"/>
        <v>MB</v>
      </c>
      <c r="AD6" s="18" t="str">
        <f t="shared" si="8"/>
        <v>mbrown@gmail.com</v>
      </c>
    </row>
    <row r="7" spans="1:30" x14ac:dyDescent="0.3">
      <c r="A7" s="41" t="s">
        <v>47</v>
      </c>
      <c r="B7" s="42">
        <v>45403</v>
      </c>
      <c r="C7" s="41" t="s">
        <v>48</v>
      </c>
      <c r="D7" s="41" t="s">
        <v>49</v>
      </c>
      <c r="E7" s="41" t="s">
        <v>31</v>
      </c>
      <c r="F7" s="41" t="s">
        <v>32</v>
      </c>
      <c r="G7" s="41" t="s">
        <v>33</v>
      </c>
      <c r="H7" s="41">
        <v>2</v>
      </c>
      <c r="I7" s="41">
        <v>59.99</v>
      </c>
      <c r="J7" s="41" t="s">
        <v>20</v>
      </c>
      <c r="K7" s="41" t="s">
        <v>50</v>
      </c>
      <c r="L7" s="41" t="s">
        <v>36</v>
      </c>
      <c r="M7" s="42">
        <v>44746</v>
      </c>
      <c r="N7" s="41">
        <f t="shared" si="0"/>
        <v>119.98</v>
      </c>
      <c r="O7" s="40"/>
      <c r="P7" s="40"/>
      <c r="Q7" s="40"/>
      <c r="R7" s="40"/>
      <c r="S7" s="40"/>
      <c r="T7" s="40"/>
      <c r="U7" s="18">
        <f t="shared" si="1"/>
        <v>8269.7900000000009</v>
      </c>
      <c r="V7" s="38" t="str">
        <f t="shared" si="2"/>
        <v>Normal</v>
      </c>
      <c r="W7" s="18">
        <f t="shared" si="3"/>
        <v>29</v>
      </c>
      <c r="X7" s="40"/>
      <c r="Y7" s="40"/>
      <c r="Z7" s="18">
        <f t="shared" si="4"/>
        <v>6</v>
      </c>
      <c r="AA7" s="18" t="str">
        <f t="shared" si="5"/>
        <v>Repeat</v>
      </c>
      <c r="AB7" s="18" t="str">
        <f t="shared" si="6"/>
        <v>Dorothy Nelson</v>
      </c>
      <c r="AC7" s="18" t="str">
        <f t="shared" si="7"/>
        <v>DN</v>
      </c>
      <c r="AD7" s="18" t="str">
        <f t="shared" si="8"/>
        <v>dnelson@gmail.com</v>
      </c>
    </row>
    <row r="8" spans="1:30" x14ac:dyDescent="0.3">
      <c r="A8" s="41" t="s">
        <v>51</v>
      </c>
      <c r="B8" s="42">
        <v>45403</v>
      </c>
      <c r="C8" s="41" t="s">
        <v>48</v>
      </c>
      <c r="D8" s="41" t="s">
        <v>49</v>
      </c>
      <c r="E8" s="41" t="s">
        <v>52</v>
      </c>
      <c r="F8" s="41" t="s">
        <v>53</v>
      </c>
      <c r="G8" s="41" t="s">
        <v>19</v>
      </c>
      <c r="H8" s="41">
        <v>5</v>
      </c>
      <c r="I8" s="41">
        <v>149.99</v>
      </c>
      <c r="J8" s="41" t="s">
        <v>26</v>
      </c>
      <c r="K8" s="41" t="s">
        <v>21</v>
      </c>
      <c r="L8" s="41" t="s">
        <v>36</v>
      </c>
      <c r="M8" s="42">
        <v>44418</v>
      </c>
      <c r="N8" s="41">
        <f t="shared" si="0"/>
        <v>749.95</v>
      </c>
      <c r="O8" s="40"/>
      <c r="P8" s="40"/>
      <c r="Q8" s="40"/>
      <c r="R8" s="40"/>
      <c r="S8" s="40"/>
      <c r="T8" s="40"/>
      <c r="U8" s="18">
        <f t="shared" si="1"/>
        <v>8269.7900000000009</v>
      </c>
      <c r="V8" s="38" t="str">
        <f t="shared" si="2"/>
        <v>Normal</v>
      </c>
      <c r="W8" s="18">
        <f t="shared" si="3"/>
        <v>16</v>
      </c>
      <c r="X8" s="40"/>
      <c r="Y8" s="40"/>
      <c r="Z8" s="18">
        <f t="shared" si="4"/>
        <v>6</v>
      </c>
      <c r="AA8" s="18" t="str">
        <f t="shared" si="5"/>
        <v>Repeat</v>
      </c>
      <c r="AB8" s="18" t="str">
        <f t="shared" si="6"/>
        <v>Dorothy Nelson</v>
      </c>
      <c r="AC8" s="18" t="str">
        <f t="shared" si="7"/>
        <v>DN</v>
      </c>
      <c r="AD8" s="18" t="str">
        <f t="shared" si="8"/>
        <v>dnelson@gmail.com</v>
      </c>
    </row>
    <row r="9" spans="1:30" x14ac:dyDescent="0.3">
      <c r="A9" s="41" t="s">
        <v>54</v>
      </c>
      <c r="B9" s="42">
        <v>45403</v>
      </c>
      <c r="C9" s="41" t="s">
        <v>55</v>
      </c>
      <c r="D9" s="41" t="s">
        <v>56</v>
      </c>
      <c r="E9" s="41" t="s">
        <v>31</v>
      </c>
      <c r="F9" s="41" t="s">
        <v>32</v>
      </c>
      <c r="G9" s="41" t="s">
        <v>33</v>
      </c>
      <c r="H9" s="41">
        <v>3</v>
      </c>
      <c r="I9" s="41">
        <v>59.99</v>
      </c>
      <c r="J9" s="41" t="s">
        <v>57</v>
      </c>
      <c r="K9" s="41" t="s">
        <v>35</v>
      </c>
      <c r="L9" s="41" t="s">
        <v>22</v>
      </c>
      <c r="M9" s="42">
        <v>45007</v>
      </c>
      <c r="N9" s="41">
        <f t="shared" si="0"/>
        <v>179.97</v>
      </c>
      <c r="O9" s="40"/>
      <c r="P9" s="40"/>
      <c r="Q9" s="40"/>
      <c r="R9" s="40"/>
      <c r="S9" s="40"/>
      <c r="T9" s="40"/>
      <c r="U9" s="18">
        <f t="shared" si="1"/>
        <v>5089.7300000000005</v>
      </c>
      <c r="V9" s="38" t="str">
        <f t="shared" si="2"/>
        <v>Normal</v>
      </c>
      <c r="W9" s="18">
        <f t="shared" si="3"/>
        <v>29</v>
      </c>
      <c r="X9" s="40"/>
      <c r="Y9" s="40"/>
      <c r="Z9" s="18">
        <f t="shared" si="4"/>
        <v>9</v>
      </c>
      <c r="AA9" s="18" t="str">
        <f t="shared" si="5"/>
        <v>Repeat</v>
      </c>
      <c r="AB9" s="18" t="str">
        <f t="shared" si="6"/>
        <v>Charles Allen</v>
      </c>
      <c r="AC9" s="18" t="str">
        <f t="shared" si="7"/>
        <v>CA</v>
      </c>
      <c r="AD9" s="18" t="str">
        <f t="shared" si="8"/>
        <v>callen@gmail.com</v>
      </c>
    </row>
    <row r="10" spans="1:30" x14ac:dyDescent="0.3">
      <c r="A10" s="41" t="s">
        <v>58</v>
      </c>
      <c r="B10" s="42">
        <v>45405</v>
      </c>
      <c r="C10" s="41" t="s">
        <v>59</v>
      </c>
      <c r="D10" s="41" t="s">
        <v>60</v>
      </c>
      <c r="E10" s="41" t="s">
        <v>61</v>
      </c>
      <c r="F10" s="41" t="s">
        <v>62</v>
      </c>
      <c r="G10" s="41" t="s">
        <v>19</v>
      </c>
      <c r="H10" s="41">
        <v>3</v>
      </c>
      <c r="I10" s="41">
        <v>899.99</v>
      </c>
      <c r="J10" s="41" t="s">
        <v>34</v>
      </c>
      <c r="K10" s="41" t="s">
        <v>63</v>
      </c>
      <c r="L10" s="41" t="s">
        <v>36</v>
      </c>
      <c r="M10" s="42">
        <v>45299</v>
      </c>
      <c r="N10" s="41">
        <f t="shared" si="0"/>
        <v>2699.9700000000003</v>
      </c>
      <c r="O10" s="40"/>
      <c r="P10" s="40"/>
      <c r="Q10" s="40"/>
      <c r="R10" s="40"/>
      <c r="S10" s="40"/>
      <c r="T10" s="40"/>
      <c r="U10" s="18">
        <f t="shared" si="1"/>
        <v>3509.8999999999996</v>
      </c>
      <c r="V10" s="38" t="str">
        <f t="shared" si="2"/>
        <v>Normal</v>
      </c>
      <c r="W10" s="18">
        <f t="shared" si="3"/>
        <v>24</v>
      </c>
      <c r="X10" s="40"/>
      <c r="Y10" s="40"/>
      <c r="Z10" s="18">
        <f t="shared" si="4"/>
        <v>5</v>
      </c>
      <c r="AA10" s="18" t="str">
        <f t="shared" si="5"/>
        <v>Repeat</v>
      </c>
      <c r="AB10" s="18" t="str">
        <f t="shared" si="6"/>
        <v>Robert Thomas</v>
      </c>
      <c r="AC10" s="18" t="str">
        <f t="shared" si="7"/>
        <v>RT</v>
      </c>
      <c r="AD10" s="18" t="str">
        <f t="shared" si="8"/>
        <v>rthomas@gmail.com</v>
      </c>
    </row>
    <row r="11" spans="1:30" x14ac:dyDescent="0.3">
      <c r="A11" s="41" t="s">
        <v>64</v>
      </c>
      <c r="B11" s="42">
        <v>45408</v>
      </c>
      <c r="C11" s="41" t="s">
        <v>65</v>
      </c>
      <c r="D11" s="41" t="s">
        <v>66</v>
      </c>
      <c r="E11" s="41" t="s">
        <v>31</v>
      </c>
      <c r="F11" s="41" t="s">
        <v>32</v>
      </c>
      <c r="G11" s="41" t="s">
        <v>33</v>
      </c>
      <c r="H11" s="41">
        <v>3</v>
      </c>
      <c r="I11" s="41">
        <v>59.99</v>
      </c>
      <c r="J11" s="41" t="s">
        <v>20</v>
      </c>
      <c r="K11" s="41" t="s">
        <v>50</v>
      </c>
      <c r="L11" s="41" t="s">
        <v>27</v>
      </c>
      <c r="M11" s="42">
        <v>45207</v>
      </c>
      <c r="N11" s="41">
        <f t="shared" si="0"/>
        <v>179.97</v>
      </c>
      <c r="O11" s="40"/>
      <c r="P11" s="40"/>
      <c r="Q11" s="40"/>
      <c r="R11" s="40"/>
      <c r="S11" s="40"/>
      <c r="T11" s="40"/>
      <c r="U11" s="18">
        <f t="shared" si="1"/>
        <v>8009.7699999999995</v>
      </c>
      <c r="V11" s="38" t="str">
        <f t="shared" si="2"/>
        <v>Normal</v>
      </c>
      <c r="W11" s="18">
        <f t="shared" si="3"/>
        <v>29</v>
      </c>
      <c r="X11" s="40"/>
      <c r="Y11" s="40"/>
      <c r="Z11" s="18">
        <f t="shared" si="4"/>
        <v>8</v>
      </c>
      <c r="AA11" s="18" t="str">
        <f t="shared" si="5"/>
        <v>Repeat</v>
      </c>
      <c r="AB11" s="18" t="str">
        <f t="shared" si="6"/>
        <v>Karen Hill</v>
      </c>
      <c r="AC11" s="18" t="str">
        <f t="shared" si="7"/>
        <v>KH</v>
      </c>
      <c r="AD11" s="18" t="str">
        <f t="shared" si="8"/>
        <v>khill@gmail.com</v>
      </c>
    </row>
    <row r="12" spans="1:30" x14ac:dyDescent="0.3">
      <c r="A12" s="41" t="s">
        <v>67</v>
      </c>
      <c r="B12" s="42">
        <v>45408</v>
      </c>
      <c r="C12" s="41" t="s">
        <v>68</v>
      </c>
      <c r="D12" s="41" t="s">
        <v>69</v>
      </c>
      <c r="E12" s="41" t="s">
        <v>44</v>
      </c>
      <c r="F12" s="41" t="s">
        <v>45</v>
      </c>
      <c r="G12" s="41" t="s">
        <v>46</v>
      </c>
      <c r="H12" s="41">
        <v>1</v>
      </c>
      <c r="I12" s="41">
        <v>149.99</v>
      </c>
      <c r="J12" s="41" t="s">
        <v>26</v>
      </c>
      <c r="K12" s="41" t="s">
        <v>50</v>
      </c>
      <c r="L12" s="41" t="s">
        <v>36</v>
      </c>
      <c r="M12" s="42">
        <v>45103</v>
      </c>
      <c r="N12" s="41">
        <f t="shared" si="0"/>
        <v>149.99</v>
      </c>
      <c r="O12" s="40"/>
      <c r="P12" s="40"/>
      <c r="Q12" s="40"/>
      <c r="R12" s="40"/>
      <c r="S12" s="40"/>
      <c r="T12" s="40"/>
      <c r="U12" s="18">
        <f t="shared" si="1"/>
        <v>1979.89</v>
      </c>
      <c r="V12" s="38" t="str">
        <f t="shared" si="2"/>
        <v>Normal</v>
      </c>
      <c r="W12" s="18">
        <f t="shared" si="3"/>
        <v>35</v>
      </c>
      <c r="X12" s="40"/>
      <c r="Y12" s="40"/>
      <c r="Z12" s="18">
        <f t="shared" si="4"/>
        <v>4</v>
      </c>
      <c r="AA12" s="18" t="str">
        <f t="shared" si="5"/>
        <v>Repeat</v>
      </c>
      <c r="AB12" s="18" t="str">
        <f t="shared" si="6"/>
        <v>Susan Green</v>
      </c>
      <c r="AC12" s="18" t="str">
        <f t="shared" si="7"/>
        <v>SG</v>
      </c>
      <c r="AD12" s="18" t="str">
        <f t="shared" si="8"/>
        <v>sgreen@gmail.com</v>
      </c>
    </row>
    <row r="13" spans="1:30" ht="18" customHeight="1" x14ac:dyDescent="0.3">
      <c r="A13" s="41" t="s">
        <v>70</v>
      </c>
      <c r="B13" s="42">
        <v>45408</v>
      </c>
      <c r="C13" s="41" t="s">
        <v>38</v>
      </c>
      <c r="D13" s="41" t="s">
        <v>39</v>
      </c>
      <c r="E13" s="41" t="s">
        <v>44</v>
      </c>
      <c r="F13" s="41" t="s">
        <v>45</v>
      </c>
      <c r="G13" s="41" t="s">
        <v>46</v>
      </c>
      <c r="H13" s="41">
        <v>5</v>
      </c>
      <c r="I13" s="41">
        <v>149.99</v>
      </c>
      <c r="J13" s="41" t="s">
        <v>57</v>
      </c>
      <c r="K13" s="41" t="s">
        <v>40</v>
      </c>
      <c r="L13" s="41" t="s">
        <v>22</v>
      </c>
      <c r="M13" s="42">
        <v>44830</v>
      </c>
      <c r="N13" s="41">
        <f t="shared" si="0"/>
        <v>749.95</v>
      </c>
      <c r="O13" s="40"/>
      <c r="P13" s="40"/>
      <c r="Q13" s="40"/>
      <c r="R13" s="40"/>
      <c r="S13" s="40"/>
      <c r="T13" s="40"/>
      <c r="U13" s="18">
        <f t="shared" si="1"/>
        <v>4309.8100000000004</v>
      </c>
      <c r="V13" s="38" t="str">
        <f t="shared" si="2"/>
        <v>Normal</v>
      </c>
      <c r="W13" s="18">
        <f t="shared" si="3"/>
        <v>35</v>
      </c>
      <c r="X13" s="40"/>
      <c r="Y13" s="40"/>
      <c r="Z13" s="18">
        <f t="shared" si="4"/>
        <v>6</v>
      </c>
      <c r="AA13" s="18" t="str">
        <f t="shared" si="5"/>
        <v>Repeat</v>
      </c>
      <c r="AB13" s="18" t="str">
        <f t="shared" si="6"/>
        <v>Kathleen Bennett</v>
      </c>
      <c r="AC13" s="18" t="str">
        <f t="shared" si="7"/>
        <v>KB</v>
      </c>
      <c r="AD13" s="18" t="str">
        <f t="shared" si="8"/>
        <v>kbennett@gmail.com</v>
      </c>
    </row>
    <row r="14" spans="1:30" x14ac:dyDescent="0.3">
      <c r="A14" s="41" t="s">
        <v>71</v>
      </c>
      <c r="B14" s="42">
        <v>45408</v>
      </c>
      <c r="C14" s="41" t="s">
        <v>72</v>
      </c>
      <c r="D14" s="41" t="s">
        <v>73</v>
      </c>
      <c r="E14" s="41" t="s">
        <v>44</v>
      </c>
      <c r="F14" s="41" t="s">
        <v>45</v>
      </c>
      <c r="G14" s="41" t="s">
        <v>46</v>
      </c>
      <c r="H14" s="41">
        <v>3</v>
      </c>
      <c r="I14" s="41">
        <v>149.99</v>
      </c>
      <c r="J14" s="41" t="s">
        <v>20</v>
      </c>
      <c r="K14" s="41" t="s">
        <v>40</v>
      </c>
      <c r="L14" s="41" t="s">
        <v>27</v>
      </c>
      <c r="M14" s="42">
        <v>44806</v>
      </c>
      <c r="N14" s="41">
        <f t="shared" si="0"/>
        <v>449.97</v>
      </c>
      <c r="O14" s="40"/>
      <c r="P14" s="40"/>
      <c r="Q14" s="40"/>
      <c r="R14" s="40"/>
      <c r="S14" s="40"/>
      <c r="T14" s="40"/>
      <c r="U14" s="18">
        <f t="shared" si="1"/>
        <v>5949.85</v>
      </c>
      <c r="V14" s="38" t="str">
        <f t="shared" si="2"/>
        <v>Normal</v>
      </c>
      <c r="W14" s="18">
        <f t="shared" si="3"/>
        <v>35</v>
      </c>
      <c r="X14" s="40"/>
      <c r="Y14" s="40"/>
      <c r="Z14" s="18">
        <f t="shared" si="4"/>
        <v>5</v>
      </c>
      <c r="AA14" s="18" t="str">
        <f t="shared" si="5"/>
        <v>Repeat</v>
      </c>
      <c r="AB14" s="18" t="str">
        <f t="shared" si="6"/>
        <v>Peter Richardson</v>
      </c>
      <c r="AC14" s="18" t="str">
        <f t="shared" si="7"/>
        <v>PR</v>
      </c>
      <c r="AD14" s="18" t="str">
        <f t="shared" si="8"/>
        <v>prichardson@gmail.com</v>
      </c>
    </row>
    <row r="15" spans="1:30" x14ac:dyDescent="0.3">
      <c r="A15" s="41" t="s">
        <v>74</v>
      </c>
      <c r="B15" s="42">
        <v>45409</v>
      </c>
      <c r="C15" s="41" t="s">
        <v>75</v>
      </c>
      <c r="D15" s="41" t="s">
        <v>76</v>
      </c>
      <c r="E15" s="41" t="s">
        <v>31</v>
      </c>
      <c r="F15" s="41" t="s">
        <v>32</v>
      </c>
      <c r="G15" s="41" t="s">
        <v>33</v>
      </c>
      <c r="H15" s="41">
        <v>3</v>
      </c>
      <c r="I15" s="41">
        <v>59.99</v>
      </c>
      <c r="J15" s="41" t="s">
        <v>26</v>
      </c>
      <c r="K15" s="41" t="s">
        <v>40</v>
      </c>
      <c r="L15" s="41" t="s">
        <v>36</v>
      </c>
      <c r="M15" s="42">
        <v>45351</v>
      </c>
      <c r="N15" s="41">
        <f t="shared" si="0"/>
        <v>179.97</v>
      </c>
      <c r="O15" s="40"/>
      <c r="P15" s="40"/>
      <c r="Q15" s="40"/>
      <c r="R15" s="40"/>
      <c r="S15" s="40"/>
      <c r="T15" s="40"/>
      <c r="U15" s="18">
        <f t="shared" si="1"/>
        <v>479.91999999999996</v>
      </c>
      <c r="V15" s="38" t="str">
        <f t="shared" si="2"/>
        <v>Normal</v>
      </c>
      <c r="W15" s="18">
        <f t="shared" si="3"/>
        <v>29</v>
      </c>
      <c r="X15" s="40"/>
      <c r="Y15" s="40"/>
      <c r="Z15" s="18">
        <f t="shared" si="4"/>
        <v>2</v>
      </c>
      <c r="AA15" s="18" t="str">
        <f t="shared" si="5"/>
        <v>Repeat</v>
      </c>
      <c r="AB15" s="18" t="str">
        <f t="shared" si="6"/>
        <v>Dennis Gray</v>
      </c>
      <c r="AC15" s="18" t="str">
        <f t="shared" si="7"/>
        <v>DG</v>
      </c>
      <c r="AD15" s="18" t="str">
        <f t="shared" si="8"/>
        <v>dgray@gmail.com</v>
      </c>
    </row>
    <row r="16" spans="1:30" x14ac:dyDescent="0.3">
      <c r="A16" s="41" t="s">
        <v>77</v>
      </c>
      <c r="B16" s="42">
        <v>45409</v>
      </c>
      <c r="C16" s="41" t="s">
        <v>78</v>
      </c>
      <c r="D16" s="41" t="s">
        <v>79</v>
      </c>
      <c r="E16" s="41" t="s">
        <v>80</v>
      </c>
      <c r="F16" s="41" t="s">
        <v>81</v>
      </c>
      <c r="G16" s="41" t="s">
        <v>19</v>
      </c>
      <c r="H16" s="41">
        <v>3</v>
      </c>
      <c r="I16" s="41">
        <v>699.99</v>
      </c>
      <c r="J16" s="41" t="s">
        <v>26</v>
      </c>
      <c r="K16" s="41" t="s">
        <v>50</v>
      </c>
      <c r="L16" s="41" t="s">
        <v>22</v>
      </c>
      <c r="M16" s="42">
        <v>44577</v>
      </c>
      <c r="N16" s="41">
        <f t="shared" si="0"/>
        <v>2099.9700000000003</v>
      </c>
      <c r="O16" s="40"/>
      <c r="P16" s="40"/>
      <c r="Q16" s="40"/>
      <c r="R16" s="40"/>
      <c r="S16" s="40"/>
      <c r="T16" s="40"/>
      <c r="U16" s="18">
        <f t="shared" si="1"/>
        <v>4199.9400000000005</v>
      </c>
      <c r="V16" s="38" t="str">
        <f t="shared" si="2"/>
        <v>Normal</v>
      </c>
      <c r="W16" s="18">
        <f t="shared" si="3"/>
        <v>31</v>
      </c>
      <c r="X16" s="40"/>
      <c r="Y16" s="40"/>
      <c r="Z16" s="18">
        <f t="shared" si="4"/>
        <v>2</v>
      </c>
      <c r="AA16" s="18" t="str">
        <f t="shared" si="5"/>
        <v>Repeat</v>
      </c>
      <c r="AB16" s="18" t="str">
        <f t="shared" si="6"/>
        <v>Michelle Rogers</v>
      </c>
      <c r="AC16" s="18" t="str">
        <f t="shared" si="7"/>
        <v>MR</v>
      </c>
      <c r="AD16" s="18" t="str">
        <f t="shared" si="8"/>
        <v>mrogers@gmail.com</v>
      </c>
    </row>
    <row r="17" spans="1:30" x14ac:dyDescent="0.3">
      <c r="A17" s="41" t="s">
        <v>82</v>
      </c>
      <c r="B17" s="42">
        <v>45409</v>
      </c>
      <c r="C17" s="41" t="s">
        <v>83</v>
      </c>
      <c r="D17" s="41" t="s">
        <v>84</v>
      </c>
      <c r="E17" s="41" t="s">
        <v>61</v>
      </c>
      <c r="F17" s="41" t="s">
        <v>62</v>
      </c>
      <c r="G17" s="41" t="s">
        <v>19</v>
      </c>
      <c r="H17" s="41">
        <v>1</v>
      </c>
      <c r="I17" s="41">
        <v>899.99</v>
      </c>
      <c r="J17" s="41" t="s">
        <v>57</v>
      </c>
      <c r="K17" s="41" t="s">
        <v>40</v>
      </c>
      <c r="L17" s="41" t="s">
        <v>36</v>
      </c>
      <c r="M17" s="42">
        <v>44920</v>
      </c>
      <c r="N17" s="41">
        <f t="shared" si="0"/>
        <v>899.99</v>
      </c>
      <c r="O17" s="40"/>
      <c r="P17" s="40"/>
      <c r="Q17" s="40"/>
      <c r="R17" s="40"/>
      <c r="S17" s="40"/>
      <c r="T17" s="40"/>
      <c r="U17" s="18">
        <f t="shared" si="1"/>
        <v>3779.93</v>
      </c>
      <c r="V17" s="38" t="str">
        <f t="shared" si="2"/>
        <v>Normal</v>
      </c>
      <c r="W17" s="18">
        <f t="shared" si="3"/>
        <v>24</v>
      </c>
      <c r="X17" s="40"/>
      <c r="Y17" s="40"/>
      <c r="Z17" s="18">
        <f t="shared" si="4"/>
        <v>3</v>
      </c>
      <c r="AA17" s="18" t="str">
        <f t="shared" si="5"/>
        <v>Repeat</v>
      </c>
      <c r="AB17" s="18" t="str">
        <f t="shared" si="6"/>
        <v>George Adams</v>
      </c>
      <c r="AC17" s="18" t="str">
        <f t="shared" si="7"/>
        <v>GA</v>
      </c>
      <c r="AD17" s="18" t="str">
        <f t="shared" si="8"/>
        <v>gadams@gmail.com</v>
      </c>
    </row>
    <row r="18" spans="1:30" x14ac:dyDescent="0.3">
      <c r="A18" s="41" t="s">
        <v>85</v>
      </c>
      <c r="B18" s="42">
        <v>45410</v>
      </c>
      <c r="C18" s="41" t="s">
        <v>86</v>
      </c>
      <c r="D18" s="41" t="s">
        <v>87</v>
      </c>
      <c r="E18" s="41" t="s">
        <v>44</v>
      </c>
      <c r="F18" s="41" t="s">
        <v>45</v>
      </c>
      <c r="G18" s="41" t="s">
        <v>46</v>
      </c>
      <c r="H18" s="41">
        <v>4</v>
      </c>
      <c r="I18" s="41">
        <v>149.99</v>
      </c>
      <c r="J18" s="41" t="s">
        <v>57</v>
      </c>
      <c r="K18" s="41" t="s">
        <v>40</v>
      </c>
      <c r="L18" s="41" t="s">
        <v>27</v>
      </c>
      <c r="M18" s="42">
        <v>45374</v>
      </c>
      <c r="N18" s="41">
        <f t="shared" si="0"/>
        <v>599.96</v>
      </c>
      <c r="O18" s="40"/>
      <c r="P18" s="40"/>
      <c r="Q18" s="40"/>
      <c r="R18" s="40"/>
      <c r="S18" s="40"/>
      <c r="T18" s="40"/>
      <c r="U18" s="18">
        <f t="shared" si="1"/>
        <v>15659.65</v>
      </c>
      <c r="V18" s="38" t="str">
        <f t="shared" si="2"/>
        <v>High Value</v>
      </c>
      <c r="W18" s="18">
        <f t="shared" si="3"/>
        <v>35</v>
      </c>
      <c r="X18" s="40"/>
      <c r="Y18" s="40"/>
      <c r="Z18" s="18">
        <f t="shared" si="4"/>
        <v>12</v>
      </c>
      <c r="AA18" s="18" t="str">
        <f t="shared" si="5"/>
        <v>Repeat</v>
      </c>
      <c r="AB18" s="18" t="str">
        <f t="shared" si="6"/>
        <v>Mark Carter</v>
      </c>
      <c r="AC18" s="18" t="str">
        <f t="shared" si="7"/>
        <v>MC</v>
      </c>
      <c r="AD18" s="18" t="str">
        <f t="shared" si="8"/>
        <v>mcarter@gmail.com</v>
      </c>
    </row>
    <row r="19" spans="1:30" x14ac:dyDescent="0.3">
      <c r="A19" s="41" t="s">
        <v>88</v>
      </c>
      <c r="B19" s="42">
        <v>45410</v>
      </c>
      <c r="C19" s="41" t="s">
        <v>89</v>
      </c>
      <c r="D19" s="41" t="s">
        <v>90</v>
      </c>
      <c r="E19" s="41" t="s">
        <v>80</v>
      </c>
      <c r="F19" s="41" t="s">
        <v>81</v>
      </c>
      <c r="G19" s="41" t="s">
        <v>19</v>
      </c>
      <c r="H19" s="41">
        <v>2</v>
      </c>
      <c r="I19" s="41">
        <v>699.99</v>
      </c>
      <c r="J19" s="41" t="s">
        <v>20</v>
      </c>
      <c r="K19" s="41" t="s">
        <v>40</v>
      </c>
      <c r="L19" s="41" t="s">
        <v>22</v>
      </c>
      <c r="M19" s="42">
        <v>44781</v>
      </c>
      <c r="N19" s="41">
        <f t="shared" si="0"/>
        <v>1399.98</v>
      </c>
      <c r="O19" s="40"/>
      <c r="P19" s="40"/>
      <c r="Q19" s="40"/>
      <c r="R19" s="40"/>
      <c r="S19" s="40"/>
      <c r="T19" s="40"/>
      <c r="U19" s="18">
        <f t="shared" si="1"/>
        <v>1909.93</v>
      </c>
      <c r="V19" s="38" t="str">
        <f t="shared" si="2"/>
        <v>Normal</v>
      </c>
      <c r="W19" s="18">
        <f t="shared" si="3"/>
        <v>31</v>
      </c>
      <c r="X19" s="40"/>
      <c r="Y19" s="40"/>
      <c r="Z19" s="18">
        <f t="shared" si="4"/>
        <v>4</v>
      </c>
      <c r="AA19" s="18" t="str">
        <f t="shared" si="5"/>
        <v>Repeat</v>
      </c>
      <c r="AB19" s="18" t="str">
        <f t="shared" si="6"/>
        <v>Maria Garcia</v>
      </c>
      <c r="AC19" s="18" t="str">
        <f t="shared" si="7"/>
        <v>MG</v>
      </c>
      <c r="AD19" s="18" t="str">
        <f t="shared" si="8"/>
        <v>mgarcia@gmail.com</v>
      </c>
    </row>
    <row r="20" spans="1:30" x14ac:dyDescent="0.3">
      <c r="A20" s="41" t="s">
        <v>91</v>
      </c>
      <c r="B20" s="42">
        <v>45410</v>
      </c>
      <c r="C20" s="41" t="s">
        <v>86</v>
      </c>
      <c r="D20" s="41" t="s">
        <v>87</v>
      </c>
      <c r="E20" s="41" t="s">
        <v>61</v>
      </c>
      <c r="F20" s="41" t="s">
        <v>62</v>
      </c>
      <c r="G20" s="41" t="s">
        <v>19</v>
      </c>
      <c r="H20" s="41">
        <v>4</v>
      </c>
      <c r="I20" s="41">
        <v>899.99</v>
      </c>
      <c r="J20" s="41" t="s">
        <v>26</v>
      </c>
      <c r="K20" s="41" t="s">
        <v>50</v>
      </c>
      <c r="L20" s="41" t="s">
        <v>36</v>
      </c>
      <c r="M20" s="42">
        <v>45327</v>
      </c>
      <c r="N20" s="41">
        <f t="shared" si="0"/>
        <v>3599.96</v>
      </c>
      <c r="O20" s="40"/>
      <c r="P20" s="40"/>
      <c r="Q20" s="40"/>
      <c r="R20" s="40"/>
      <c r="S20" s="40"/>
      <c r="T20" s="40"/>
      <c r="U20" s="18">
        <f t="shared" si="1"/>
        <v>15659.65</v>
      </c>
      <c r="V20" s="38" t="str">
        <f t="shared" si="2"/>
        <v>High Value</v>
      </c>
      <c r="W20" s="18">
        <f t="shared" si="3"/>
        <v>24</v>
      </c>
      <c r="X20" s="40"/>
      <c r="Y20" s="40"/>
      <c r="Z20" s="18">
        <f t="shared" si="4"/>
        <v>12</v>
      </c>
      <c r="AA20" s="18" t="str">
        <f t="shared" si="5"/>
        <v>Repeat</v>
      </c>
      <c r="AB20" s="18" t="str">
        <f t="shared" si="6"/>
        <v>Mark Carter</v>
      </c>
      <c r="AC20" s="18" t="str">
        <f t="shared" si="7"/>
        <v>MC</v>
      </c>
      <c r="AD20" s="18" t="str">
        <f t="shared" si="8"/>
        <v>mcarter@gmail.com</v>
      </c>
    </row>
    <row r="21" spans="1:30" x14ac:dyDescent="0.3">
      <c r="A21" s="41" t="s">
        <v>92</v>
      </c>
      <c r="B21" s="42">
        <v>45410</v>
      </c>
      <c r="C21" s="41" t="s">
        <v>93</v>
      </c>
      <c r="D21" s="41" t="s">
        <v>94</v>
      </c>
      <c r="E21" s="41" t="s">
        <v>17</v>
      </c>
      <c r="F21" s="41" t="s">
        <v>18</v>
      </c>
      <c r="G21" s="41" t="s">
        <v>19</v>
      </c>
      <c r="H21" s="41">
        <v>3</v>
      </c>
      <c r="I21" s="41">
        <v>249.99</v>
      </c>
      <c r="J21" s="41" t="s">
        <v>26</v>
      </c>
      <c r="K21" s="41" t="s">
        <v>40</v>
      </c>
      <c r="L21" s="41" t="s">
        <v>27</v>
      </c>
      <c r="M21" s="42">
        <v>45224</v>
      </c>
      <c r="N21" s="41">
        <f t="shared" si="0"/>
        <v>749.97</v>
      </c>
      <c r="O21" s="40"/>
      <c r="P21" s="40"/>
      <c r="Q21" s="40"/>
      <c r="R21" s="40"/>
      <c r="S21" s="40"/>
      <c r="T21" s="40"/>
      <c r="U21" s="18">
        <f t="shared" si="1"/>
        <v>4789.7900000000009</v>
      </c>
      <c r="V21" s="38" t="str">
        <f t="shared" si="2"/>
        <v>Normal</v>
      </c>
      <c r="W21" s="18">
        <f t="shared" si="3"/>
        <v>26</v>
      </c>
      <c r="X21" s="40"/>
      <c r="Y21" s="40"/>
      <c r="Z21" s="18">
        <f t="shared" si="4"/>
        <v>6</v>
      </c>
      <c r="AA21" s="18" t="str">
        <f t="shared" si="5"/>
        <v>Repeat</v>
      </c>
      <c r="AB21" s="18" t="str">
        <f t="shared" si="6"/>
        <v>Virginia Sanders</v>
      </c>
      <c r="AC21" s="18" t="str">
        <f t="shared" si="7"/>
        <v>VS</v>
      </c>
      <c r="AD21" s="18" t="str">
        <f t="shared" si="8"/>
        <v>vsanders@gmail.com</v>
      </c>
    </row>
    <row r="22" spans="1:30" x14ac:dyDescent="0.3">
      <c r="A22" s="41" t="s">
        <v>95</v>
      </c>
      <c r="B22" s="42">
        <v>45412</v>
      </c>
      <c r="C22" s="41" t="s">
        <v>96</v>
      </c>
      <c r="D22" s="41" t="s">
        <v>97</v>
      </c>
      <c r="E22" s="41" t="s">
        <v>80</v>
      </c>
      <c r="F22" s="41" t="s">
        <v>81</v>
      </c>
      <c r="G22" s="41" t="s">
        <v>19</v>
      </c>
      <c r="H22" s="41">
        <v>5</v>
      </c>
      <c r="I22" s="41">
        <v>699.99</v>
      </c>
      <c r="J22" s="41" t="s">
        <v>20</v>
      </c>
      <c r="K22" s="41" t="s">
        <v>50</v>
      </c>
      <c r="L22" s="41" t="s">
        <v>22</v>
      </c>
      <c r="M22" s="42">
        <v>45167</v>
      </c>
      <c r="N22" s="41">
        <f t="shared" si="0"/>
        <v>3499.95</v>
      </c>
      <c r="O22" s="40"/>
      <c r="P22" s="40"/>
      <c r="Q22" s="40"/>
      <c r="R22" s="40"/>
      <c r="S22" s="40"/>
      <c r="T22" s="40"/>
      <c r="U22" s="18">
        <f t="shared" si="1"/>
        <v>10649.8</v>
      </c>
      <c r="V22" s="38" t="str">
        <f t="shared" si="2"/>
        <v>High Value</v>
      </c>
      <c r="W22" s="18">
        <f t="shared" si="3"/>
        <v>31</v>
      </c>
      <c r="X22" s="40"/>
      <c r="Y22" s="40"/>
      <c r="Z22" s="18">
        <f t="shared" si="4"/>
        <v>5</v>
      </c>
      <c r="AA22" s="18" t="str">
        <f t="shared" si="5"/>
        <v>Repeat</v>
      </c>
      <c r="AB22" s="18" t="str">
        <f t="shared" si="6"/>
        <v>Barbara Young</v>
      </c>
      <c r="AC22" s="18" t="str">
        <f t="shared" si="7"/>
        <v>BY</v>
      </c>
      <c r="AD22" s="18" t="str">
        <f t="shared" si="8"/>
        <v>byoung@gmail.com</v>
      </c>
    </row>
    <row r="23" spans="1:30" x14ac:dyDescent="0.3">
      <c r="A23" s="41" t="s">
        <v>98</v>
      </c>
      <c r="B23" s="42">
        <v>45413</v>
      </c>
      <c r="C23" s="41" t="s">
        <v>99</v>
      </c>
      <c r="D23" s="41" t="s">
        <v>100</v>
      </c>
      <c r="E23" s="41" t="s">
        <v>80</v>
      </c>
      <c r="F23" s="41" t="s">
        <v>81</v>
      </c>
      <c r="G23" s="41" t="s">
        <v>19</v>
      </c>
      <c r="H23" s="41">
        <v>4</v>
      </c>
      <c r="I23" s="41">
        <v>699.99</v>
      </c>
      <c r="J23" s="41" t="s">
        <v>20</v>
      </c>
      <c r="K23" s="41" t="s">
        <v>63</v>
      </c>
      <c r="L23" s="41" t="s">
        <v>36</v>
      </c>
      <c r="M23" s="42">
        <v>44409</v>
      </c>
      <c r="N23" s="41">
        <f t="shared" si="0"/>
        <v>2799.96</v>
      </c>
      <c r="O23" s="40"/>
      <c r="P23" s="40"/>
      <c r="Q23" s="40"/>
      <c r="R23" s="40"/>
      <c r="S23" s="40"/>
      <c r="T23" s="40"/>
      <c r="U23" s="18">
        <f t="shared" si="1"/>
        <v>9799.73</v>
      </c>
      <c r="V23" s="38" t="str">
        <f t="shared" si="2"/>
        <v>Normal</v>
      </c>
      <c r="W23" s="18">
        <f t="shared" si="3"/>
        <v>31</v>
      </c>
      <c r="X23" s="40"/>
      <c r="Y23" s="40"/>
      <c r="Z23" s="18">
        <f t="shared" si="4"/>
        <v>8</v>
      </c>
      <c r="AA23" s="18" t="str">
        <f t="shared" si="5"/>
        <v>Repeat</v>
      </c>
      <c r="AB23" s="18" t="str">
        <f t="shared" si="6"/>
        <v>Patricia Moore</v>
      </c>
      <c r="AC23" s="18" t="str">
        <f t="shared" si="7"/>
        <v>PM</v>
      </c>
      <c r="AD23" s="18" t="str">
        <f t="shared" si="8"/>
        <v>pmoore@gmail.com</v>
      </c>
    </row>
    <row r="24" spans="1:30" x14ac:dyDescent="0.3">
      <c r="A24" s="41" t="s">
        <v>101</v>
      </c>
      <c r="B24" s="42">
        <v>45415</v>
      </c>
      <c r="C24" s="41" t="s">
        <v>102</v>
      </c>
      <c r="D24" s="41" t="s">
        <v>103</v>
      </c>
      <c r="E24" s="41" t="s">
        <v>17</v>
      </c>
      <c r="F24" s="41" t="s">
        <v>18</v>
      </c>
      <c r="G24" s="41" t="s">
        <v>19</v>
      </c>
      <c r="H24" s="41">
        <v>4</v>
      </c>
      <c r="I24" s="41">
        <v>249.99</v>
      </c>
      <c r="J24" s="41" t="s">
        <v>34</v>
      </c>
      <c r="K24" s="41" t="s">
        <v>40</v>
      </c>
      <c r="L24" s="41" t="s">
        <v>36</v>
      </c>
      <c r="M24" s="42">
        <v>44468</v>
      </c>
      <c r="N24" s="41">
        <f t="shared" si="0"/>
        <v>999.96</v>
      </c>
      <c r="O24" s="40"/>
      <c r="P24" s="40"/>
      <c r="Q24" s="40"/>
      <c r="R24" s="40"/>
      <c r="S24" s="40"/>
      <c r="T24" s="40"/>
      <c r="U24" s="18">
        <f t="shared" si="1"/>
        <v>3769.8300000000004</v>
      </c>
      <c r="V24" s="38" t="str">
        <f t="shared" si="2"/>
        <v>Normal</v>
      </c>
      <c r="W24" s="18">
        <f t="shared" si="3"/>
        <v>26</v>
      </c>
      <c r="X24" s="40"/>
      <c r="Y24" s="40"/>
      <c r="Z24" s="18">
        <f t="shared" si="4"/>
        <v>5</v>
      </c>
      <c r="AA24" s="18" t="str">
        <f t="shared" si="5"/>
        <v>Repeat</v>
      </c>
      <c r="AB24" s="18" t="str">
        <f t="shared" si="6"/>
        <v>Cynthia Price</v>
      </c>
      <c r="AC24" s="18" t="str">
        <f t="shared" si="7"/>
        <v>CP</v>
      </c>
      <c r="AD24" s="18" t="str">
        <f t="shared" si="8"/>
        <v>cprice@gmail.com</v>
      </c>
    </row>
    <row r="25" spans="1:30" x14ac:dyDescent="0.3">
      <c r="A25" s="41" t="s">
        <v>104</v>
      </c>
      <c r="B25" s="42">
        <v>45416</v>
      </c>
      <c r="C25" s="41" t="s">
        <v>86</v>
      </c>
      <c r="D25" s="41" t="s">
        <v>87</v>
      </c>
      <c r="E25" s="41" t="s">
        <v>105</v>
      </c>
      <c r="F25" s="41" t="s">
        <v>106</v>
      </c>
      <c r="G25" s="41" t="s">
        <v>46</v>
      </c>
      <c r="H25" s="41">
        <v>4</v>
      </c>
      <c r="I25" s="41">
        <v>299.99</v>
      </c>
      <c r="J25" s="41" t="s">
        <v>20</v>
      </c>
      <c r="K25" s="41" t="s">
        <v>50</v>
      </c>
      <c r="L25" s="41" t="s">
        <v>27</v>
      </c>
      <c r="M25" s="42">
        <v>44716</v>
      </c>
      <c r="N25" s="41">
        <f t="shared" si="0"/>
        <v>1199.96</v>
      </c>
      <c r="O25" s="40"/>
      <c r="P25" s="40"/>
      <c r="Q25" s="40"/>
      <c r="R25" s="40"/>
      <c r="S25" s="40"/>
      <c r="T25" s="40"/>
      <c r="U25" s="18">
        <f t="shared" si="1"/>
        <v>15659.65</v>
      </c>
      <c r="V25" s="38" t="str">
        <f t="shared" si="2"/>
        <v>High Value</v>
      </c>
      <c r="W25" s="18">
        <f t="shared" si="3"/>
        <v>26</v>
      </c>
      <c r="X25" s="40"/>
      <c r="Y25" s="40"/>
      <c r="Z25" s="18">
        <f t="shared" si="4"/>
        <v>12</v>
      </c>
      <c r="AA25" s="18" t="str">
        <f t="shared" si="5"/>
        <v>Repeat</v>
      </c>
      <c r="AB25" s="18" t="str">
        <f t="shared" si="6"/>
        <v>Mark Carter</v>
      </c>
      <c r="AC25" s="18" t="str">
        <f t="shared" si="7"/>
        <v>MC</v>
      </c>
      <c r="AD25" s="18" t="str">
        <f t="shared" si="8"/>
        <v>mcarter@gmail.com</v>
      </c>
    </row>
    <row r="26" spans="1:30" x14ac:dyDescent="0.3">
      <c r="A26" s="41" t="s">
        <v>107</v>
      </c>
      <c r="B26" s="42">
        <v>45422</v>
      </c>
      <c r="C26" s="41" t="s">
        <v>108</v>
      </c>
      <c r="D26" s="41" t="s">
        <v>109</v>
      </c>
      <c r="E26" s="41" t="s">
        <v>17</v>
      </c>
      <c r="F26" s="41" t="s">
        <v>18</v>
      </c>
      <c r="G26" s="41" t="s">
        <v>19</v>
      </c>
      <c r="H26" s="41">
        <v>5</v>
      </c>
      <c r="I26" s="41">
        <v>249.99</v>
      </c>
      <c r="J26" s="41" t="s">
        <v>26</v>
      </c>
      <c r="K26" s="41" t="s">
        <v>50</v>
      </c>
      <c r="L26" s="41" t="s">
        <v>36</v>
      </c>
      <c r="M26" s="42">
        <v>44525</v>
      </c>
      <c r="N26" s="41">
        <f t="shared" si="0"/>
        <v>1249.95</v>
      </c>
      <c r="O26" s="40"/>
      <c r="P26" s="40"/>
      <c r="Q26" s="40"/>
      <c r="R26" s="40"/>
      <c r="S26" s="40"/>
      <c r="T26" s="40"/>
      <c r="U26" s="18">
        <f t="shared" si="1"/>
        <v>4189.7700000000004</v>
      </c>
      <c r="V26" s="38" t="str">
        <f t="shared" si="2"/>
        <v>Normal</v>
      </c>
      <c r="W26" s="18">
        <f t="shared" si="3"/>
        <v>26</v>
      </c>
      <c r="X26" s="40"/>
      <c r="Y26" s="40"/>
      <c r="Z26" s="18">
        <f t="shared" si="4"/>
        <v>6</v>
      </c>
      <c r="AA26" s="18" t="str">
        <f t="shared" si="5"/>
        <v>Repeat</v>
      </c>
      <c r="AB26" s="18" t="str">
        <f t="shared" si="6"/>
        <v>Nancy Collins</v>
      </c>
      <c r="AC26" s="18" t="str">
        <f t="shared" si="7"/>
        <v>NC</v>
      </c>
      <c r="AD26" s="18" t="str">
        <f t="shared" si="8"/>
        <v>ncollins@gmail.com</v>
      </c>
    </row>
    <row r="27" spans="1:30" x14ac:dyDescent="0.3">
      <c r="A27" s="41" t="s">
        <v>110</v>
      </c>
      <c r="B27" s="42">
        <v>45424</v>
      </c>
      <c r="C27" s="41" t="s">
        <v>68</v>
      </c>
      <c r="D27" s="41" t="s">
        <v>69</v>
      </c>
      <c r="E27" s="41" t="s">
        <v>105</v>
      </c>
      <c r="F27" s="41" t="s">
        <v>106</v>
      </c>
      <c r="G27" s="41" t="s">
        <v>46</v>
      </c>
      <c r="H27" s="41">
        <v>5</v>
      </c>
      <c r="I27" s="41">
        <v>299.99</v>
      </c>
      <c r="J27" s="41" t="s">
        <v>34</v>
      </c>
      <c r="K27" s="41" t="s">
        <v>63</v>
      </c>
      <c r="L27" s="41" t="s">
        <v>22</v>
      </c>
      <c r="M27" s="42">
        <v>45168</v>
      </c>
      <c r="N27" s="41">
        <f t="shared" si="0"/>
        <v>1499.95</v>
      </c>
      <c r="O27" s="40"/>
      <c r="P27" s="40"/>
      <c r="Q27" s="40"/>
      <c r="R27" s="40"/>
      <c r="S27" s="40"/>
      <c r="T27" s="40"/>
      <c r="U27" s="18">
        <f t="shared" si="1"/>
        <v>1979.89</v>
      </c>
      <c r="V27" s="38" t="str">
        <f t="shared" si="2"/>
        <v>Normal</v>
      </c>
      <c r="W27" s="18">
        <f t="shared" si="3"/>
        <v>26</v>
      </c>
      <c r="X27" s="40"/>
      <c r="Y27" s="40"/>
      <c r="Z27" s="18">
        <f t="shared" si="4"/>
        <v>4</v>
      </c>
      <c r="AA27" s="18" t="str">
        <f t="shared" si="5"/>
        <v>Repeat</v>
      </c>
      <c r="AB27" s="18" t="str">
        <f t="shared" si="6"/>
        <v>Susan Green</v>
      </c>
      <c r="AC27" s="18" t="str">
        <f t="shared" si="7"/>
        <v>SG</v>
      </c>
      <c r="AD27" s="18" t="str">
        <f t="shared" si="8"/>
        <v>sgreen@gmail.com</v>
      </c>
    </row>
    <row r="28" spans="1:30" x14ac:dyDescent="0.3">
      <c r="A28" s="41" t="s">
        <v>111</v>
      </c>
      <c r="B28" s="42">
        <v>45424</v>
      </c>
      <c r="C28" s="41" t="s">
        <v>112</v>
      </c>
      <c r="D28" s="41" t="s">
        <v>113</v>
      </c>
      <c r="E28" s="41" t="s">
        <v>114</v>
      </c>
      <c r="F28" s="41" t="s">
        <v>115</v>
      </c>
      <c r="G28" s="41" t="s">
        <v>33</v>
      </c>
      <c r="H28" s="41">
        <v>3</v>
      </c>
      <c r="I28" s="41">
        <v>79.989999999999995</v>
      </c>
      <c r="J28" s="41" t="s">
        <v>34</v>
      </c>
      <c r="K28" s="41" t="s">
        <v>63</v>
      </c>
      <c r="L28" s="41" t="s">
        <v>27</v>
      </c>
      <c r="M28" s="42">
        <v>45012</v>
      </c>
      <c r="N28" s="41">
        <f t="shared" si="0"/>
        <v>239.96999999999997</v>
      </c>
      <c r="O28" s="40"/>
      <c r="P28" s="40"/>
      <c r="Q28" s="40"/>
      <c r="R28" s="40"/>
      <c r="S28" s="40"/>
      <c r="T28" s="40"/>
      <c r="U28" s="18">
        <f t="shared" si="1"/>
        <v>1289.9000000000001</v>
      </c>
      <c r="V28" s="38" t="str">
        <f t="shared" si="2"/>
        <v>Normal</v>
      </c>
      <c r="W28" s="18">
        <f t="shared" si="3"/>
        <v>14</v>
      </c>
      <c r="X28" s="40"/>
      <c r="Y28" s="40"/>
      <c r="Z28" s="18">
        <f t="shared" si="4"/>
        <v>4</v>
      </c>
      <c r="AA28" s="18" t="str">
        <f t="shared" si="5"/>
        <v>Repeat</v>
      </c>
      <c r="AB28" s="18" t="str">
        <f t="shared" si="6"/>
        <v>Linda Martin</v>
      </c>
      <c r="AC28" s="18" t="str">
        <f t="shared" si="7"/>
        <v>LM</v>
      </c>
      <c r="AD28" s="18" t="str">
        <f t="shared" si="8"/>
        <v>lmartin@gmail.com</v>
      </c>
    </row>
    <row r="29" spans="1:30" x14ac:dyDescent="0.3">
      <c r="A29" s="41" t="s">
        <v>116</v>
      </c>
      <c r="B29" s="42">
        <v>45424</v>
      </c>
      <c r="C29" s="41" t="s">
        <v>99</v>
      </c>
      <c r="D29" s="41" t="s">
        <v>100</v>
      </c>
      <c r="E29" s="41" t="s">
        <v>117</v>
      </c>
      <c r="F29" s="41" t="s">
        <v>118</v>
      </c>
      <c r="G29" s="41" t="s">
        <v>19</v>
      </c>
      <c r="H29" s="41">
        <v>5</v>
      </c>
      <c r="I29" s="41">
        <v>89.99</v>
      </c>
      <c r="J29" s="41" t="s">
        <v>20</v>
      </c>
      <c r="K29" s="41" t="s">
        <v>40</v>
      </c>
      <c r="L29" s="41" t="s">
        <v>27</v>
      </c>
      <c r="M29" s="42">
        <v>44919</v>
      </c>
      <c r="N29" s="41">
        <f t="shared" si="0"/>
        <v>449.95</v>
      </c>
      <c r="O29" s="40"/>
      <c r="P29" s="40"/>
      <c r="Q29" s="40"/>
      <c r="R29" s="40"/>
      <c r="S29" s="40"/>
      <c r="T29" s="40"/>
      <c r="U29" s="18">
        <f t="shared" si="1"/>
        <v>9799.73</v>
      </c>
      <c r="V29" s="38" t="str">
        <f t="shared" si="2"/>
        <v>Normal</v>
      </c>
      <c r="W29" s="18">
        <f t="shared" si="3"/>
        <v>34</v>
      </c>
      <c r="X29" s="40"/>
      <c r="Y29" s="40"/>
      <c r="Z29" s="18">
        <f t="shared" si="4"/>
        <v>8</v>
      </c>
      <c r="AA29" s="18" t="str">
        <f t="shared" si="5"/>
        <v>Repeat</v>
      </c>
      <c r="AB29" s="18" t="str">
        <f t="shared" si="6"/>
        <v>Patricia Moore</v>
      </c>
      <c r="AC29" s="18" t="str">
        <f t="shared" si="7"/>
        <v>PM</v>
      </c>
      <c r="AD29" s="18" t="str">
        <f t="shared" si="8"/>
        <v>pmoore@gmail.com</v>
      </c>
    </row>
    <row r="30" spans="1:30" x14ac:dyDescent="0.3">
      <c r="A30" s="41" t="s">
        <v>119</v>
      </c>
      <c r="B30" s="42">
        <v>45425</v>
      </c>
      <c r="C30" s="41" t="s">
        <v>120</v>
      </c>
      <c r="D30" s="41" t="s">
        <v>121</v>
      </c>
      <c r="E30" s="41" t="s">
        <v>31</v>
      </c>
      <c r="F30" s="41" t="s">
        <v>32</v>
      </c>
      <c r="G30" s="41" t="s">
        <v>33</v>
      </c>
      <c r="H30" s="41">
        <v>2</v>
      </c>
      <c r="I30" s="41">
        <v>59.99</v>
      </c>
      <c r="J30" s="41" t="s">
        <v>57</v>
      </c>
      <c r="K30" s="41" t="s">
        <v>21</v>
      </c>
      <c r="L30" s="41" t="s">
        <v>36</v>
      </c>
      <c r="M30" s="42">
        <v>45214</v>
      </c>
      <c r="N30" s="41">
        <f t="shared" si="0"/>
        <v>119.98</v>
      </c>
      <c r="O30" s="40"/>
      <c r="P30" s="40"/>
      <c r="Q30" s="40"/>
      <c r="R30" s="40"/>
      <c r="S30" s="40"/>
      <c r="T30" s="40"/>
      <c r="U30" s="18">
        <f t="shared" si="1"/>
        <v>6459.79</v>
      </c>
      <c r="V30" s="38" t="str">
        <f t="shared" si="2"/>
        <v>Normal</v>
      </c>
      <c r="W30" s="18">
        <f t="shared" si="3"/>
        <v>29</v>
      </c>
      <c r="X30" s="40"/>
      <c r="Y30" s="40"/>
      <c r="Z30" s="18">
        <f t="shared" si="4"/>
        <v>7</v>
      </c>
      <c r="AA30" s="18" t="str">
        <f t="shared" si="5"/>
        <v>Repeat</v>
      </c>
      <c r="AB30" s="18" t="str">
        <f t="shared" si="6"/>
        <v>Helen Roberts</v>
      </c>
      <c r="AC30" s="18" t="str">
        <f t="shared" si="7"/>
        <v>HR</v>
      </c>
      <c r="AD30" s="18" t="str">
        <f t="shared" si="8"/>
        <v>hroberts@gmail.com</v>
      </c>
    </row>
    <row r="31" spans="1:30" x14ac:dyDescent="0.3">
      <c r="A31" s="41" t="s">
        <v>122</v>
      </c>
      <c r="B31" s="42">
        <v>45427</v>
      </c>
      <c r="C31" s="41" t="s">
        <v>123</v>
      </c>
      <c r="D31" s="41" t="s">
        <v>124</v>
      </c>
      <c r="E31" s="41" t="s">
        <v>31</v>
      </c>
      <c r="F31" s="41" t="s">
        <v>32</v>
      </c>
      <c r="G31" s="41" t="s">
        <v>33</v>
      </c>
      <c r="H31" s="41">
        <v>4</v>
      </c>
      <c r="I31" s="41">
        <v>59.99</v>
      </c>
      <c r="J31" s="41" t="s">
        <v>57</v>
      </c>
      <c r="K31" s="41" t="s">
        <v>63</v>
      </c>
      <c r="L31" s="41" t="s">
        <v>36</v>
      </c>
      <c r="M31" s="42">
        <v>44867</v>
      </c>
      <c r="N31" s="41">
        <f t="shared" si="0"/>
        <v>239.96</v>
      </c>
      <c r="O31" s="40"/>
      <c r="P31" s="40"/>
      <c r="Q31" s="40"/>
      <c r="R31" s="40"/>
      <c r="S31" s="40"/>
      <c r="T31" s="40"/>
      <c r="U31" s="18">
        <f t="shared" si="1"/>
        <v>11919.77</v>
      </c>
      <c r="V31" s="38" t="str">
        <f t="shared" si="2"/>
        <v>High Value</v>
      </c>
      <c r="W31" s="18">
        <f t="shared" si="3"/>
        <v>29</v>
      </c>
      <c r="X31" s="40"/>
      <c r="Y31" s="40"/>
      <c r="Z31" s="18">
        <f t="shared" si="4"/>
        <v>6</v>
      </c>
      <c r="AA31" s="18" t="str">
        <f t="shared" si="5"/>
        <v>Repeat</v>
      </c>
      <c r="AB31" s="18" t="str">
        <f t="shared" si="6"/>
        <v>Edward Mitchell</v>
      </c>
      <c r="AC31" s="18" t="str">
        <f t="shared" si="7"/>
        <v>EM</v>
      </c>
      <c r="AD31" s="18" t="str">
        <f t="shared" si="8"/>
        <v>emitchell@gmail.com</v>
      </c>
    </row>
    <row r="32" spans="1:30" x14ac:dyDescent="0.3">
      <c r="A32" s="41" t="s">
        <v>125</v>
      </c>
      <c r="B32" s="42">
        <v>45427</v>
      </c>
      <c r="C32" s="41" t="s">
        <v>55</v>
      </c>
      <c r="D32" s="41" t="s">
        <v>56</v>
      </c>
      <c r="E32" s="41" t="s">
        <v>126</v>
      </c>
      <c r="F32" s="41" t="s">
        <v>127</v>
      </c>
      <c r="G32" s="41" t="s">
        <v>46</v>
      </c>
      <c r="H32" s="41">
        <v>5</v>
      </c>
      <c r="I32" s="41">
        <v>199.99</v>
      </c>
      <c r="J32" s="41" t="s">
        <v>20</v>
      </c>
      <c r="K32" s="41" t="s">
        <v>35</v>
      </c>
      <c r="L32" s="41" t="s">
        <v>36</v>
      </c>
      <c r="M32" s="42">
        <v>44412</v>
      </c>
      <c r="N32" s="41">
        <f t="shared" si="0"/>
        <v>999.95</v>
      </c>
      <c r="O32" s="40"/>
      <c r="P32" s="40"/>
      <c r="Q32" s="40"/>
      <c r="R32" s="40"/>
      <c r="S32" s="40"/>
      <c r="T32" s="40"/>
      <c r="U32" s="18">
        <f t="shared" si="1"/>
        <v>5089.7300000000005</v>
      </c>
      <c r="V32" s="38" t="str">
        <f t="shared" si="2"/>
        <v>Normal</v>
      </c>
      <c r="W32" s="18">
        <f t="shared" si="3"/>
        <v>15</v>
      </c>
      <c r="X32" s="40"/>
      <c r="Y32" s="40"/>
      <c r="Z32" s="18">
        <f t="shared" si="4"/>
        <v>9</v>
      </c>
      <c r="AA32" s="18" t="str">
        <f t="shared" si="5"/>
        <v>Repeat</v>
      </c>
      <c r="AB32" s="18" t="str">
        <f t="shared" si="6"/>
        <v>Charles Allen</v>
      </c>
      <c r="AC32" s="18" t="str">
        <f t="shared" si="7"/>
        <v>CA</v>
      </c>
      <c r="AD32" s="18" t="str">
        <f t="shared" si="8"/>
        <v>callen@gmail.com</v>
      </c>
    </row>
    <row r="33" spans="1:30" x14ac:dyDescent="0.3">
      <c r="A33" s="41" t="s">
        <v>128</v>
      </c>
      <c r="B33" s="42">
        <v>45428</v>
      </c>
      <c r="C33" s="41" t="s">
        <v>129</v>
      </c>
      <c r="D33" s="41" t="s">
        <v>130</v>
      </c>
      <c r="E33" s="41" t="s">
        <v>44</v>
      </c>
      <c r="F33" s="41" t="s">
        <v>45</v>
      </c>
      <c r="G33" s="41" t="s">
        <v>46</v>
      </c>
      <c r="H33" s="41">
        <v>2</v>
      </c>
      <c r="I33" s="41">
        <v>149.99</v>
      </c>
      <c r="J33" s="41" t="s">
        <v>26</v>
      </c>
      <c r="K33" s="41" t="s">
        <v>50</v>
      </c>
      <c r="L33" s="41" t="s">
        <v>22</v>
      </c>
      <c r="M33" s="42">
        <v>44823</v>
      </c>
      <c r="N33" s="41">
        <f t="shared" si="0"/>
        <v>299.98</v>
      </c>
      <c r="O33" s="40"/>
      <c r="P33" s="40"/>
      <c r="Q33" s="40"/>
      <c r="R33" s="40"/>
      <c r="S33" s="40"/>
      <c r="T33" s="40"/>
      <c r="U33" s="18">
        <f t="shared" si="1"/>
        <v>2039.8000000000002</v>
      </c>
      <c r="V33" s="38" t="str">
        <f t="shared" si="2"/>
        <v>Normal</v>
      </c>
      <c r="W33" s="18">
        <f t="shared" si="3"/>
        <v>35</v>
      </c>
      <c r="X33" s="40"/>
      <c r="Y33" s="40"/>
      <c r="Z33" s="18">
        <f t="shared" si="4"/>
        <v>5</v>
      </c>
      <c r="AA33" s="18" t="str">
        <f t="shared" si="5"/>
        <v>Repeat</v>
      </c>
      <c r="AB33" s="18" t="str">
        <f t="shared" si="6"/>
        <v>Lisa Anderson</v>
      </c>
      <c r="AC33" s="18" t="str">
        <f t="shared" si="7"/>
        <v>LA</v>
      </c>
      <c r="AD33" s="18" t="str">
        <f t="shared" si="8"/>
        <v>landerson@gmail.com</v>
      </c>
    </row>
    <row r="34" spans="1:30" x14ac:dyDescent="0.3">
      <c r="A34" s="41" t="s">
        <v>131</v>
      </c>
      <c r="B34" s="42">
        <v>45430</v>
      </c>
      <c r="C34" s="41" t="s">
        <v>132</v>
      </c>
      <c r="D34" s="41" t="s">
        <v>133</v>
      </c>
      <c r="E34" s="41" t="s">
        <v>44</v>
      </c>
      <c r="F34" s="41" t="s">
        <v>45</v>
      </c>
      <c r="G34" s="41" t="s">
        <v>46</v>
      </c>
      <c r="H34" s="41">
        <v>3</v>
      </c>
      <c r="I34" s="41">
        <v>149.99</v>
      </c>
      <c r="J34" s="41" t="s">
        <v>26</v>
      </c>
      <c r="K34" s="41" t="s">
        <v>50</v>
      </c>
      <c r="L34" s="41" t="s">
        <v>27</v>
      </c>
      <c r="M34" s="42">
        <v>45068</v>
      </c>
      <c r="N34" s="41">
        <f t="shared" si="0"/>
        <v>449.97</v>
      </c>
      <c r="O34" s="40"/>
      <c r="P34" s="40"/>
      <c r="Q34" s="40"/>
      <c r="R34" s="40"/>
      <c r="S34" s="40"/>
      <c r="T34" s="40"/>
      <c r="U34" s="18">
        <f t="shared" si="1"/>
        <v>1229.8800000000001</v>
      </c>
      <c r="V34" s="38" t="str">
        <f t="shared" si="2"/>
        <v>Normal</v>
      </c>
      <c r="W34" s="18">
        <f t="shared" si="3"/>
        <v>35</v>
      </c>
      <c r="X34" s="40"/>
      <c r="Y34" s="40"/>
      <c r="Z34" s="18">
        <f t="shared" si="4"/>
        <v>5</v>
      </c>
      <c r="AA34" s="18" t="str">
        <f t="shared" si="5"/>
        <v>Repeat</v>
      </c>
      <c r="AB34" s="18" t="str">
        <f t="shared" si="6"/>
        <v>Emma Wilson</v>
      </c>
      <c r="AC34" s="18" t="str">
        <f t="shared" si="7"/>
        <v>EW</v>
      </c>
      <c r="AD34" s="18" t="str">
        <f t="shared" si="8"/>
        <v>ewilson@gmail.com</v>
      </c>
    </row>
    <row r="35" spans="1:30" x14ac:dyDescent="0.3">
      <c r="A35" s="41" t="s">
        <v>134</v>
      </c>
      <c r="B35" s="42">
        <v>45432</v>
      </c>
      <c r="C35" s="41" t="s">
        <v>29</v>
      </c>
      <c r="D35" s="41" t="s">
        <v>30</v>
      </c>
      <c r="E35" s="41" t="s">
        <v>61</v>
      </c>
      <c r="F35" s="41" t="s">
        <v>62</v>
      </c>
      <c r="G35" s="41" t="s">
        <v>19</v>
      </c>
      <c r="H35" s="41">
        <v>1</v>
      </c>
      <c r="I35" s="41">
        <v>899.99</v>
      </c>
      <c r="J35" s="41" t="s">
        <v>26</v>
      </c>
      <c r="K35" s="41" t="s">
        <v>50</v>
      </c>
      <c r="L35" s="41" t="s">
        <v>27</v>
      </c>
      <c r="M35" s="42">
        <v>44578</v>
      </c>
      <c r="N35" s="41">
        <f t="shared" si="0"/>
        <v>899.99</v>
      </c>
      <c r="O35" s="40"/>
      <c r="P35" s="40"/>
      <c r="Q35" s="40"/>
      <c r="R35" s="40"/>
      <c r="S35" s="40"/>
      <c r="T35" s="40"/>
      <c r="U35" s="18">
        <f t="shared" si="1"/>
        <v>3259.87</v>
      </c>
      <c r="V35" s="38" t="str">
        <f t="shared" si="2"/>
        <v>Normal</v>
      </c>
      <c r="W35" s="18">
        <f t="shared" si="3"/>
        <v>24</v>
      </c>
      <c r="X35" s="40"/>
      <c r="Y35" s="40"/>
      <c r="Z35" s="18">
        <f t="shared" si="4"/>
        <v>6</v>
      </c>
      <c r="AA35" s="18" t="str">
        <f t="shared" si="5"/>
        <v>Repeat</v>
      </c>
      <c r="AB35" s="18" t="str">
        <f t="shared" si="6"/>
        <v>Kevin Scott</v>
      </c>
      <c r="AC35" s="18" t="str">
        <f t="shared" si="7"/>
        <v>KS</v>
      </c>
      <c r="AD35" s="18" t="str">
        <f t="shared" si="8"/>
        <v>kscott@gmail.com</v>
      </c>
    </row>
    <row r="36" spans="1:30" x14ac:dyDescent="0.3">
      <c r="A36" s="41" t="s">
        <v>135</v>
      </c>
      <c r="B36" s="42">
        <v>45434</v>
      </c>
      <c r="C36" s="41" t="s">
        <v>99</v>
      </c>
      <c r="D36" s="41" t="s">
        <v>100</v>
      </c>
      <c r="E36" s="41" t="s">
        <v>105</v>
      </c>
      <c r="F36" s="41" t="s">
        <v>106</v>
      </c>
      <c r="G36" s="41" t="s">
        <v>46</v>
      </c>
      <c r="H36" s="41">
        <v>3</v>
      </c>
      <c r="I36" s="41">
        <v>299.99</v>
      </c>
      <c r="J36" s="41" t="s">
        <v>26</v>
      </c>
      <c r="K36" s="41" t="s">
        <v>63</v>
      </c>
      <c r="L36" s="41" t="s">
        <v>22</v>
      </c>
      <c r="M36" s="42">
        <v>44824</v>
      </c>
      <c r="N36" s="41">
        <f t="shared" si="0"/>
        <v>899.97</v>
      </c>
      <c r="O36" s="40"/>
      <c r="P36" s="40"/>
      <c r="Q36" s="40"/>
      <c r="R36" s="40"/>
      <c r="S36" s="40"/>
      <c r="T36" s="40"/>
      <c r="U36" s="18">
        <f t="shared" si="1"/>
        <v>9799.73</v>
      </c>
      <c r="V36" s="38" t="str">
        <f t="shared" si="2"/>
        <v>Normal</v>
      </c>
      <c r="W36" s="18">
        <f t="shared" si="3"/>
        <v>26</v>
      </c>
      <c r="X36" s="40"/>
      <c r="Y36" s="40"/>
      <c r="Z36" s="18">
        <f t="shared" si="4"/>
        <v>8</v>
      </c>
      <c r="AA36" s="18" t="str">
        <f t="shared" si="5"/>
        <v>Repeat</v>
      </c>
      <c r="AB36" s="18" t="str">
        <f t="shared" si="6"/>
        <v>Patricia Moore</v>
      </c>
      <c r="AC36" s="18" t="str">
        <f t="shared" si="7"/>
        <v>PM</v>
      </c>
      <c r="AD36" s="18" t="str">
        <f t="shared" si="8"/>
        <v>pmoore@gmail.com</v>
      </c>
    </row>
    <row r="37" spans="1:30" x14ac:dyDescent="0.3">
      <c r="A37" s="41" t="s">
        <v>136</v>
      </c>
      <c r="B37" s="42">
        <v>45435</v>
      </c>
      <c r="C37" s="41" t="s">
        <v>129</v>
      </c>
      <c r="D37" s="41" t="s">
        <v>130</v>
      </c>
      <c r="E37" s="41" t="s">
        <v>114</v>
      </c>
      <c r="F37" s="41" t="s">
        <v>115</v>
      </c>
      <c r="G37" s="41" t="s">
        <v>33</v>
      </c>
      <c r="H37" s="41">
        <v>3</v>
      </c>
      <c r="I37" s="41">
        <v>79.989999999999995</v>
      </c>
      <c r="J37" s="41" t="s">
        <v>20</v>
      </c>
      <c r="K37" s="41" t="s">
        <v>35</v>
      </c>
      <c r="L37" s="41" t="s">
        <v>22</v>
      </c>
      <c r="M37" s="42">
        <v>45046</v>
      </c>
      <c r="N37" s="41">
        <f t="shared" si="0"/>
        <v>239.96999999999997</v>
      </c>
      <c r="O37" s="40"/>
      <c r="P37" s="40"/>
      <c r="Q37" s="40"/>
      <c r="R37" s="40"/>
      <c r="S37" s="40"/>
      <c r="T37" s="40"/>
      <c r="U37" s="18">
        <f t="shared" si="1"/>
        <v>2039.8000000000002</v>
      </c>
      <c r="V37" s="38" t="str">
        <f t="shared" si="2"/>
        <v>Normal</v>
      </c>
      <c r="W37" s="18">
        <f t="shared" si="3"/>
        <v>14</v>
      </c>
      <c r="X37" s="40"/>
      <c r="Y37" s="40"/>
      <c r="Z37" s="18">
        <f t="shared" si="4"/>
        <v>5</v>
      </c>
      <c r="AA37" s="18" t="str">
        <f t="shared" si="5"/>
        <v>Repeat</v>
      </c>
      <c r="AB37" s="18" t="str">
        <f t="shared" si="6"/>
        <v>Lisa Anderson</v>
      </c>
      <c r="AC37" s="18" t="str">
        <f t="shared" si="7"/>
        <v>LA</v>
      </c>
      <c r="AD37" s="18" t="str">
        <f t="shared" si="8"/>
        <v>landerson@gmail.com</v>
      </c>
    </row>
    <row r="38" spans="1:30" x14ac:dyDescent="0.3">
      <c r="A38" s="41" t="s">
        <v>137</v>
      </c>
      <c r="B38" s="42">
        <v>45438</v>
      </c>
      <c r="C38" s="41" t="s">
        <v>138</v>
      </c>
      <c r="D38" s="41" t="s">
        <v>139</v>
      </c>
      <c r="E38" s="41" t="s">
        <v>126</v>
      </c>
      <c r="F38" s="41" t="s">
        <v>127</v>
      </c>
      <c r="G38" s="41" t="s">
        <v>46</v>
      </c>
      <c r="H38" s="41">
        <v>3</v>
      </c>
      <c r="I38" s="41">
        <v>199.99</v>
      </c>
      <c r="J38" s="41" t="s">
        <v>26</v>
      </c>
      <c r="K38" s="41" t="s">
        <v>40</v>
      </c>
      <c r="L38" s="41" t="s">
        <v>27</v>
      </c>
      <c r="M38" s="42">
        <v>45292</v>
      </c>
      <c r="N38" s="41">
        <f t="shared" si="0"/>
        <v>599.97</v>
      </c>
      <c r="O38" s="40"/>
      <c r="P38" s="40"/>
      <c r="Q38" s="40"/>
      <c r="R38" s="40"/>
      <c r="S38" s="40"/>
      <c r="T38" s="40"/>
      <c r="U38" s="18">
        <f t="shared" si="1"/>
        <v>2649.83</v>
      </c>
      <c r="V38" s="38" t="str">
        <f t="shared" si="2"/>
        <v>Normal</v>
      </c>
      <c r="W38" s="18">
        <f t="shared" si="3"/>
        <v>15</v>
      </c>
      <c r="X38" s="40"/>
      <c r="Y38" s="40"/>
      <c r="Z38" s="18">
        <f t="shared" si="4"/>
        <v>6</v>
      </c>
      <c r="AA38" s="18" t="str">
        <f t="shared" si="5"/>
        <v>Repeat</v>
      </c>
      <c r="AB38" s="18" t="str">
        <f t="shared" si="6"/>
        <v>Steven Turner</v>
      </c>
      <c r="AC38" s="18" t="str">
        <f t="shared" si="7"/>
        <v>ST</v>
      </c>
      <c r="AD38" s="18" t="str">
        <f t="shared" si="8"/>
        <v>sturner@gmail.com</v>
      </c>
    </row>
    <row r="39" spans="1:30" x14ac:dyDescent="0.3">
      <c r="A39" s="41" t="s">
        <v>140</v>
      </c>
      <c r="B39" s="42">
        <v>45440</v>
      </c>
      <c r="C39" s="41" t="s">
        <v>141</v>
      </c>
      <c r="D39" s="41" t="s">
        <v>142</v>
      </c>
      <c r="E39" s="41" t="s">
        <v>80</v>
      </c>
      <c r="F39" s="41" t="s">
        <v>81</v>
      </c>
      <c r="G39" s="41" t="s">
        <v>19</v>
      </c>
      <c r="H39" s="41">
        <v>5</v>
      </c>
      <c r="I39" s="41">
        <v>699.99</v>
      </c>
      <c r="J39" s="41" t="s">
        <v>34</v>
      </c>
      <c r="K39" s="41" t="s">
        <v>50</v>
      </c>
      <c r="L39" s="41" t="s">
        <v>36</v>
      </c>
      <c r="M39" s="42">
        <v>44407</v>
      </c>
      <c r="N39" s="41">
        <f t="shared" si="0"/>
        <v>3499.95</v>
      </c>
      <c r="O39" s="40"/>
      <c r="P39" s="40"/>
      <c r="Q39" s="40"/>
      <c r="R39" s="40"/>
      <c r="S39" s="40"/>
      <c r="T39" s="40"/>
      <c r="U39" s="18">
        <f t="shared" si="1"/>
        <v>4739.8500000000004</v>
      </c>
      <c r="V39" s="38" t="str">
        <f t="shared" si="2"/>
        <v>Normal</v>
      </c>
      <c r="W39" s="18">
        <f t="shared" si="3"/>
        <v>31</v>
      </c>
      <c r="X39" s="40"/>
      <c r="Y39" s="40"/>
      <c r="Z39" s="18">
        <f t="shared" si="4"/>
        <v>4</v>
      </c>
      <c r="AA39" s="18" t="str">
        <f t="shared" si="5"/>
        <v>Repeat</v>
      </c>
      <c r="AB39" s="18" t="str">
        <f t="shared" si="6"/>
        <v>Jennifer Taylor</v>
      </c>
      <c r="AC39" s="18" t="str">
        <f t="shared" si="7"/>
        <v>JT</v>
      </c>
      <c r="AD39" s="18" t="str">
        <f t="shared" si="8"/>
        <v>jtaylor@gmail.com</v>
      </c>
    </row>
    <row r="40" spans="1:30" x14ac:dyDescent="0.3">
      <c r="A40" s="41" t="s">
        <v>143</v>
      </c>
      <c r="B40" s="42">
        <v>45441</v>
      </c>
      <c r="C40" s="41" t="s">
        <v>144</v>
      </c>
      <c r="D40" s="41" t="s">
        <v>145</v>
      </c>
      <c r="E40" s="41" t="s">
        <v>117</v>
      </c>
      <c r="F40" s="41" t="s">
        <v>118</v>
      </c>
      <c r="G40" s="41" t="s">
        <v>19</v>
      </c>
      <c r="H40" s="41">
        <v>3</v>
      </c>
      <c r="I40" s="41">
        <v>89.99</v>
      </c>
      <c r="J40" s="41" t="s">
        <v>34</v>
      </c>
      <c r="K40" s="41" t="s">
        <v>21</v>
      </c>
      <c r="L40" s="41" t="s">
        <v>27</v>
      </c>
      <c r="M40" s="42">
        <v>45120</v>
      </c>
      <c r="N40" s="41">
        <f t="shared" si="0"/>
        <v>269.96999999999997</v>
      </c>
      <c r="O40" s="40"/>
      <c r="P40" s="40"/>
      <c r="Q40" s="40"/>
      <c r="R40" s="40"/>
      <c r="S40" s="40"/>
      <c r="T40" s="40"/>
      <c r="U40" s="18">
        <f t="shared" si="1"/>
        <v>5519.8899999999994</v>
      </c>
      <c r="V40" s="38" t="str">
        <f t="shared" si="2"/>
        <v>Normal</v>
      </c>
      <c r="W40" s="18">
        <f t="shared" si="3"/>
        <v>34</v>
      </c>
      <c r="X40" s="40"/>
      <c r="Y40" s="40"/>
      <c r="Z40" s="18">
        <f t="shared" si="4"/>
        <v>4</v>
      </c>
      <c r="AA40" s="18" t="str">
        <f t="shared" si="5"/>
        <v>Repeat</v>
      </c>
      <c r="AB40" s="18" t="str">
        <f t="shared" si="6"/>
        <v>Harry Morgan</v>
      </c>
      <c r="AC40" s="18" t="str">
        <f t="shared" si="7"/>
        <v>HM</v>
      </c>
      <c r="AD40" s="18" t="str">
        <f t="shared" si="8"/>
        <v>hmorgan@gmail.com</v>
      </c>
    </row>
    <row r="41" spans="1:30" x14ac:dyDescent="0.3">
      <c r="A41" s="41" t="s">
        <v>146</v>
      </c>
      <c r="B41" s="42">
        <v>45443</v>
      </c>
      <c r="C41" s="41" t="s">
        <v>147</v>
      </c>
      <c r="D41" s="41" t="s">
        <v>148</v>
      </c>
      <c r="E41" s="41" t="s">
        <v>114</v>
      </c>
      <c r="F41" s="41" t="s">
        <v>115</v>
      </c>
      <c r="G41" s="41" t="s">
        <v>33</v>
      </c>
      <c r="H41" s="41">
        <v>1</v>
      </c>
      <c r="I41" s="41">
        <v>79.989999999999995</v>
      </c>
      <c r="J41" s="41" t="s">
        <v>20</v>
      </c>
      <c r="K41" s="41" t="s">
        <v>40</v>
      </c>
      <c r="L41" s="41" t="s">
        <v>36</v>
      </c>
      <c r="M41" s="42">
        <v>44917</v>
      </c>
      <c r="N41" s="41">
        <f t="shared" si="0"/>
        <v>79.989999999999995</v>
      </c>
      <c r="O41" s="40"/>
      <c r="P41" s="40"/>
      <c r="Q41" s="40"/>
      <c r="R41" s="40"/>
      <c r="S41" s="40"/>
      <c r="T41" s="40"/>
      <c r="U41" s="18">
        <f t="shared" si="1"/>
        <v>7309.7999999999993</v>
      </c>
      <c r="V41" s="38" t="str">
        <f t="shared" si="2"/>
        <v>Normal</v>
      </c>
      <c r="W41" s="18">
        <f t="shared" si="3"/>
        <v>14</v>
      </c>
      <c r="X41" s="40"/>
      <c r="Y41" s="40"/>
      <c r="Z41" s="18">
        <f t="shared" si="4"/>
        <v>7</v>
      </c>
      <c r="AA41" s="18" t="str">
        <f t="shared" si="5"/>
        <v>Repeat</v>
      </c>
      <c r="AB41" s="18" t="str">
        <f t="shared" si="6"/>
        <v>Daniel King</v>
      </c>
      <c r="AC41" s="18" t="str">
        <f t="shared" si="7"/>
        <v>DK</v>
      </c>
      <c r="AD41" s="18" t="str">
        <f t="shared" si="8"/>
        <v>dking@gmail.com</v>
      </c>
    </row>
    <row r="42" spans="1:30" x14ac:dyDescent="0.3">
      <c r="A42" s="41" t="s">
        <v>149</v>
      </c>
      <c r="B42" s="42">
        <v>45444</v>
      </c>
      <c r="C42" s="41" t="s">
        <v>150</v>
      </c>
      <c r="D42" s="41" t="s">
        <v>151</v>
      </c>
      <c r="E42" s="41" t="s">
        <v>31</v>
      </c>
      <c r="F42" s="41" t="s">
        <v>32</v>
      </c>
      <c r="G42" s="41" t="s">
        <v>33</v>
      </c>
      <c r="H42" s="41">
        <v>2</v>
      </c>
      <c r="I42" s="41">
        <v>59.99</v>
      </c>
      <c r="J42" s="41" t="s">
        <v>20</v>
      </c>
      <c r="K42" s="41" t="s">
        <v>50</v>
      </c>
      <c r="L42" s="41" t="s">
        <v>22</v>
      </c>
      <c r="M42" s="42">
        <v>45390</v>
      </c>
      <c r="N42" s="41">
        <f t="shared" si="0"/>
        <v>119.98</v>
      </c>
      <c r="O42" s="40"/>
      <c r="P42" s="40"/>
      <c r="Q42" s="40"/>
      <c r="R42" s="40"/>
      <c r="S42" s="40"/>
      <c r="T42" s="40"/>
      <c r="U42" s="18">
        <f t="shared" si="1"/>
        <v>5619.87</v>
      </c>
      <c r="V42" s="38" t="str">
        <f t="shared" si="2"/>
        <v>Normal</v>
      </c>
      <c r="W42" s="18">
        <f t="shared" si="3"/>
        <v>29</v>
      </c>
      <c r="X42" s="40"/>
      <c r="Y42" s="40"/>
      <c r="Z42" s="18">
        <f t="shared" si="4"/>
        <v>6</v>
      </c>
      <c r="AA42" s="18" t="str">
        <f t="shared" si="5"/>
        <v>Repeat</v>
      </c>
      <c r="AB42" s="18" t="str">
        <f t="shared" si="6"/>
        <v>Sharon Butler</v>
      </c>
      <c r="AC42" s="18" t="str">
        <f t="shared" si="7"/>
        <v>SB</v>
      </c>
      <c r="AD42" s="18" t="str">
        <f t="shared" si="8"/>
        <v>sbutler@gmail.com</v>
      </c>
    </row>
    <row r="43" spans="1:30" x14ac:dyDescent="0.3">
      <c r="A43" s="41" t="s">
        <v>152</v>
      </c>
      <c r="B43" s="42">
        <v>45444</v>
      </c>
      <c r="C43" s="41" t="s">
        <v>55</v>
      </c>
      <c r="D43" s="41" t="s">
        <v>56</v>
      </c>
      <c r="E43" s="41" t="s">
        <v>117</v>
      </c>
      <c r="F43" s="41" t="s">
        <v>118</v>
      </c>
      <c r="G43" s="41" t="s">
        <v>19</v>
      </c>
      <c r="H43" s="41">
        <v>1</v>
      </c>
      <c r="I43" s="41">
        <v>89.99</v>
      </c>
      <c r="J43" s="41" t="s">
        <v>20</v>
      </c>
      <c r="K43" s="41" t="s">
        <v>40</v>
      </c>
      <c r="L43" s="41" t="s">
        <v>22</v>
      </c>
      <c r="M43" s="42">
        <v>45141</v>
      </c>
      <c r="N43" s="41">
        <f t="shared" si="0"/>
        <v>89.99</v>
      </c>
      <c r="O43" s="40"/>
      <c r="P43" s="40"/>
      <c r="Q43" s="40"/>
      <c r="R43" s="40"/>
      <c r="S43" s="40"/>
      <c r="T43" s="40"/>
      <c r="U43" s="18">
        <f t="shared" si="1"/>
        <v>5089.7300000000005</v>
      </c>
      <c r="V43" s="38" t="str">
        <f t="shared" si="2"/>
        <v>Normal</v>
      </c>
      <c r="W43" s="18">
        <f t="shared" si="3"/>
        <v>34</v>
      </c>
      <c r="X43" s="40"/>
      <c r="Y43" s="40"/>
      <c r="Z43" s="18">
        <f t="shared" si="4"/>
        <v>9</v>
      </c>
      <c r="AA43" s="18" t="str">
        <f t="shared" si="5"/>
        <v>Repeat</v>
      </c>
      <c r="AB43" s="18" t="str">
        <f t="shared" si="6"/>
        <v>Charles Allen</v>
      </c>
      <c r="AC43" s="18" t="str">
        <f t="shared" si="7"/>
        <v>CA</v>
      </c>
      <c r="AD43" s="18" t="str">
        <f t="shared" si="8"/>
        <v>callen@gmail.com</v>
      </c>
    </row>
    <row r="44" spans="1:30" x14ac:dyDescent="0.3">
      <c r="A44" s="41" t="s">
        <v>153</v>
      </c>
      <c r="B44" s="42">
        <v>45446</v>
      </c>
      <c r="C44" s="41" t="s">
        <v>154</v>
      </c>
      <c r="D44" s="41" t="s">
        <v>155</v>
      </c>
      <c r="E44" s="41" t="s">
        <v>117</v>
      </c>
      <c r="F44" s="41" t="s">
        <v>118</v>
      </c>
      <c r="G44" s="41" t="s">
        <v>19</v>
      </c>
      <c r="H44" s="41">
        <v>5</v>
      </c>
      <c r="I44" s="41">
        <v>89.99</v>
      </c>
      <c r="J44" s="41" t="s">
        <v>26</v>
      </c>
      <c r="K44" s="41" t="s">
        <v>63</v>
      </c>
      <c r="L44" s="41" t="s">
        <v>36</v>
      </c>
      <c r="M44" s="42">
        <v>44587</v>
      </c>
      <c r="N44" s="41">
        <f t="shared" si="0"/>
        <v>449.95</v>
      </c>
      <c r="O44" s="40"/>
      <c r="P44" s="40"/>
      <c r="Q44" s="40"/>
      <c r="R44" s="40"/>
      <c r="S44" s="40"/>
      <c r="T44" s="40"/>
      <c r="U44" s="18">
        <f t="shared" si="1"/>
        <v>5499.81</v>
      </c>
      <c r="V44" s="38" t="str">
        <f t="shared" si="2"/>
        <v>Normal</v>
      </c>
      <c r="W44" s="18">
        <f t="shared" si="3"/>
        <v>34</v>
      </c>
      <c r="X44" s="40"/>
      <c r="Y44" s="40"/>
      <c r="Z44" s="18">
        <f t="shared" si="4"/>
        <v>5</v>
      </c>
      <c r="AA44" s="18" t="str">
        <f t="shared" si="5"/>
        <v>Repeat</v>
      </c>
      <c r="AB44" s="18" t="str">
        <f t="shared" si="6"/>
        <v>Sarah Davis</v>
      </c>
      <c r="AC44" s="18" t="str">
        <f t="shared" si="7"/>
        <v>SD</v>
      </c>
      <c r="AD44" s="18" t="str">
        <f t="shared" si="8"/>
        <v>sdavis@gmail.com</v>
      </c>
    </row>
    <row r="45" spans="1:30" x14ac:dyDescent="0.3">
      <c r="A45" s="41" t="s">
        <v>156</v>
      </c>
      <c r="B45" s="42">
        <v>45449</v>
      </c>
      <c r="C45" s="41" t="s">
        <v>24</v>
      </c>
      <c r="D45" s="41" t="s">
        <v>25</v>
      </c>
      <c r="E45" s="41" t="s">
        <v>17</v>
      </c>
      <c r="F45" s="41" t="s">
        <v>18</v>
      </c>
      <c r="G45" s="41" t="s">
        <v>19</v>
      </c>
      <c r="H45" s="41">
        <v>5</v>
      </c>
      <c r="I45" s="41">
        <v>249.99</v>
      </c>
      <c r="J45" s="41" t="s">
        <v>26</v>
      </c>
      <c r="K45" s="41" t="s">
        <v>63</v>
      </c>
      <c r="L45" s="41" t="s">
        <v>36</v>
      </c>
      <c r="M45" s="42">
        <v>44707</v>
      </c>
      <c r="N45" s="41">
        <f t="shared" si="0"/>
        <v>1249.95</v>
      </c>
      <c r="O45" s="40"/>
      <c r="P45" s="40"/>
      <c r="Q45" s="40"/>
      <c r="R45" s="40"/>
      <c r="S45" s="40"/>
      <c r="T45" s="40"/>
      <c r="U45" s="18">
        <f t="shared" si="1"/>
        <v>6949.84</v>
      </c>
      <c r="V45" s="38" t="str">
        <f t="shared" si="2"/>
        <v>Normal</v>
      </c>
      <c r="W45" s="18">
        <f t="shared" si="3"/>
        <v>26</v>
      </c>
      <c r="X45" s="40"/>
      <c r="Y45" s="40"/>
      <c r="Z45" s="18">
        <f t="shared" si="4"/>
        <v>5</v>
      </c>
      <c r="AA45" s="18" t="str">
        <f t="shared" si="5"/>
        <v>Repeat</v>
      </c>
      <c r="AB45" s="18" t="str">
        <f t="shared" si="6"/>
        <v>Joseph Jackson</v>
      </c>
      <c r="AC45" s="18" t="str">
        <f t="shared" si="7"/>
        <v>JJ</v>
      </c>
      <c r="AD45" s="18" t="str">
        <f t="shared" si="8"/>
        <v>jjackson@gmail.com</v>
      </c>
    </row>
    <row r="46" spans="1:30" x14ac:dyDescent="0.3">
      <c r="A46" s="41" t="s">
        <v>157</v>
      </c>
      <c r="B46" s="42">
        <v>45449</v>
      </c>
      <c r="C46" s="41" t="s">
        <v>158</v>
      </c>
      <c r="D46" s="41" t="s">
        <v>159</v>
      </c>
      <c r="E46" s="41" t="s">
        <v>117</v>
      </c>
      <c r="F46" s="41" t="s">
        <v>118</v>
      </c>
      <c r="G46" s="41" t="s">
        <v>19</v>
      </c>
      <c r="H46" s="41">
        <v>1</v>
      </c>
      <c r="I46" s="41">
        <v>89.99</v>
      </c>
      <c r="J46" s="41" t="s">
        <v>26</v>
      </c>
      <c r="K46" s="41" t="s">
        <v>35</v>
      </c>
      <c r="L46" s="41" t="s">
        <v>36</v>
      </c>
      <c r="M46" s="42">
        <v>44582</v>
      </c>
      <c r="N46" s="41">
        <f t="shared" si="0"/>
        <v>89.99</v>
      </c>
      <c r="O46" s="40"/>
      <c r="P46" s="40"/>
      <c r="Q46" s="40"/>
      <c r="R46" s="40"/>
      <c r="S46" s="40"/>
      <c r="T46" s="40"/>
      <c r="U46" s="18">
        <f t="shared" si="1"/>
        <v>5649.84</v>
      </c>
      <c r="V46" s="38" t="str">
        <f t="shared" si="2"/>
        <v>Normal</v>
      </c>
      <c r="W46" s="18">
        <f t="shared" si="3"/>
        <v>34</v>
      </c>
      <c r="X46" s="40"/>
      <c r="Y46" s="40"/>
      <c r="Z46" s="18">
        <f t="shared" si="4"/>
        <v>5</v>
      </c>
      <c r="AA46" s="18" t="str">
        <f t="shared" si="5"/>
        <v>Repeat</v>
      </c>
      <c r="AB46" s="18" t="str">
        <f t="shared" si="6"/>
        <v>Betty Campbell</v>
      </c>
      <c r="AC46" s="18" t="str">
        <f t="shared" si="7"/>
        <v>BC</v>
      </c>
      <c r="AD46" s="18" t="str">
        <f t="shared" si="8"/>
        <v>bcampbell@gmail.com</v>
      </c>
    </row>
    <row r="47" spans="1:30" x14ac:dyDescent="0.3">
      <c r="A47" s="41" t="s">
        <v>160</v>
      </c>
      <c r="B47" s="42">
        <v>45450</v>
      </c>
      <c r="C47" s="41" t="s">
        <v>42</v>
      </c>
      <c r="D47" s="41" t="s">
        <v>43</v>
      </c>
      <c r="E47" s="41" t="s">
        <v>44</v>
      </c>
      <c r="F47" s="41" t="s">
        <v>45</v>
      </c>
      <c r="G47" s="41" t="s">
        <v>46</v>
      </c>
      <c r="H47" s="41">
        <v>2</v>
      </c>
      <c r="I47" s="41">
        <v>149.99</v>
      </c>
      <c r="J47" s="41" t="s">
        <v>20</v>
      </c>
      <c r="K47" s="41" t="s">
        <v>63</v>
      </c>
      <c r="L47" s="41" t="s">
        <v>27</v>
      </c>
      <c r="M47" s="42">
        <v>44645</v>
      </c>
      <c r="N47" s="41">
        <f t="shared" si="0"/>
        <v>299.98</v>
      </c>
      <c r="O47" s="40"/>
      <c r="P47" s="40"/>
      <c r="Q47" s="40"/>
      <c r="R47" s="40"/>
      <c r="S47" s="40"/>
      <c r="T47" s="40"/>
      <c r="U47" s="18">
        <f t="shared" si="1"/>
        <v>6169.7400000000007</v>
      </c>
      <c r="V47" s="38" t="str">
        <f t="shared" si="2"/>
        <v>Normal</v>
      </c>
      <c r="W47" s="18">
        <f t="shared" si="3"/>
        <v>35</v>
      </c>
      <c r="X47" s="40"/>
      <c r="Y47" s="40"/>
      <c r="Z47" s="18">
        <f t="shared" si="4"/>
        <v>9</v>
      </c>
      <c r="AA47" s="18" t="str">
        <f t="shared" si="5"/>
        <v>Repeat</v>
      </c>
      <c r="AB47" s="18" t="str">
        <f t="shared" si="6"/>
        <v>Michael Brown</v>
      </c>
      <c r="AC47" s="18" t="str">
        <f t="shared" si="7"/>
        <v>MB</v>
      </c>
      <c r="AD47" s="18" t="str">
        <f t="shared" si="8"/>
        <v>mbrown@gmail.com</v>
      </c>
    </row>
    <row r="48" spans="1:30" x14ac:dyDescent="0.3">
      <c r="A48" s="41" t="s">
        <v>161</v>
      </c>
      <c r="B48" s="42">
        <v>45452</v>
      </c>
      <c r="C48" s="41" t="s">
        <v>162</v>
      </c>
      <c r="D48" s="41" t="s">
        <v>163</v>
      </c>
      <c r="E48" s="41" t="s">
        <v>31</v>
      </c>
      <c r="F48" s="41" t="s">
        <v>32</v>
      </c>
      <c r="G48" s="41" t="s">
        <v>33</v>
      </c>
      <c r="H48" s="41">
        <v>4</v>
      </c>
      <c r="I48" s="41">
        <v>59.99</v>
      </c>
      <c r="J48" s="41" t="s">
        <v>20</v>
      </c>
      <c r="K48" s="41" t="s">
        <v>63</v>
      </c>
      <c r="L48" s="41" t="s">
        <v>36</v>
      </c>
      <c r="M48" s="42">
        <v>44435</v>
      </c>
      <c r="N48" s="41">
        <f t="shared" si="0"/>
        <v>239.96</v>
      </c>
      <c r="O48" s="40"/>
      <c r="P48" s="40"/>
      <c r="Q48" s="40"/>
      <c r="R48" s="40"/>
      <c r="S48" s="40"/>
      <c r="T48" s="40"/>
      <c r="U48" s="18">
        <f t="shared" si="1"/>
        <v>239.96</v>
      </c>
      <c r="V48" s="38" t="str">
        <f t="shared" si="2"/>
        <v>Normal</v>
      </c>
      <c r="W48" s="18">
        <f t="shared" si="3"/>
        <v>29</v>
      </c>
      <c r="X48" s="40"/>
      <c r="Y48" s="40"/>
      <c r="Z48" s="18">
        <f t="shared" si="4"/>
        <v>1</v>
      </c>
      <c r="AA48" s="18" t="str">
        <f t="shared" si="5"/>
        <v>Unique</v>
      </c>
      <c r="AB48" s="18" t="str">
        <f t="shared" si="6"/>
        <v/>
      </c>
      <c r="AC48" s="18" t="str">
        <f t="shared" si="7"/>
        <v>JF</v>
      </c>
      <c r="AD48" s="18" t="str">
        <f t="shared" si="8"/>
        <v>jfoster@gmail.com</v>
      </c>
    </row>
    <row r="49" spans="1:30" x14ac:dyDescent="0.3">
      <c r="A49" s="41" t="s">
        <v>164</v>
      </c>
      <c r="B49" s="42">
        <v>45456</v>
      </c>
      <c r="C49" s="41" t="s">
        <v>129</v>
      </c>
      <c r="D49" s="41" t="s">
        <v>130</v>
      </c>
      <c r="E49" s="41" t="s">
        <v>117</v>
      </c>
      <c r="F49" s="41" t="s">
        <v>118</v>
      </c>
      <c r="G49" s="41" t="s">
        <v>19</v>
      </c>
      <c r="H49" s="41">
        <v>5</v>
      </c>
      <c r="I49" s="41">
        <v>89.99</v>
      </c>
      <c r="J49" s="41" t="s">
        <v>20</v>
      </c>
      <c r="K49" s="41" t="s">
        <v>21</v>
      </c>
      <c r="L49" s="41" t="s">
        <v>27</v>
      </c>
      <c r="M49" s="42">
        <v>44579</v>
      </c>
      <c r="N49" s="41">
        <f t="shared" si="0"/>
        <v>449.95</v>
      </c>
      <c r="O49" s="40"/>
      <c r="P49" s="40"/>
      <c r="Q49" s="40"/>
      <c r="R49" s="40"/>
      <c r="S49" s="40"/>
      <c r="T49" s="40"/>
      <c r="U49" s="18">
        <f t="shared" si="1"/>
        <v>2039.8000000000002</v>
      </c>
      <c r="V49" s="38" t="str">
        <f t="shared" si="2"/>
        <v>Normal</v>
      </c>
      <c r="W49" s="18">
        <f t="shared" si="3"/>
        <v>34</v>
      </c>
      <c r="X49" s="40"/>
      <c r="Y49" s="40"/>
      <c r="Z49" s="18">
        <f t="shared" si="4"/>
        <v>5</v>
      </c>
      <c r="AA49" s="18" t="str">
        <f t="shared" si="5"/>
        <v>Repeat</v>
      </c>
      <c r="AB49" s="18" t="str">
        <f t="shared" si="6"/>
        <v>Lisa Anderson</v>
      </c>
      <c r="AC49" s="18" t="str">
        <f t="shared" si="7"/>
        <v>LA</v>
      </c>
      <c r="AD49" s="18" t="str">
        <f t="shared" si="8"/>
        <v>landerson@gmail.com</v>
      </c>
    </row>
    <row r="50" spans="1:30" x14ac:dyDescent="0.3">
      <c r="A50" s="41" t="s">
        <v>165</v>
      </c>
      <c r="B50" s="42">
        <v>45459</v>
      </c>
      <c r="C50" s="41" t="s">
        <v>99</v>
      </c>
      <c r="D50" s="41" t="s">
        <v>100</v>
      </c>
      <c r="E50" s="41" t="s">
        <v>117</v>
      </c>
      <c r="F50" s="41" t="s">
        <v>118</v>
      </c>
      <c r="G50" s="41" t="s">
        <v>19</v>
      </c>
      <c r="H50" s="41">
        <v>2</v>
      </c>
      <c r="I50" s="41">
        <v>89.99</v>
      </c>
      <c r="J50" s="41" t="s">
        <v>26</v>
      </c>
      <c r="K50" s="41" t="s">
        <v>35</v>
      </c>
      <c r="L50" s="41" t="s">
        <v>27</v>
      </c>
      <c r="M50" s="42">
        <v>44471</v>
      </c>
      <c r="N50" s="41">
        <f t="shared" si="0"/>
        <v>179.98</v>
      </c>
      <c r="O50" s="40"/>
      <c r="P50" s="40"/>
      <c r="Q50" s="40"/>
      <c r="R50" s="40"/>
      <c r="S50" s="40"/>
      <c r="T50" s="40"/>
      <c r="U50" s="18">
        <f t="shared" si="1"/>
        <v>9799.73</v>
      </c>
      <c r="V50" s="38" t="str">
        <f t="shared" si="2"/>
        <v>Normal</v>
      </c>
      <c r="W50" s="18">
        <f t="shared" si="3"/>
        <v>34</v>
      </c>
      <c r="X50" s="40"/>
      <c r="Y50" s="40"/>
      <c r="Z50" s="18">
        <f t="shared" si="4"/>
        <v>8</v>
      </c>
      <c r="AA50" s="18" t="str">
        <f t="shared" si="5"/>
        <v>Repeat</v>
      </c>
      <c r="AB50" s="18" t="str">
        <f t="shared" si="6"/>
        <v>Patricia Moore</v>
      </c>
      <c r="AC50" s="18" t="str">
        <f t="shared" si="7"/>
        <v>PM</v>
      </c>
      <c r="AD50" s="18" t="str">
        <f t="shared" si="8"/>
        <v>pmoore@gmail.com</v>
      </c>
    </row>
    <row r="51" spans="1:30" x14ac:dyDescent="0.3">
      <c r="A51" s="41" t="s">
        <v>166</v>
      </c>
      <c r="B51" s="42">
        <v>45459</v>
      </c>
      <c r="C51" s="41" t="s">
        <v>15</v>
      </c>
      <c r="D51" s="41" t="s">
        <v>16</v>
      </c>
      <c r="E51" s="41" t="s">
        <v>61</v>
      </c>
      <c r="F51" s="41" t="s">
        <v>62</v>
      </c>
      <c r="G51" s="41" t="s">
        <v>19</v>
      </c>
      <c r="H51" s="48">
        <v>11.111234569273</v>
      </c>
      <c r="I51" s="41">
        <v>899.99</v>
      </c>
      <c r="J51" s="41" t="s">
        <v>26</v>
      </c>
      <c r="K51" s="41" t="s">
        <v>35</v>
      </c>
      <c r="L51" s="41" t="s">
        <v>36</v>
      </c>
      <c r="M51" s="42">
        <v>44974</v>
      </c>
      <c r="N51" s="41">
        <f>H51*I51</f>
        <v>10000.000000000007</v>
      </c>
      <c r="O51" s="40"/>
      <c r="P51" s="40"/>
      <c r="Q51" s="40"/>
      <c r="R51" s="40"/>
      <c r="S51" s="40"/>
      <c r="T51" s="40"/>
      <c r="U51" s="18">
        <f t="shared" si="1"/>
        <v>13809.790000000006</v>
      </c>
      <c r="V51" s="38" t="str">
        <f t="shared" si="2"/>
        <v>High Value</v>
      </c>
      <c r="W51" s="18">
        <f t="shared" si="3"/>
        <v>24</v>
      </c>
      <c r="X51" s="40"/>
      <c r="Y51" s="40"/>
      <c r="Z51" s="18">
        <f t="shared" si="4"/>
        <v>8</v>
      </c>
      <c r="AA51" s="18" t="str">
        <f t="shared" si="5"/>
        <v>Repeat</v>
      </c>
      <c r="AB51" s="18" t="str">
        <f t="shared" si="6"/>
        <v>Paul Baker</v>
      </c>
      <c r="AC51" s="18" t="str">
        <f t="shared" si="7"/>
        <v>PB</v>
      </c>
      <c r="AD51" s="18" t="str">
        <f t="shared" si="8"/>
        <v>pbaker@gmail.com</v>
      </c>
    </row>
    <row r="52" spans="1:30" x14ac:dyDescent="0.3">
      <c r="A52" s="41" t="s">
        <v>167</v>
      </c>
      <c r="B52" s="42">
        <v>45459</v>
      </c>
      <c r="C52" s="41" t="s">
        <v>123</v>
      </c>
      <c r="D52" s="41" t="s">
        <v>124</v>
      </c>
      <c r="E52" s="41" t="s">
        <v>61</v>
      </c>
      <c r="F52" s="41" t="s">
        <v>62</v>
      </c>
      <c r="G52" s="41" t="s">
        <v>19</v>
      </c>
      <c r="H52" s="41">
        <v>5</v>
      </c>
      <c r="I52" s="41">
        <v>899.99</v>
      </c>
      <c r="J52" s="41" t="s">
        <v>34</v>
      </c>
      <c r="K52" s="41" t="s">
        <v>63</v>
      </c>
      <c r="L52" s="41" t="s">
        <v>27</v>
      </c>
      <c r="M52" s="42">
        <v>45278</v>
      </c>
      <c r="N52" s="41">
        <f t="shared" si="0"/>
        <v>4499.95</v>
      </c>
      <c r="O52" s="40"/>
      <c r="P52" s="40"/>
      <c r="Q52" s="40"/>
      <c r="R52" s="40"/>
      <c r="S52" s="40"/>
      <c r="T52" s="40"/>
      <c r="U52" s="18">
        <f t="shared" si="1"/>
        <v>11919.77</v>
      </c>
      <c r="V52" s="38" t="str">
        <f t="shared" si="2"/>
        <v>High Value</v>
      </c>
      <c r="W52" s="18">
        <f t="shared" si="3"/>
        <v>24</v>
      </c>
      <c r="X52" s="40"/>
      <c r="Y52" s="40"/>
      <c r="Z52" s="18">
        <f t="shared" si="4"/>
        <v>6</v>
      </c>
      <c r="AA52" s="18" t="str">
        <f t="shared" si="5"/>
        <v>Repeat</v>
      </c>
      <c r="AB52" s="18" t="str">
        <f t="shared" si="6"/>
        <v>Edward Mitchell</v>
      </c>
      <c r="AC52" s="18" t="str">
        <f t="shared" si="7"/>
        <v>EM</v>
      </c>
      <c r="AD52" s="18" t="str">
        <f t="shared" si="8"/>
        <v>emitchell@gmail.com</v>
      </c>
    </row>
    <row r="53" spans="1:30" x14ac:dyDescent="0.3">
      <c r="A53" s="41" t="s">
        <v>168</v>
      </c>
      <c r="B53" s="42">
        <v>45460</v>
      </c>
      <c r="C53" s="41" t="s">
        <v>158</v>
      </c>
      <c r="D53" s="41" t="s">
        <v>159</v>
      </c>
      <c r="E53" s="41" t="s">
        <v>31</v>
      </c>
      <c r="F53" s="41" t="s">
        <v>32</v>
      </c>
      <c r="G53" s="41" t="s">
        <v>33</v>
      </c>
      <c r="H53" s="41">
        <v>1</v>
      </c>
      <c r="I53" s="41">
        <v>59.99</v>
      </c>
      <c r="J53" s="41" t="s">
        <v>57</v>
      </c>
      <c r="K53" s="41" t="s">
        <v>50</v>
      </c>
      <c r="L53" s="41" t="s">
        <v>27</v>
      </c>
      <c r="M53" s="42">
        <v>45190</v>
      </c>
      <c r="N53" s="41">
        <f t="shared" si="0"/>
        <v>59.99</v>
      </c>
      <c r="O53" s="40"/>
      <c r="P53" s="40"/>
      <c r="Q53" s="40"/>
      <c r="R53" s="40"/>
      <c r="S53" s="40"/>
      <c r="T53" s="40"/>
      <c r="U53" s="18">
        <f t="shared" si="1"/>
        <v>5649.84</v>
      </c>
      <c r="V53" s="38" t="str">
        <f t="shared" si="2"/>
        <v>Normal</v>
      </c>
      <c r="W53" s="18">
        <f t="shared" si="3"/>
        <v>29</v>
      </c>
      <c r="X53" s="40"/>
      <c r="Y53" s="40"/>
      <c r="Z53" s="18">
        <f t="shared" si="4"/>
        <v>5</v>
      </c>
      <c r="AA53" s="18" t="str">
        <f t="shared" si="5"/>
        <v>Repeat</v>
      </c>
      <c r="AB53" s="18" t="str">
        <f t="shared" si="6"/>
        <v>Betty Campbell</v>
      </c>
      <c r="AC53" s="18" t="str">
        <f t="shared" si="7"/>
        <v>BC</v>
      </c>
      <c r="AD53" s="18" t="str">
        <f t="shared" si="8"/>
        <v>bcampbell@gmail.com</v>
      </c>
    </row>
    <row r="54" spans="1:30" x14ac:dyDescent="0.3">
      <c r="A54" s="41" t="s">
        <v>169</v>
      </c>
      <c r="B54" s="42">
        <v>45460</v>
      </c>
      <c r="C54" s="41" t="s">
        <v>141</v>
      </c>
      <c r="D54" s="41" t="s">
        <v>142</v>
      </c>
      <c r="E54" s="41" t="s">
        <v>105</v>
      </c>
      <c r="F54" s="41" t="s">
        <v>106</v>
      </c>
      <c r="G54" s="41" t="s">
        <v>46</v>
      </c>
      <c r="H54" s="41">
        <v>2</v>
      </c>
      <c r="I54" s="41">
        <v>299.99</v>
      </c>
      <c r="J54" s="41" t="s">
        <v>57</v>
      </c>
      <c r="K54" s="41" t="s">
        <v>63</v>
      </c>
      <c r="L54" s="41" t="s">
        <v>36</v>
      </c>
      <c r="M54" s="42">
        <v>45253</v>
      </c>
      <c r="N54" s="41">
        <f t="shared" si="0"/>
        <v>599.98</v>
      </c>
      <c r="O54" s="40"/>
      <c r="P54" s="40"/>
      <c r="Q54" s="40"/>
      <c r="R54" s="40"/>
      <c r="S54" s="40"/>
      <c r="T54" s="40"/>
      <c r="U54" s="18">
        <f t="shared" si="1"/>
        <v>4739.8500000000004</v>
      </c>
      <c r="V54" s="38" t="str">
        <f t="shared" si="2"/>
        <v>Normal</v>
      </c>
      <c r="W54" s="18">
        <f t="shared" si="3"/>
        <v>26</v>
      </c>
      <c r="X54" s="40"/>
      <c r="Y54" s="40"/>
      <c r="Z54" s="18">
        <f t="shared" si="4"/>
        <v>4</v>
      </c>
      <c r="AA54" s="18" t="str">
        <f t="shared" si="5"/>
        <v>Repeat</v>
      </c>
      <c r="AB54" s="18" t="str">
        <f t="shared" si="6"/>
        <v>Jennifer Taylor</v>
      </c>
      <c r="AC54" s="18" t="str">
        <f t="shared" si="7"/>
        <v>JT</v>
      </c>
      <c r="AD54" s="18" t="str">
        <f t="shared" si="8"/>
        <v>jtaylor@gmail.com</v>
      </c>
    </row>
    <row r="55" spans="1:30" x14ac:dyDescent="0.3">
      <c r="A55" s="41" t="s">
        <v>170</v>
      </c>
      <c r="B55" s="42">
        <v>45468</v>
      </c>
      <c r="C55" s="41" t="s">
        <v>171</v>
      </c>
      <c r="D55" s="41" t="s">
        <v>172</v>
      </c>
      <c r="E55" s="41" t="s">
        <v>117</v>
      </c>
      <c r="F55" s="41" t="s">
        <v>118</v>
      </c>
      <c r="G55" s="41" t="s">
        <v>19</v>
      </c>
      <c r="H55" s="41">
        <v>4</v>
      </c>
      <c r="I55" s="41">
        <v>89.99</v>
      </c>
      <c r="J55" s="41" t="s">
        <v>57</v>
      </c>
      <c r="K55" s="41" t="s">
        <v>35</v>
      </c>
      <c r="L55" s="41" t="s">
        <v>22</v>
      </c>
      <c r="M55" s="42">
        <v>45281</v>
      </c>
      <c r="N55" s="41">
        <f t="shared" si="0"/>
        <v>359.96</v>
      </c>
      <c r="O55" s="40"/>
      <c r="P55" s="40"/>
      <c r="Q55" s="40"/>
      <c r="R55" s="40"/>
      <c r="S55" s="40"/>
      <c r="T55" s="40"/>
      <c r="U55" s="18">
        <f t="shared" si="1"/>
        <v>3669.85</v>
      </c>
      <c r="V55" s="38" t="str">
        <f t="shared" si="2"/>
        <v>Normal</v>
      </c>
      <c r="W55" s="18">
        <f t="shared" si="3"/>
        <v>34</v>
      </c>
      <c r="X55" s="40"/>
      <c r="Y55" s="40"/>
      <c r="Z55" s="18">
        <f t="shared" si="4"/>
        <v>4</v>
      </c>
      <c r="AA55" s="18" t="str">
        <f t="shared" si="5"/>
        <v>Repeat</v>
      </c>
      <c r="AB55" s="18" t="str">
        <f t="shared" si="6"/>
        <v>Raymond Ross</v>
      </c>
      <c r="AC55" s="18" t="str">
        <f t="shared" si="7"/>
        <v>RR</v>
      </c>
      <c r="AD55" s="18" t="str">
        <f t="shared" si="8"/>
        <v>rross@gmail.com</v>
      </c>
    </row>
    <row r="56" spans="1:30" x14ac:dyDescent="0.3">
      <c r="A56" s="41" t="s">
        <v>173</v>
      </c>
      <c r="B56" s="42">
        <v>45469</v>
      </c>
      <c r="C56" s="41" t="s">
        <v>29</v>
      </c>
      <c r="D56" s="41" t="s">
        <v>30</v>
      </c>
      <c r="E56" s="41" t="s">
        <v>114</v>
      </c>
      <c r="F56" s="41" t="s">
        <v>115</v>
      </c>
      <c r="G56" s="41" t="s">
        <v>33</v>
      </c>
      <c r="H56" s="41">
        <v>1</v>
      </c>
      <c r="I56" s="41">
        <v>79.989999999999995</v>
      </c>
      <c r="J56" s="41" t="s">
        <v>34</v>
      </c>
      <c r="K56" s="41" t="s">
        <v>21</v>
      </c>
      <c r="L56" s="41" t="s">
        <v>27</v>
      </c>
      <c r="M56" s="42">
        <v>45352</v>
      </c>
      <c r="N56" s="41">
        <f t="shared" si="0"/>
        <v>79.989999999999995</v>
      </c>
      <c r="O56" s="40"/>
      <c r="P56" s="40"/>
      <c r="Q56" s="40"/>
      <c r="R56" s="40"/>
      <c r="S56" s="40"/>
      <c r="T56" s="40"/>
      <c r="U56" s="18">
        <f t="shared" si="1"/>
        <v>3259.87</v>
      </c>
      <c r="V56" s="38" t="str">
        <f t="shared" si="2"/>
        <v>Normal</v>
      </c>
      <c r="W56" s="18">
        <f t="shared" si="3"/>
        <v>14</v>
      </c>
      <c r="X56" s="40"/>
      <c r="Y56" s="40"/>
      <c r="Z56" s="18">
        <f t="shared" si="4"/>
        <v>6</v>
      </c>
      <c r="AA56" s="18" t="str">
        <f t="shared" si="5"/>
        <v>Repeat</v>
      </c>
      <c r="AB56" s="18" t="str">
        <f t="shared" si="6"/>
        <v>Kevin Scott</v>
      </c>
      <c r="AC56" s="18" t="str">
        <f t="shared" si="7"/>
        <v>KS</v>
      </c>
      <c r="AD56" s="18" t="str">
        <f t="shared" si="8"/>
        <v>kscott@gmail.com</v>
      </c>
    </row>
    <row r="57" spans="1:30" ht="14.4" customHeight="1" x14ac:dyDescent="0.3">
      <c r="A57" s="41" t="s">
        <v>174</v>
      </c>
      <c r="B57" s="42">
        <v>45469</v>
      </c>
      <c r="C57" s="41" t="s">
        <v>59</v>
      </c>
      <c r="D57" s="41" t="s">
        <v>60</v>
      </c>
      <c r="E57" s="41" t="s">
        <v>117</v>
      </c>
      <c r="F57" s="41" t="s">
        <v>118</v>
      </c>
      <c r="G57" s="41" t="s">
        <v>19</v>
      </c>
      <c r="H57" s="41">
        <v>2</v>
      </c>
      <c r="I57" s="41">
        <v>89.99</v>
      </c>
      <c r="J57" s="41" t="s">
        <v>20</v>
      </c>
      <c r="K57" s="41" t="s">
        <v>50</v>
      </c>
      <c r="L57" s="41" t="s">
        <v>22</v>
      </c>
      <c r="M57" s="42">
        <v>44438</v>
      </c>
      <c r="N57" s="41">
        <f t="shared" si="0"/>
        <v>179.98</v>
      </c>
      <c r="O57" s="40"/>
      <c r="P57" s="40"/>
      <c r="Q57" s="40"/>
      <c r="R57" s="40"/>
      <c r="S57" s="40"/>
      <c r="T57" s="40"/>
      <c r="U57" s="18">
        <f t="shared" si="1"/>
        <v>3509.8999999999996</v>
      </c>
      <c r="V57" s="38" t="str">
        <f t="shared" si="2"/>
        <v>Normal</v>
      </c>
      <c r="W57" s="18">
        <f t="shared" si="3"/>
        <v>34</v>
      </c>
      <c r="X57" s="40"/>
      <c r="Y57" s="40"/>
      <c r="Z57" s="18">
        <f t="shared" si="4"/>
        <v>5</v>
      </c>
      <c r="AA57" s="18" t="str">
        <f t="shared" si="5"/>
        <v>Repeat</v>
      </c>
      <c r="AB57" s="18" t="str">
        <f t="shared" si="6"/>
        <v>Robert Thomas</v>
      </c>
      <c r="AC57" s="18" t="str">
        <f t="shared" si="7"/>
        <v>RT</v>
      </c>
      <c r="AD57" s="18" t="str">
        <f t="shared" si="8"/>
        <v>rthomas@gmail.com</v>
      </c>
    </row>
    <row r="58" spans="1:30" ht="15" customHeight="1" x14ac:dyDescent="0.3">
      <c r="A58" s="41" t="s">
        <v>175</v>
      </c>
      <c r="B58" s="42">
        <v>45471</v>
      </c>
      <c r="C58" s="41" t="s">
        <v>38</v>
      </c>
      <c r="D58" s="41" t="s">
        <v>39</v>
      </c>
      <c r="E58" s="41" t="s">
        <v>80</v>
      </c>
      <c r="F58" s="41" t="s">
        <v>81</v>
      </c>
      <c r="G58" s="41" t="s">
        <v>19</v>
      </c>
      <c r="H58" s="41">
        <v>3</v>
      </c>
      <c r="I58" s="41">
        <v>699.99</v>
      </c>
      <c r="J58" s="41" t="s">
        <v>26</v>
      </c>
      <c r="K58" s="41" t="s">
        <v>63</v>
      </c>
      <c r="L58" s="41" t="s">
        <v>27</v>
      </c>
      <c r="M58" s="42">
        <v>45102</v>
      </c>
      <c r="N58" s="41">
        <f t="shared" si="0"/>
        <v>2099.9700000000003</v>
      </c>
      <c r="O58" s="40"/>
      <c r="P58" s="40"/>
      <c r="Q58" s="40"/>
      <c r="R58" s="40"/>
      <c r="S58" s="40"/>
      <c r="T58" s="40"/>
      <c r="U58" s="18">
        <f t="shared" si="1"/>
        <v>4309.8100000000004</v>
      </c>
      <c r="V58" s="38" t="str">
        <f t="shared" si="2"/>
        <v>Normal</v>
      </c>
      <c r="W58" s="18">
        <f t="shared" si="3"/>
        <v>31</v>
      </c>
      <c r="X58" s="40"/>
      <c r="Y58" s="40"/>
      <c r="Z58" s="18">
        <f t="shared" si="4"/>
        <v>6</v>
      </c>
      <c r="AA58" s="18" t="str">
        <f t="shared" si="5"/>
        <v>Repeat</v>
      </c>
      <c r="AB58" s="18" t="str">
        <f t="shared" si="6"/>
        <v>Kathleen Bennett</v>
      </c>
      <c r="AC58" s="18" t="str">
        <f t="shared" si="7"/>
        <v>KB</v>
      </c>
      <c r="AD58" s="18" t="str">
        <f t="shared" si="8"/>
        <v>kbennett@gmail.com</v>
      </c>
    </row>
    <row r="59" spans="1:30" x14ac:dyDescent="0.3">
      <c r="A59" s="41" t="s">
        <v>176</v>
      </c>
      <c r="B59" s="42">
        <v>45471</v>
      </c>
      <c r="C59" s="41" t="s">
        <v>99</v>
      </c>
      <c r="D59" s="41" t="s">
        <v>100</v>
      </c>
      <c r="E59" s="41" t="s">
        <v>61</v>
      </c>
      <c r="F59" s="41" t="s">
        <v>62</v>
      </c>
      <c r="G59" s="41" t="s">
        <v>19</v>
      </c>
      <c r="H59" s="41">
        <v>4</v>
      </c>
      <c r="I59" s="41">
        <v>899.99</v>
      </c>
      <c r="J59" s="41" t="s">
        <v>26</v>
      </c>
      <c r="K59" s="41" t="s">
        <v>63</v>
      </c>
      <c r="L59" s="41" t="s">
        <v>27</v>
      </c>
      <c r="M59" s="42">
        <v>44993</v>
      </c>
      <c r="N59" s="41">
        <f t="shared" si="0"/>
        <v>3599.96</v>
      </c>
      <c r="O59" s="40"/>
      <c r="P59" s="40"/>
      <c r="Q59" s="40"/>
      <c r="R59" s="40"/>
      <c r="S59" s="40"/>
      <c r="T59" s="40"/>
      <c r="U59" s="18">
        <f t="shared" si="1"/>
        <v>9799.73</v>
      </c>
      <c r="V59" s="38" t="str">
        <f t="shared" si="2"/>
        <v>Normal</v>
      </c>
      <c r="W59" s="18">
        <f t="shared" si="3"/>
        <v>24</v>
      </c>
      <c r="X59" s="40"/>
      <c r="Y59" s="40"/>
      <c r="Z59" s="18">
        <f t="shared" si="4"/>
        <v>8</v>
      </c>
      <c r="AA59" s="18" t="str">
        <f t="shared" si="5"/>
        <v>Repeat</v>
      </c>
      <c r="AB59" s="18" t="str">
        <f t="shared" si="6"/>
        <v>Patricia Moore</v>
      </c>
      <c r="AC59" s="18" t="str">
        <f t="shared" si="7"/>
        <v>PM</v>
      </c>
      <c r="AD59" s="18" t="str">
        <f t="shared" si="8"/>
        <v>pmoore@gmail.com</v>
      </c>
    </row>
    <row r="60" spans="1:30" x14ac:dyDescent="0.3">
      <c r="A60" s="41" t="s">
        <v>177</v>
      </c>
      <c r="B60" s="42">
        <v>45472</v>
      </c>
      <c r="C60" s="41" t="s">
        <v>120</v>
      </c>
      <c r="D60" s="41" t="s">
        <v>121</v>
      </c>
      <c r="E60" s="41" t="s">
        <v>44</v>
      </c>
      <c r="F60" s="41" t="s">
        <v>45</v>
      </c>
      <c r="G60" s="41" t="s">
        <v>46</v>
      </c>
      <c r="H60" s="41">
        <v>1</v>
      </c>
      <c r="I60" s="41">
        <v>149.99</v>
      </c>
      <c r="J60" s="41" t="s">
        <v>34</v>
      </c>
      <c r="K60" s="41" t="s">
        <v>63</v>
      </c>
      <c r="L60" s="41" t="s">
        <v>22</v>
      </c>
      <c r="M60" s="42">
        <v>44851</v>
      </c>
      <c r="N60" s="41">
        <f t="shared" si="0"/>
        <v>149.99</v>
      </c>
      <c r="O60" s="40"/>
      <c r="P60" s="40"/>
      <c r="Q60" s="40"/>
      <c r="R60" s="40"/>
      <c r="S60" s="40"/>
      <c r="T60" s="40"/>
      <c r="U60" s="18">
        <f t="shared" si="1"/>
        <v>6459.79</v>
      </c>
      <c r="V60" s="38" t="str">
        <f t="shared" si="2"/>
        <v>Normal</v>
      </c>
      <c r="W60" s="18">
        <f t="shared" si="3"/>
        <v>35</v>
      </c>
      <c r="X60" s="40"/>
      <c r="Y60" s="40"/>
      <c r="Z60" s="18">
        <f t="shared" si="4"/>
        <v>7</v>
      </c>
      <c r="AA60" s="18" t="str">
        <f t="shared" si="5"/>
        <v>Repeat</v>
      </c>
      <c r="AB60" s="18" t="str">
        <f t="shared" si="6"/>
        <v>Helen Roberts</v>
      </c>
      <c r="AC60" s="18" t="str">
        <f t="shared" si="7"/>
        <v>HR</v>
      </c>
      <c r="AD60" s="18" t="str">
        <f t="shared" si="8"/>
        <v>hroberts@gmail.com</v>
      </c>
    </row>
    <row r="61" spans="1:30" x14ac:dyDescent="0.3">
      <c r="A61" s="41" t="s">
        <v>178</v>
      </c>
      <c r="B61" s="42">
        <v>45474</v>
      </c>
      <c r="C61" s="41" t="s">
        <v>132</v>
      </c>
      <c r="D61" s="41" t="s">
        <v>133</v>
      </c>
      <c r="E61" s="41" t="s">
        <v>117</v>
      </c>
      <c r="F61" s="41" t="s">
        <v>118</v>
      </c>
      <c r="G61" s="41" t="s">
        <v>19</v>
      </c>
      <c r="H61" s="41">
        <v>2</v>
      </c>
      <c r="I61" s="41">
        <v>89.99</v>
      </c>
      <c r="J61" s="41" t="s">
        <v>34</v>
      </c>
      <c r="K61" s="41" t="s">
        <v>21</v>
      </c>
      <c r="L61" s="41" t="s">
        <v>27</v>
      </c>
      <c r="M61" s="42">
        <v>45275</v>
      </c>
      <c r="N61" s="41">
        <f t="shared" si="0"/>
        <v>179.98</v>
      </c>
      <c r="O61" s="40"/>
      <c r="P61" s="40"/>
      <c r="Q61" s="40"/>
      <c r="R61" s="40"/>
      <c r="S61" s="40"/>
      <c r="T61" s="40"/>
      <c r="U61" s="18">
        <f t="shared" si="1"/>
        <v>1229.8800000000001</v>
      </c>
      <c r="V61" s="38" t="str">
        <f t="shared" si="2"/>
        <v>Normal</v>
      </c>
      <c r="W61" s="18">
        <f t="shared" si="3"/>
        <v>34</v>
      </c>
      <c r="X61" s="40"/>
      <c r="Y61" s="40"/>
      <c r="Z61" s="18">
        <f t="shared" si="4"/>
        <v>5</v>
      </c>
      <c r="AA61" s="18" t="str">
        <f t="shared" si="5"/>
        <v>Repeat</v>
      </c>
      <c r="AB61" s="18" t="str">
        <f t="shared" si="6"/>
        <v>Emma Wilson</v>
      </c>
      <c r="AC61" s="18" t="str">
        <f t="shared" si="7"/>
        <v>EW</v>
      </c>
      <c r="AD61" s="18" t="str">
        <f t="shared" si="8"/>
        <v>ewilson@gmail.com</v>
      </c>
    </row>
    <row r="62" spans="1:30" x14ac:dyDescent="0.3">
      <c r="A62" s="41" t="s">
        <v>179</v>
      </c>
      <c r="B62" s="42">
        <v>45475</v>
      </c>
      <c r="C62" s="41" t="s">
        <v>55</v>
      </c>
      <c r="D62" s="41" t="s">
        <v>56</v>
      </c>
      <c r="E62" s="41" t="s">
        <v>117</v>
      </c>
      <c r="F62" s="41" t="s">
        <v>118</v>
      </c>
      <c r="G62" s="41" t="s">
        <v>19</v>
      </c>
      <c r="H62" s="41">
        <v>1</v>
      </c>
      <c r="I62" s="41">
        <v>89.99</v>
      </c>
      <c r="J62" s="41" t="s">
        <v>34</v>
      </c>
      <c r="K62" s="41" t="s">
        <v>50</v>
      </c>
      <c r="L62" s="41" t="s">
        <v>36</v>
      </c>
      <c r="M62" s="42">
        <v>44802</v>
      </c>
      <c r="N62" s="41">
        <f t="shared" si="0"/>
        <v>89.99</v>
      </c>
      <c r="O62" s="40"/>
      <c r="P62" s="40"/>
      <c r="Q62" s="40"/>
      <c r="R62" s="40"/>
      <c r="S62" s="40"/>
      <c r="T62" s="40"/>
      <c r="U62" s="18">
        <f t="shared" si="1"/>
        <v>5089.7300000000005</v>
      </c>
      <c r="V62" s="38" t="str">
        <f t="shared" si="2"/>
        <v>Normal</v>
      </c>
      <c r="W62" s="18">
        <f t="shared" si="3"/>
        <v>34</v>
      </c>
      <c r="X62" s="40"/>
      <c r="Y62" s="40"/>
      <c r="Z62" s="18">
        <f t="shared" si="4"/>
        <v>9</v>
      </c>
      <c r="AA62" s="18" t="str">
        <f t="shared" si="5"/>
        <v>Repeat</v>
      </c>
      <c r="AB62" s="18" t="str">
        <f t="shared" si="6"/>
        <v>Charles Allen</v>
      </c>
      <c r="AC62" s="18" t="str">
        <f t="shared" si="7"/>
        <v>CA</v>
      </c>
      <c r="AD62" s="18" t="str">
        <f t="shared" si="8"/>
        <v>callen@gmail.com</v>
      </c>
    </row>
    <row r="63" spans="1:30" x14ac:dyDescent="0.3">
      <c r="A63" s="41" t="s">
        <v>180</v>
      </c>
      <c r="B63" s="42">
        <v>45476</v>
      </c>
      <c r="C63" s="41" t="s">
        <v>68</v>
      </c>
      <c r="D63" s="41" t="s">
        <v>69</v>
      </c>
      <c r="E63" s="41" t="s">
        <v>117</v>
      </c>
      <c r="F63" s="41" t="s">
        <v>118</v>
      </c>
      <c r="G63" s="41" t="s">
        <v>19</v>
      </c>
      <c r="H63" s="41">
        <v>1</v>
      </c>
      <c r="I63" s="41">
        <v>89.99</v>
      </c>
      <c r="J63" s="41" t="s">
        <v>20</v>
      </c>
      <c r="K63" s="41" t="s">
        <v>35</v>
      </c>
      <c r="L63" s="41" t="s">
        <v>36</v>
      </c>
      <c r="M63" s="42">
        <v>44611</v>
      </c>
      <c r="N63" s="41">
        <f t="shared" si="0"/>
        <v>89.99</v>
      </c>
      <c r="O63" s="40"/>
      <c r="P63" s="40"/>
      <c r="Q63" s="40"/>
      <c r="R63" s="40"/>
      <c r="S63" s="40"/>
      <c r="T63" s="40"/>
      <c r="U63" s="18">
        <f t="shared" si="1"/>
        <v>1979.89</v>
      </c>
      <c r="V63" s="38" t="str">
        <f t="shared" si="2"/>
        <v>Normal</v>
      </c>
      <c r="W63" s="18">
        <f t="shared" si="3"/>
        <v>34</v>
      </c>
      <c r="X63" s="40"/>
      <c r="Y63" s="40"/>
      <c r="Z63" s="18">
        <f t="shared" si="4"/>
        <v>4</v>
      </c>
      <c r="AA63" s="18" t="str">
        <f t="shared" si="5"/>
        <v>Repeat</v>
      </c>
      <c r="AB63" s="18" t="str">
        <f t="shared" si="6"/>
        <v>Susan Green</v>
      </c>
      <c r="AC63" s="18" t="str">
        <f t="shared" si="7"/>
        <v>SG</v>
      </c>
      <c r="AD63" s="18" t="str">
        <f t="shared" si="8"/>
        <v>sgreen@gmail.com</v>
      </c>
    </row>
    <row r="64" spans="1:30" x14ac:dyDescent="0.3">
      <c r="A64" s="41" t="s">
        <v>181</v>
      </c>
      <c r="B64" s="42">
        <v>45476</v>
      </c>
      <c r="C64" s="41" t="s">
        <v>182</v>
      </c>
      <c r="D64" s="41" t="s">
        <v>183</v>
      </c>
      <c r="E64" s="41" t="s">
        <v>114</v>
      </c>
      <c r="F64" s="41" t="s">
        <v>115</v>
      </c>
      <c r="G64" s="41" t="s">
        <v>33</v>
      </c>
      <c r="H64" s="41">
        <v>5</v>
      </c>
      <c r="I64" s="41">
        <v>79.989999999999995</v>
      </c>
      <c r="J64" s="41" t="s">
        <v>57</v>
      </c>
      <c r="K64" s="41" t="s">
        <v>21</v>
      </c>
      <c r="L64" s="41" t="s">
        <v>22</v>
      </c>
      <c r="M64" s="42">
        <v>44981</v>
      </c>
      <c r="N64" s="41">
        <f t="shared" si="0"/>
        <v>399.95</v>
      </c>
      <c r="O64" s="40"/>
      <c r="P64" s="40"/>
      <c r="Q64" s="40"/>
      <c r="R64" s="40"/>
      <c r="S64" s="40"/>
      <c r="T64" s="40"/>
      <c r="U64" s="18">
        <f t="shared" si="1"/>
        <v>1809.84</v>
      </c>
      <c r="V64" s="38" t="str">
        <f t="shared" si="2"/>
        <v>Normal</v>
      </c>
      <c r="W64" s="18">
        <f t="shared" si="3"/>
        <v>14</v>
      </c>
      <c r="X64" s="40"/>
      <c r="Y64" s="40"/>
      <c r="Z64" s="18">
        <f t="shared" si="4"/>
        <v>6</v>
      </c>
      <c r="AA64" s="18" t="str">
        <f t="shared" si="5"/>
        <v>Repeat</v>
      </c>
      <c r="AB64" s="18" t="str">
        <f t="shared" si="6"/>
        <v>David Martinez</v>
      </c>
      <c r="AC64" s="18" t="str">
        <f t="shared" si="7"/>
        <v>DM</v>
      </c>
      <c r="AD64" s="18" t="str">
        <f t="shared" si="8"/>
        <v>dmartinez@gmail.com</v>
      </c>
    </row>
    <row r="65" spans="1:30" x14ac:dyDescent="0.3">
      <c r="A65" s="41" t="s">
        <v>184</v>
      </c>
      <c r="B65" s="42">
        <v>45481</v>
      </c>
      <c r="C65" s="41" t="s">
        <v>185</v>
      </c>
      <c r="D65" s="41" t="s">
        <v>186</v>
      </c>
      <c r="E65" s="41" t="s">
        <v>44</v>
      </c>
      <c r="F65" s="41" t="s">
        <v>45</v>
      </c>
      <c r="G65" s="41" t="s">
        <v>46</v>
      </c>
      <c r="H65" s="41">
        <v>1</v>
      </c>
      <c r="I65" s="41">
        <v>149.99</v>
      </c>
      <c r="J65" s="41" t="s">
        <v>34</v>
      </c>
      <c r="K65" s="41" t="s">
        <v>40</v>
      </c>
      <c r="L65" s="41" t="s">
        <v>22</v>
      </c>
      <c r="M65" s="42">
        <v>44421</v>
      </c>
      <c r="N65" s="41">
        <f t="shared" si="0"/>
        <v>149.99</v>
      </c>
      <c r="O65" s="40"/>
      <c r="P65" s="40"/>
      <c r="Q65" s="40"/>
      <c r="R65" s="40"/>
      <c r="S65" s="40"/>
      <c r="T65" s="40"/>
      <c r="U65" s="18">
        <f t="shared" si="1"/>
        <v>2099.88</v>
      </c>
      <c r="V65" s="38" t="str">
        <f t="shared" si="2"/>
        <v>Normal</v>
      </c>
      <c r="W65" s="18">
        <f t="shared" si="3"/>
        <v>35</v>
      </c>
      <c r="X65" s="40"/>
      <c r="Y65" s="40"/>
      <c r="Z65" s="18">
        <f t="shared" si="4"/>
        <v>4</v>
      </c>
      <c r="AA65" s="18" t="str">
        <f t="shared" si="5"/>
        <v>Repeat</v>
      </c>
      <c r="AB65" s="18" t="str">
        <f t="shared" si="6"/>
        <v>Margaret Wright</v>
      </c>
      <c r="AC65" s="18" t="str">
        <f t="shared" si="7"/>
        <v>MW</v>
      </c>
      <c r="AD65" s="18" t="str">
        <f t="shared" si="8"/>
        <v>mwright@gmail.com</v>
      </c>
    </row>
    <row r="66" spans="1:30" x14ac:dyDescent="0.3">
      <c r="A66" s="41" t="s">
        <v>187</v>
      </c>
      <c r="B66" s="42">
        <v>45481</v>
      </c>
      <c r="C66" s="41" t="s">
        <v>42</v>
      </c>
      <c r="D66" s="41" t="s">
        <v>43</v>
      </c>
      <c r="E66" s="41" t="s">
        <v>80</v>
      </c>
      <c r="F66" s="41" t="s">
        <v>81</v>
      </c>
      <c r="G66" s="41" t="s">
        <v>19</v>
      </c>
      <c r="H66" s="41">
        <v>2</v>
      </c>
      <c r="I66" s="41">
        <v>699.99</v>
      </c>
      <c r="J66" s="41" t="s">
        <v>34</v>
      </c>
      <c r="K66" s="41" t="s">
        <v>63</v>
      </c>
      <c r="L66" s="41" t="s">
        <v>27</v>
      </c>
      <c r="M66" s="42">
        <v>45389</v>
      </c>
      <c r="N66" s="41">
        <f t="shared" si="0"/>
        <v>1399.98</v>
      </c>
      <c r="O66" s="40"/>
      <c r="P66" s="40"/>
      <c r="Q66" s="40"/>
      <c r="R66" s="40"/>
      <c r="S66" s="40"/>
      <c r="T66" s="40"/>
      <c r="U66" s="18">
        <f t="shared" si="1"/>
        <v>6169.7400000000007</v>
      </c>
      <c r="V66" s="38" t="str">
        <f t="shared" si="2"/>
        <v>Normal</v>
      </c>
      <c r="W66" s="18">
        <f t="shared" si="3"/>
        <v>31</v>
      </c>
      <c r="X66" s="40"/>
      <c r="Y66" s="40"/>
      <c r="Z66" s="18">
        <f t="shared" si="4"/>
        <v>9</v>
      </c>
      <c r="AA66" s="18" t="str">
        <f t="shared" si="5"/>
        <v>Repeat</v>
      </c>
      <c r="AB66" s="18" t="str">
        <f t="shared" si="6"/>
        <v>Michael Brown</v>
      </c>
      <c r="AC66" s="18" t="str">
        <f t="shared" si="7"/>
        <v>MB</v>
      </c>
      <c r="AD66" s="18" t="str">
        <f t="shared" si="8"/>
        <v>mbrown@gmail.com</v>
      </c>
    </row>
    <row r="67" spans="1:30" x14ac:dyDescent="0.3">
      <c r="A67" s="41" t="s">
        <v>188</v>
      </c>
      <c r="B67" s="42">
        <v>45481</v>
      </c>
      <c r="C67" s="41" t="s">
        <v>96</v>
      </c>
      <c r="D67" s="41" t="s">
        <v>97</v>
      </c>
      <c r="E67" s="41" t="s">
        <v>117</v>
      </c>
      <c r="F67" s="41" t="s">
        <v>118</v>
      </c>
      <c r="G67" s="41" t="s">
        <v>19</v>
      </c>
      <c r="H67" s="41">
        <v>5</v>
      </c>
      <c r="I67" s="41">
        <v>89.99</v>
      </c>
      <c r="J67" s="41" t="s">
        <v>57</v>
      </c>
      <c r="K67" s="41" t="s">
        <v>40</v>
      </c>
      <c r="L67" s="41" t="s">
        <v>27</v>
      </c>
      <c r="M67" s="42">
        <v>45161</v>
      </c>
      <c r="N67" s="41">
        <f t="shared" ref="N67:N130" si="9">H67*I67</f>
        <v>449.95</v>
      </c>
      <c r="O67" s="40"/>
      <c r="P67" s="40"/>
      <c r="Q67" s="40"/>
      <c r="R67" s="40"/>
      <c r="S67" s="40"/>
      <c r="T67" s="40"/>
      <c r="U67" s="18">
        <f t="shared" ref="U67:U130" si="10">SUMIFS($N:$N,$D:$D,D67)</f>
        <v>10649.8</v>
      </c>
      <c r="V67" s="38" t="str">
        <f t="shared" ref="V67:V130" si="11">IF(U67&gt;10000,"High Value","Normal")</f>
        <v>High Value</v>
      </c>
      <c r="W67" s="18">
        <f t="shared" ref="W67:W130" si="12">COUNTIF($E$2:$E$500, E67)</f>
        <v>34</v>
      </c>
      <c r="X67" s="40"/>
      <c r="Y67" s="40"/>
      <c r="Z67" s="18">
        <f t="shared" ref="Z67:Z130" si="13">COUNTIF($D:$D, D67)</f>
        <v>5</v>
      </c>
      <c r="AA67" s="18" t="str">
        <f t="shared" ref="AA67:AA130" si="14">IF(Z67&gt;1,"Repeat","Unique")</f>
        <v>Repeat</v>
      </c>
      <c r="AB67" s="18" t="str">
        <f t="shared" ref="AB67:AB130" si="15">IF($AA67="Repeat",D67,"")</f>
        <v>Barbara Young</v>
      </c>
      <c r="AC67" s="18" t="str">
        <f t="shared" ref="AC67:AC130" si="16">LEFT(D67,1) &amp; MID(D67,FIND(" ",D67)+1,1)</f>
        <v>BY</v>
      </c>
      <c r="AD67" s="18" t="str">
        <f t="shared" ref="AD67:AD130" si="17">LOWER(LEFT(D67,1) &amp; MID(D67,FIND(" ",D67)+1,100) &amp; "@gmail.com")</f>
        <v>byoung@gmail.com</v>
      </c>
    </row>
    <row r="68" spans="1:30" x14ac:dyDescent="0.3">
      <c r="A68" s="41" t="s">
        <v>189</v>
      </c>
      <c r="B68" s="42">
        <v>45482</v>
      </c>
      <c r="C68" s="41" t="s">
        <v>171</v>
      </c>
      <c r="D68" s="41" t="s">
        <v>172</v>
      </c>
      <c r="E68" s="41" t="s">
        <v>31</v>
      </c>
      <c r="F68" s="41" t="s">
        <v>32</v>
      </c>
      <c r="G68" s="41" t="s">
        <v>33</v>
      </c>
      <c r="H68" s="41">
        <v>4</v>
      </c>
      <c r="I68" s="41">
        <v>59.99</v>
      </c>
      <c r="J68" s="41" t="s">
        <v>20</v>
      </c>
      <c r="K68" s="41" t="s">
        <v>35</v>
      </c>
      <c r="L68" s="41" t="s">
        <v>36</v>
      </c>
      <c r="M68" s="42">
        <v>44509</v>
      </c>
      <c r="N68" s="41">
        <f t="shared" si="9"/>
        <v>239.96</v>
      </c>
      <c r="O68" s="40"/>
      <c r="P68" s="40"/>
      <c r="Q68" s="40"/>
      <c r="R68" s="40"/>
      <c r="S68" s="40"/>
      <c r="T68" s="40"/>
      <c r="U68" s="18">
        <f t="shared" si="10"/>
        <v>3669.85</v>
      </c>
      <c r="V68" s="38" t="str">
        <f t="shared" si="11"/>
        <v>Normal</v>
      </c>
      <c r="W68" s="18">
        <f t="shared" si="12"/>
        <v>29</v>
      </c>
      <c r="X68" s="40"/>
      <c r="Y68" s="40"/>
      <c r="Z68" s="18">
        <f t="shared" si="13"/>
        <v>4</v>
      </c>
      <c r="AA68" s="18" t="str">
        <f t="shared" si="14"/>
        <v>Repeat</v>
      </c>
      <c r="AB68" s="18" t="str">
        <f t="shared" si="15"/>
        <v>Raymond Ross</v>
      </c>
      <c r="AC68" s="18" t="str">
        <f t="shared" si="16"/>
        <v>RR</v>
      </c>
      <c r="AD68" s="18" t="str">
        <f t="shared" si="17"/>
        <v>rross@gmail.com</v>
      </c>
    </row>
    <row r="69" spans="1:30" x14ac:dyDescent="0.3">
      <c r="A69" s="41" t="s">
        <v>190</v>
      </c>
      <c r="B69" s="42">
        <v>45484</v>
      </c>
      <c r="C69" s="41" t="s">
        <v>24</v>
      </c>
      <c r="D69" s="41" t="s">
        <v>25</v>
      </c>
      <c r="E69" s="41" t="s">
        <v>52</v>
      </c>
      <c r="F69" s="41" t="s">
        <v>53</v>
      </c>
      <c r="G69" s="41" t="s">
        <v>19</v>
      </c>
      <c r="H69" s="41">
        <v>1</v>
      </c>
      <c r="I69" s="41">
        <v>149.99</v>
      </c>
      <c r="J69" s="41" t="s">
        <v>20</v>
      </c>
      <c r="K69" s="41" t="s">
        <v>21</v>
      </c>
      <c r="L69" s="41" t="s">
        <v>36</v>
      </c>
      <c r="M69" s="42">
        <v>44909</v>
      </c>
      <c r="N69" s="41">
        <f t="shared" si="9"/>
        <v>149.99</v>
      </c>
      <c r="O69" s="40"/>
      <c r="P69" s="40"/>
      <c r="Q69" s="40"/>
      <c r="R69" s="40"/>
      <c r="S69" s="40"/>
      <c r="T69" s="40"/>
      <c r="U69" s="18">
        <f t="shared" si="10"/>
        <v>6949.84</v>
      </c>
      <c r="V69" s="38" t="str">
        <f t="shared" si="11"/>
        <v>Normal</v>
      </c>
      <c r="W69" s="18">
        <f t="shared" si="12"/>
        <v>16</v>
      </c>
      <c r="X69" s="40"/>
      <c r="Y69" s="40"/>
      <c r="Z69" s="18">
        <f t="shared" si="13"/>
        <v>5</v>
      </c>
      <c r="AA69" s="18" t="str">
        <f t="shared" si="14"/>
        <v>Repeat</v>
      </c>
      <c r="AB69" s="18" t="str">
        <f t="shared" si="15"/>
        <v>Joseph Jackson</v>
      </c>
      <c r="AC69" s="18" t="str">
        <f t="shared" si="16"/>
        <v>JJ</v>
      </c>
      <c r="AD69" s="18" t="str">
        <f t="shared" si="17"/>
        <v>jjackson@gmail.com</v>
      </c>
    </row>
    <row r="70" spans="1:30" x14ac:dyDescent="0.3">
      <c r="A70" s="41" t="s">
        <v>191</v>
      </c>
      <c r="B70" s="42">
        <v>45484</v>
      </c>
      <c r="C70" s="41" t="s">
        <v>192</v>
      </c>
      <c r="D70" s="41" t="s">
        <v>193</v>
      </c>
      <c r="E70" s="41" t="s">
        <v>105</v>
      </c>
      <c r="F70" s="41" t="s">
        <v>106</v>
      </c>
      <c r="G70" s="41" t="s">
        <v>46</v>
      </c>
      <c r="H70" s="41">
        <v>1</v>
      </c>
      <c r="I70" s="41">
        <v>299.99</v>
      </c>
      <c r="J70" s="41" t="s">
        <v>26</v>
      </c>
      <c r="K70" s="41" t="s">
        <v>40</v>
      </c>
      <c r="L70" s="41" t="s">
        <v>27</v>
      </c>
      <c r="M70" s="42">
        <v>44891</v>
      </c>
      <c r="N70" s="41">
        <f t="shared" si="9"/>
        <v>299.99</v>
      </c>
      <c r="O70" s="40"/>
      <c r="P70" s="40"/>
      <c r="Q70" s="40"/>
      <c r="R70" s="40"/>
      <c r="S70" s="40"/>
      <c r="T70" s="40"/>
      <c r="U70" s="18">
        <f t="shared" si="10"/>
        <v>1479.91</v>
      </c>
      <c r="V70" s="38" t="str">
        <f t="shared" si="11"/>
        <v>Normal</v>
      </c>
      <c r="W70" s="18">
        <f t="shared" si="12"/>
        <v>26</v>
      </c>
      <c r="X70" s="40"/>
      <c r="Y70" s="40"/>
      <c r="Z70" s="18">
        <f t="shared" si="13"/>
        <v>5</v>
      </c>
      <c r="AA70" s="18" t="str">
        <f t="shared" si="14"/>
        <v>Repeat</v>
      </c>
      <c r="AB70" s="18" t="str">
        <f t="shared" si="15"/>
        <v>Frank Torres</v>
      </c>
      <c r="AC70" s="18" t="str">
        <f t="shared" si="16"/>
        <v>FT</v>
      </c>
      <c r="AD70" s="18" t="str">
        <f t="shared" si="17"/>
        <v>ftorres@gmail.com</v>
      </c>
    </row>
    <row r="71" spans="1:30" x14ac:dyDescent="0.3">
      <c r="A71" s="41" t="s">
        <v>194</v>
      </c>
      <c r="B71" s="42">
        <v>45487</v>
      </c>
      <c r="C71" s="41" t="s">
        <v>192</v>
      </c>
      <c r="D71" s="41" t="s">
        <v>193</v>
      </c>
      <c r="E71" s="41" t="s">
        <v>126</v>
      </c>
      <c r="F71" s="41" t="s">
        <v>127</v>
      </c>
      <c r="G71" s="41" t="s">
        <v>46</v>
      </c>
      <c r="H71" s="41">
        <v>2</v>
      </c>
      <c r="I71" s="41">
        <v>199.99</v>
      </c>
      <c r="J71" s="41" t="s">
        <v>20</v>
      </c>
      <c r="K71" s="41" t="s">
        <v>40</v>
      </c>
      <c r="L71" s="41" t="s">
        <v>22</v>
      </c>
      <c r="M71" s="42">
        <v>44541</v>
      </c>
      <c r="N71" s="41">
        <f t="shared" si="9"/>
        <v>399.98</v>
      </c>
      <c r="O71" s="40"/>
      <c r="P71" s="40"/>
      <c r="Q71" s="40"/>
      <c r="R71" s="40"/>
      <c r="S71" s="40"/>
      <c r="T71" s="40"/>
      <c r="U71" s="18">
        <f t="shared" si="10"/>
        <v>1479.91</v>
      </c>
      <c r="V71" s="38" t="str">
        <f t="shared" si="11"/>
        <v>Normal</v>
      </c>
      <c r="W71" s="18">
        <f t="shared" si="12"/>
        <v>15</v>
      </c>
      <c r="X71" s="40"/>
      <c r="Y71" s="40"/>
      <c r="Z71" s="18">
        <f t="shared" si="13"/>
        <v>5</v>
      </c>
      <c r="AA71" s="18" t="str">
        <f t="shared" si="14"/>
        <v>Repeat</v>
      </c>
      <c r="AB71" s="18" t="str">
        <f t="shared" si="15"/>
        <v>Frank Torres</v>
      </c>
      <c r="AC71" s="18" t="str">
        <f t="shared" si="16"/>
        <v>FT</v>
      </c>
      <c r="AD71" s="18" t="str">
        <f t="shared" si="17"/>
        <v>ftorres@gmail.com</v>
      </c>
    </row>
    <row r="72" spans="1:30" x14ac:dyDescent="0.3">
      <c r="A72" s="41" t="s">
        <v>195</v>
      </c>
      <c r="B72" s="42">
        <v>45490</v>
      </c>
      <c r="C72" s="41" t="s">
        <v>196</v>
      </c>
      <c r="D72" s="41" t="s">
        <v>197</v>
      </c>
      <c r="E72" s="41" t="s">
        <v>31</v>
      </c>
      <c r="F72" s="41" t="s">
        <v>32</v>
      </c>
      <c r="G72" s="41" t="s">
        <v>33</v>
      </c>
      <c r="H72" s="41">
        <v>3</v>
      </c>
      <c r="I72" s="41">
        <v>59.99</v>
      </c>
      <c r="J72" s="41" t="s">
        <v>26</v>
      </c>
      <c r="K72" s="41" t="s">
        <v>50</v>
      </c>
      <c r="L72" s="41" t="s">
        <v>22</v>
      </c>
      <c r="M72" s="42">
        <v>45130</v>
      </c>
      <c r="N72" s="41">
        <f t="shared" si="9"/>
        <v>179.97</v>
      </c>
      <c r="O72" s="40"/>
      <c r="P72" s="40"/>
      <c r="Q72" s="40"/>
      <c r="R72" s="40"/>
      <c r="S72" s="40"/>
      <c r="T72" s="40"/>
      <c r="U72" s="18">
        <f t="shared" si="10"/>
        <v>6379.87</v>
      </c>
      <c r="V72" s="38" t="str">
        <f t="shared" si="11"/>
        <v>Normal</v>
      </c>
      <c r="W72" s="18">
        <f t="shared" si="12"/>
        <v>29</v>
      </c>
      <c r="X72" s="40"/>
      <c r="Y72" s="40"/>
      <c r="Z72" s="18">
        <f t="shared" si="13"/>
        <v>4</v>
      </c>
      <c r="AA72" s="18" t="str">
        <f t="shared" si="14"/>
        <v>Repeat</v>
      </c>
      <c r="AB72" s="18" t="str">
        <f t="shared" si="15"/>
        <v>Gerald Murphy</v>
      </c>
      <c r="AC72" s="18" t="str">
        <f t="shared" si="16"/>
        <v>GM</v>
      </c>
      <c r="AD72" s="18" t="str">
        <f t="shared" si="17"/>
        <v>gmurphy@gmail.com</v>
      </c>
    </row>
    <row r="73" spans="1:30" x14ac:dyDescent="0.3">
      <c r="A73" s="41" t="s">
        <v>198</v>
      </c>
      <c r="B73" s="42">
        <v>45490</v>
      </c>
      <c r="C73" s="41" t="s">
        <v>72</v>
      </c>
      <c r="D73" s="41" t="s">
        <v>73</v>
      </c>
      <c r="E73" s="41" t="s">
        <v>44</v>
      </c>
      <c r="F73" s="41" t="s">
        <v>45</v>
      </c>
      <c r="G73" s="41" t="s">
        <v>46</v>
      </c>
      <c r="H73" s="41">
        <v>3</v>
      </c>
      <c r="I73" s="41">
        <v>149.99</v>
      </c>
      <c r="J73" s="41" t="s">
        <v>20</v>
      </c>
      <c r="K73" s="41" t="s">
        <v>21</v>
      </c>
      <c r="L73" s="41" t="s">
        <v>27</v>
      </c>
      <c r="M73" s="42">
        <v>45199</v>
      </c>
      <c r="N73" s="41">
        <f t="shared" si="9"/>
        <v>449.97</v>
      </c>
      <c r="O73" s="40"/>
      <c r="P73" s="40"/>
      <c r="Q73" s="40"/>
      <c r="R73" s="40"/>
      <c r="S73" s="40"/>
      <c r="T73" s="40"/>
      <c r="U73" s="18">
        <f t="shared" si="10"/>
        <v>5949.85</v>
      </c>
      <c r="V73" s="38" t="str">
        <f t="shared" si="11"/>
        <v>Normal</v>
      </c>
      <c r="W73" s="18">
        <f t="shared" si="12"/>
        <v>35</v>
      </c>
      <c r="X73" s="40"/>
      <c r="Y73" s="40"/>
      <c r="Z73" s="18">
        <f t="shared" si="13"/>
        <v>5</v>
      </c>
      <c r="AA73" s="18" t="str">
        <f t="shared" si="14"/>
        <v>Repeat</v>
      </c>
      <c r="AB73" s="18" t="str">
        <f t="shared" si="15"/>
        <v>Peter Richardson</v>
      </c>
      <c r="AC73" s="18" t="str">
        <f t="shared" si="16"/>
        <v>PR</v>
      </c>
      <c r="AD73" s="18" t="str">
        <f t="shared" si="17"/>
        <v>prichardson@gmail.com</v>
      </c>
    </row>
    <row r="74" spans="1:30" x14ac:dyDescent="0.3">
      <c r="A74" s="41" t="s">
        <v>199</v>
      </c>
      <c r="B74" s="42">
        <v>45491</v>
      </c>
      <c r="C74" s="41" t="s">
        <v>65</v>
      </c>
      <c r="D74" s="41" t="s">
        <v>66</v>
      </c>
      <c r="E74" s="41" t="s">
        <v>126</v>
      </c>
      <c r="F74" s="41" t="s">
        <v>127</v>
      </c>
      <c r="G74" s="41" t="s">
        <v>46</v>
      </c>
      <c r="H74" s="41">
        <v>3</v>
      </c>
      <c r="I74" s="41">
        <v>199.99</v>
      </c>
      <c r="J74" s="41" t="s">
        <v>20</v>
      </c>
      <c r="K74" s="41" t="s">
        <v>40</v>
      </c>
      <c r="L74" s="41" t="s">
        <v>27</v>
      </c>
      <c r="M74" s="42">
        <v>45254</v>
      </c>
      <c r="N74" s="41">
        <f t="shared" si="9"/>
        <v>599.97</v>
      </c>
      <c r="O74" s="40"/>
      <c r="P74" s="40"/>
      <c r="Q74" s="40"/>
      <c r="R74" s="40"/>
      <c r="S74" s="40"/>
      <c r="T74" s="40"/>
      <c r="U74" s="18">
        <f t="shared" si="10"/>
        <v>8009.7699999999995</v>
      </c>
      <c r="V74" s="38" t="str">
        <f t="shared" si="11"/>
        <v>Normal</v>
      </c>
      <c r="W74" s="18">
        <f t="shared" si="12"/>
        <v>15</v>
      </c>
      <c r="X74" s="40"/>
      <c r="Y74" s="40"/>
      <c r="Z74" s="18">
        <f t="shared" si="13"/>
        <v>8</v>
      </c>
      <c r="AA74" s="18" t="str">
        <f t="shared" si="14"/>
        <v>Repeat</v>
      </c>
      <c r="AB74" s="18" t="str">
        <f t="shared" si="15"/>
        <v>Karen Hill</v>
      </c>
      <c r="AC74" s="18" t="str">
        <f t="shared" si="16"/>
        <v>KH</v>
      </c>
      <c r="AD74" s="18" t="str">
        <f t="shared" si="17"/>
        <v>khill@gmail.com</v>
      </c>
    </row>
    <row r="75" spans="1:30" x14ac:dyDescent="0.3">
      <c r="A75" s="41" t="s">
        <v>200</v>
      </c>
      <c r="B75" s="42">
        <v>45496</v>
      </c>
      <c r="C75" s="41" t="s">
        <v>150</v>
      </c>
      <c r="D75" s="41" t="s">
        <v>151</v>
      </c>
      <c r="E75" s="41" t="s">
        <v>61</v>
      </c>
      <c r="F75" s="41" t="s">
        <v>62</v>
      </c>
      <c r="G75" s="41" t="s">
        <v>19</v>
      </c>
      <c r="H75" s="41">
        <v>1</v>
      </c>
      <c r="I75" s="41">
        <v>899.99</v>
      </c>
      <c r="J75" s="41" t="s">
        <v>20</v>
      </c>
      <c r="K75" s="41" t="s">
        <v>21</v>
      </c>
      <c r="L75" s="41" t="s">
        <v>36</v>
      </c>
      <c r="M75" s="42">
        <v>45179</v>
      </c>
      <c r="N75" s="41">
        <f t="shared" si="9"/>
        <v>899.99</v>
      </c>
      <c r="O75" s="40"/>
      <c r="P75" s="40"/>
      <c r="Q75" s="40"/>
      <c r="R75" s="40"/>
      <c r="S75" s="40"/>
      <c r="T75" s="40"/>
      <c r="U75" s="18">
        <f t="shared" si="10"/>
        <v>5619.87</v>
      </c>
      <c r="V75" s="38" t="str">
        <f t="shared" si="11"/>
        <v>Normal</v>
      </c>
      <c r="W75" s="18">
        <f t="shared" si="12"/>
        <v>24</v>
      </c>
      <c r="X75" s="40"/>
      <c r="Y75" s="40"/>
      <c r="Z75" s="18">
        <f t="shared" si="13"/>
        <v>6</v>
      </c>
      <c r="AA75" s="18" t="str">
        <f t="shared" si="14"/>
        <v>Repeat</v>
      </c>
      <c r="AB75" s="18" t="str">
        <f t="shared" si="15"/>
        <v>Sharon Butler</v>
      </c>
      <c r="AC75" s="18" t="str">
        <f t="shared" si="16"/>
        <v>SB</v>
      </c>
      <c r="AD75" s="18" t="str">
        <f t="shared" si="17"/>
        <v>sbutler@gmail.com</v>
      </c>
    </row>
    <row r="76" spans="1:30" x14ac:dyDescent="0.3">
      <c r="A76" s="41" t="s">
        <v>201</v>
      </c>
      <c r="B76" s="42">
        <v>45497</v>
      </c>
      <c r="C76" s="41" t="s">
        <v>24</v>
      </c>
      <c r="D76" s="41" t="s">
        <v>25</v>
      </c>
      <c r="E76" s="41" t="s">
        <v>61</v>
      </c>
      <c r="F76" s="41" t="s">
        <v>62</v>
      </c>
      <c r="G76" s="41" t="s">
        <v>19</v>
      </c>
      <c r="H76" s="41">
        <v>5</v>
      </c>
      <c r="I76" s="41">
        <v>899.99</v>
      </c>
      <c r="J76" s="41" t="s">
        <v>57</v>
      </c>
      <c r="K76" s="41" t="s">
        <v>35</v>
      </c>
      <c r="L76" s="41" t="s">
        <v>36</v>
      </c>
      <c r="M76" s="42">
        <v>44899</v>
      </c>
      <c r="N76" s="41">
        <f t="shared" si="9"/>
        <v>4499.95</v>
      </c>
      <c r="O76" s="40"/>
      <c r="P76" s="40"/>
      <c r="Q76" s="40"/>
      <c r="R76" s="40"/>
      <c r="S76" s="40"/>
      <c r="T76" s="40"/>
      <c r="U76" s="18">
        <f t="shared" si="10"/>
        <v>6949.84</v>
      </c>
      <c r="V76" s="38" t="str">
        <f t="shared" si="11"/>
        <v>Normal</v>
      </c>
      <c r="W76" s="18">
        <f t="shared" si="12"/>
        <v>24</v>
      </c>
      <c r="X76" s="40"/>
      <c r="Y76" s="40"/>
      <c r="Z76" s="18">
        <f t="shared" si="13"/>
        <v>5</v>
      </c>
      <c r="AA76" s="18" t="str">
        <f t="shared" si="14"/>
        <v>Repeat</v>
      </c>
      <c r="AB76" s="18" t="str">
        <f t="shared" si="15"/>
        <v>Joseph Jackson</v>
      </c>
      <c r="AC76" s="18" t="str">
        <f t="shared" si="16"/>
        <v>JJ</v>
      </c>
      <c r="AD76" s="18" t="str">
        <f t="shared" si="17"/>
        <v>jjackson@gmail.com</v>
      </c>
    </row>
    <row r="77" spans="1:30" x14ac:dyDescent="0.3">
      <c r="A77" s="41" t="s">
        <v>202</v>
      </c>
      <c r="B77" s="42">
        <v>45498</v>
      </c>
      <c r="C77" s="41" t="s">
        <v>182</v>
      </c>
      <c r="D77" s="41" t="s">
        <v>183</v>
      </c>
      <c r="E77" s="41" t="s">
        <v>31</v>
      </c>
      <c r="F77" s="41" t="s">
        <v>32</v>
      </c>
      <c r="G77" s="41" t="s">
        <v>33</v>
      </c>
      <c r="H77" s="41">
        <v>2</v>
      </c>
      <c r="I77" s="41">
        <v>59.99</v>
      </c>
      <c r="J77" s="41" t="s">
        <v>20</v>
      </c>
      <c r="K77" s="41" t="s">
        <v>40</v>
      </c>
      <c r="L77" s="41" t="s">
        <v>36</v>
      </c>
      <c r="M77" s="42">
        <v>45152</v>
      </c>
      <c r="N77" s="41">
        <f t="shared" si="9"/>
        <v>119.98</v>
      </c>
      <c r="O77" s="40"/>
      <c r="P77" s="40"/>
      <c r="Q77" s="40"/>
      <c r="R77" s="40"/>
      <c r="S77" s="40"/>
      <c r="T77" s="40"/>
      <c r="U77" s="18">
        <f t="shared" si="10"/>
        <v>1809.84</v>
      </c>
      <c r="V77" s="38" t="str">
        <f t="shared" si="11"/>
        <v>Normal</v>
      </c>
      <c r="W77" s="18">
        <f t="shared" si="12"/>
        <v>29</v>
      </c>
      <c r="X77" s="40"/>
      <c r="Y77" s="40"/>
      <c r="Z77" s="18">
        <f t="shared" si="13"/>
        <v>6</v>
      </c>
      <c r="AA77" s="18" t="str">
        <f t="shared" si="14"/>
        <v>Repeat</v>
      </c>
      <c r="AB77" s="18" t="str">
        <f t="shared" si="15"/>
        <v>David Martinez</v>
      </c>
      <c r="AC77" s="18" t="str">
        <f t="shared" si="16"/>
        <v>DM</v>
      </c>
      <c r="AD77" s="18" t="str">
        <f t="shared" si="17"/>
        <v>dmartinez@gmail.com</v>
      </c>
    </row>
    <row r="78" spans="1:30" x14ac:dyDescent="0.3">
      <c r="A78" s="41" t="s">
        <v>203</v>
      </c>
      <c r="B78" s="42">
        <v>45498</v>
      </c>
      <c r="C78" s="41" t="s">
        <v>196</v>
      </c>
      <c r="D78" s="41" t="s">
        <v>197</v>
      </c>
      <c r="E78" s="41" t="s">
        <v>17</v>
      </c>
      <c r="F78" s="41" t="s">
        <v>18</v>
      </c>
      <c r="G78" s="41" t="s">
        <v>19</v>
      </c>
      <c r="H78" s="41">
        <v>4</v>
      </c>
      <c r="I78" s="41">
        <v>249.99</v>
      </c>
      <c r="J78" s="41" t="s">
        <v>57</v>
      </c>
      <c r="K78" s="41" t="s">
        <v>21</v>
      </c>
      <c r="L78" s="41" t="s">
        <v>36</v>
      </c>
      <c r="M78" s="42">
        <v>45127</v>
      </c>
      <c r="N78" s="41">
        <f t="shared" si="9"/>
        <v>999.96</v>
      </c>
      <c r="O78" s="40"/>
      <c r="P78" s="40"/>
      <c r="Q78" s="40"/>
      <c r="R78" s="40"/>
      <c r="S78" s="40"/>
      <c r="T78" s="40"/>
      <c r="U78" s="18">
        <f t="shared" si="10"/>
        <v>6379.87</v>
      </c>
      <c r="V78" s="38" t="str">
        <f t="shared" si="11"/>
        <v>Normal</v>
      </c>
      <c r="W78" s="18">
        <f t="shared" si="12"/>
        <v>26</v>
      </c>
      <c r="X78" s="40"/>
      <c r="Y78" s="40"/>
      <c r="Z78" s="18">
        <f t="shared" si="13"/>
        <v>4</v>
      </c>
      <c r="AA78" s="18" t="str">
        <f t="shared" si="14"/>
        <v>Repeat</v>
      </c>
      <c r="AB78" s="18" t="str">
        <f t="shared" si="15"/>
        <v>Gerald Murphy</v>
      </c>
      <c r="AC78" s="18" t="str">
        <f t="shared" si="16"/>
        <v>GM</v>
      </c>
      <c r="AD78" s="18" t="str">
        <f t="shared" si="17"/>
        <v>gmurphy@gmail.com</v>
      </c>
    </row>
    <row r="79" spans="1:30" x14ac:dyDescent="0.3">
      <c r="A79" s="41" t="s">
        <v>204</v>
      </c>
      <c r="B79" s="42">
        <v>45500</v>
      </c>
      <c r="C79" s="41" t="s">
        <v>96</v>
      </c>
      <c r="D79" s="41" t="s">
        <v>97</v>
      </c>
      <c r="E79" s="41" t="s">
        <v>17</v>
      </c>
      <c r="F79" s="41" t="s">
        <v>18</v>
      </c>
      <c r="G79" s="41" t="s">
        <v>19</v>
      </c>
      <c r="H79" s="41">
        <v>2</v>
      </c>
      <c r="I79" s="41">
        <v>249.99</v>
      </c>
      <c r="J79" s="41" t="s">
        <v>20</v>
      </c>
      <c r="K79" s="41" t="s">
        <v>40</v>
      </c>
      <c r="L79" s="41" t="s">
        <v>27</v>
      </c>
      <c r="M79" s="42">
        <v>45164</v>
      </c>
      <c r="N79" s="41">
        <f t="shared" si="9"/>
        <v>499.98</v>
      </c>
      <c r="O79" s="40"/>
      <c r="P79" s="40"/>
      <c r="Q79" s="40"/>
      <c r="R79" s="40"/>
      <c r="S79" s="40"/>
      <c r="T79" s="40"/>
      <c r="U79" s="18">
        <f t="shared" si="10"/>
        <v>10649.8</v>
      </c>
      <c r="V79" s="38" t="str">
        <f t="shared" si="11"/>
        <v>High Value</v>
      </c>
      <c r="W79" s="18">
        <f t="shared" si="12"/>
        <v>26</v>
      </c>
      <c r="X79" s="40"/>
      <c r="Y79" s="40"/>
      <c r="Z79" s="18">
        <f t="shared" si="13"/>
        <v>5</v>
      </c>
      <c r="AA79" s="18" t="str">
        <f t="shared" si="14"/>
        <v>Repeat</v>
      </c>
      <c r="AB79" s="18" t="str">
        <f t="shared" si="15"/>
        <v>Barbara Young</v>
      </c>
      <c r="AC79" s="18" t="str">
        <f t="shared" si="16"/>
        <v>BY</v>
      </c>
      <c r="AD79" s="18" t="str">
        <f t="shared" si="17"/>
        <v>byoung@gmail.com</v>
      </c>
    </row>
    <row r="80" spans="1:30" x14ac:dyDescent="0.3">
      <c r="A80" s="41" t="s">
        <v>205</v>
      </c>
      <c r="B80" s="42">
        <v>45500</v>
      </c>
      <c r="C80" s="41" t="s">
        <v>147</v>
      </c>
      <c r="D80" s="41" t="s">
        <v>148</v>
      </c>
      <c r="E80" s="41" t="s">
        <v>105</v>
      </c>
      <c r="F80" s="41" t="s">
        <v>106</v>
      </c>
      <c r="G80" s="41" t="s">
        <v>46</v>
      </c>
      <c r="H80" s="41">
        <v>1</v>
      </c>
      <c r="I80" s="41">
        <v>299.99</v>
      </c>
      <c r="J80" s="41" t="s">
        <v>20</v>
      </c>
      <c r="K80" s="41" t="s">
        <v>35</v>
      </c>
      <c r="L80" s="41" t="s">
        <v>22</v>
      </c>
      <c r="M80" s="42">
        <v>44982</v>
      </c>
      <c r="N80" s="41">
        <f t="shared" si="9"/>
        <v>299.99</v>
      </c>
      <c r="O80" s="40"/>
      <c r="P80" s="40"/>
      <c r="Q80" s="40"/>
      <c r="R80" s="40"/>
      <c r="S80" s="40"/>
      <c r="T80" s="40"/>
      <c r="U80" s="18">
        <f t="shared" si="10"/>
        <v>7309.7999999999993</v>
      </c>
      <c r="V80" s="38" t="str">
        <f t="shared" si="11"/>
        <v>Normal</v>
      </c>
      <c r="W80" s="18">
        <f t="shared" si="12"/>
        <v>26</v>
      </c>
      <c r="X80" s="40"/>
      <c r="Y80" s="40"/>
      <c r="Z80" s="18">
        <f t="shared" si="13"/>
        <v>7</v>
      </c>
      <c r="AA80" s="18" t="str">
        <f t="shared" si="14"/>
        <v>Repeat</v>
      </c>
      <c r="AB80" s="18" t="str">
        <f t="shared" si="15"/>
        <v>Daniel King</v>
      </c>
      <c r="AC80" s="18" t="str">
        <f t="shared" si="16"/>
        <v>DK</v>
      </c>
      <c r="AD80" s="18" t="str">
        <f t="shared" si="17"/>
        <v>dking@gmail.com</v>
      </c>
    </row>
    <row r="81" spans="1:30" x14ac:dyDescent="0.3">
      <c r="A81" s="41" t="s">
        <v>206</v>
      </c>
      <c r="B81" s="42">
        <v>45501</v>
      </c>
      <c r="C81" s="41" t="s">
        <v>86</v>
      </c>
      <c r="D81" s="41" t="s">
        <v>87</v>
      </c>
      <c r="E81" s="41" t="s">
        <v>117</v>
      </c>
      <c r="F81" s="41" t="s">
        <v>118</v>
      </c>
      <c r="G81" s="41" t="s">
        <v>19</v>
      </c>
      <c r="H81" s="41">
        <v>2</v>
      </c>
      <c r="I81" s="41">
        <v>89.99</v>
      </c>
      <c r="J81" s="41" t="s">
        <v>34</v>
      </c>
      <c r="K81" s="41" t="s">
        <v>35</v>
      </c>
      <c r="L81" s="41" t="s">
        <v>22</v>
      </c>
      <c r="M81" s="42">
        <v>44976</v>
      </c>
      <c r="N81" s="41">
        <f t="shared" si="9"/>
        <v>179.98</v>
      </c>
      <c r="O81" s="40"/>
      <c r="P81" s="40"/>
      <c r="Q81" s="40"/>
      <c r="R81" s="40"/>
      <c r="S81" s="40"/>
      <c r="T81" s="40"/>
      <c r="U81" s="18">
        <f t="shared" si="10"/>
        <v>15659.65</v>
      </c>
      <c r="V81" s="38" t="str">
        <f t="shared" si="11"/>
        <v>High Value</v>
      </c>
      <c r="W81" s="18">
        <f t="shared" si="12"/>
        <v>34</v>
      </c>
      <c r="X81" s="40"/>
      <c r="Y81" s="40"/>
      <c r="Z81" s="18">
        <f t="shared" si="13"/>
        <v>12</v>
      </c>
      <c r="AA81" s="18" t="str">
        <f t="shared" si="14"/>
        <v>Repeat</v>
      </c>
      <c r="AB81" s="18" t="str">
        <f t="shared" si="15"/>
        <v>Mark Carter</v>
      </c>
      <c r="AC81" s="18" t="str">
        <f t="shared" si="16"/>
        <v>MC</v>
      </c>
      <c r="AD81" s="18" t="str">
        <f t="shared" si="17"/>
        <v>mcarter@gmail.com</v>
      </c>
    </row>
    <row r="82" spans="1:30" x14ac:dyDescent="0.3">
      <c r="A82" s="41" t="s">
        <v>207</v>
      </c>
      <c r="B82" s="42">
        <v>45501</v>
      </c>
      <c r="C82" s="41" t="s">
        <v>147</v>
      </c>
      <c r="D82" s="41" t="s">
        <v>148</v>
      </c>
      <c r="E82" s="41" t="s">
        <v>105</v>
      </c>
      <c r="F82" s="41" t="s">
        <v>106</v>
      </c>
      <c r="G82" s="41" t="s">
        <v>46</v>
      </c>
      <c r="H82" s="41">
        <v>3</v>
      </c>
      <c r="I82" s="41">
        <v>299.99</v>
      </c>
      <c r="J82" s="41" t="s">
        <v>20</v>
      </c>
      <c r="K82" s="41" t="s">
        <v>21</v>
      </c>
      <c r="L82" s="41" t="s">
        <v>22</v>
      </c>
      <c r="M82" s="42">
        <v>44732</v>
      </c>
      <c r="N82" s="41">
        <f t="shared" si="9"/>
        <v>899.97</v>
      </c>
      <c r="O82" s="40"/>
      <c r="P82" s="40"/>
      <c r="Q82" s="40"/>
      <c r="R82" s="40"/>
      <c r="S82" s="40"/>
      <c r="T82" s="40"/>
      <c r="U82" s="18">
        <f t="shared" si="10"/>
        <v>7309.7999999999993</v>
      </c>
      <c r="V82" s="38" t="str">
        <f t="shared" si="11"/>
        <v>Normal</v>
      </c>
      <c r="W82" s="18">
        <f t="shared" si="12"/>
        <v>26</v>
      </c>
      <c r="X82" s="40"/>
      <c r="Y82" s="40"/>
      <c r="Z82" s="18">
        <f t="shared" si="13"/>
        <v>7</v>
      </c>
      <c r="AA82" s="18" t="str">
        <f t="shared" si="14"/>
        <v>Repeat</v>
      </c>
      <c r="AB82" s="18" t="str">
        <f t="shared" si="15"/>
        <v>Daniel King</v>
      </c>
      <c r="AC82" s="18" t="str">
        <f t="shared" si="16"/>
        <v>DK</v>
      </c>
      <c r="AD82" s="18" t="str">
        <f t="shared" si="17"/>
        <v>dking@gmail.com</v>
      </c>
    </row>
    <row r="83" spans="1:30" x14ac:dyDescent="0.3">
      <c r="A83" s="41" t="s">
        <v>208</v>
      </c>
      <c r="B83" s="42">
        <v>45503</v>
      </c>
      <c r="C83" s="41" t="s">
        <v>86</v>
      </c>
      <c r="D83" s="41" t="s">
        <v>87</v>
      </c>
      <c r="E83" s="41" t="s">
        <v>80</v>
      </c>
      <c r="F83" s="41" t="s">
        <v>81</v>
      </c>
      <c r="G83" s="41" t="s">
        <v>19</v>
      </c>
      <c r="H83" s="41">
        <v>2</v>
      </c>
      <c r="I83" s="41">
        <v>699.99</v>
      </c>
      <c r="J83" s="41" t="s">
        <v>26</v>
      </c>
      <c r="K83" s="41" t="s">
        <v>40</v>
      </c>
      <c r="L83" s="41" t="s">
        <v>27</v>
      </c>
      <c r="M83" s="42">
        <v>44999</v>
      </c>
      <c r="N83" s="41">
        <f t="shared" si="9"/>
        <v>1399.98</v>
      </c>
      <c r="O83" s="40"/>
      <c r="P83" s="40"/>
      <c r="Q83" s="40"/>
      <c r="R83" s="40"/>
      <c r="S83" s="40"/>
      <c r="T83" s="40"/>
      <c r="U83" s="18">
        <f t="shared" si="10"/>
        <v>15659.65</v>
      </c>
      <c r="V83" s="38" t="str">
        <f t="shared" si="11"/>
        <v>High Value</v>
      </c>
      <c r="W83" s="18">
        <f t="shared" si="12"/>
        <v>31</v>
      </c>
      <c r="X83" s="40"/>
      <c r="Y83" s="40"/>
      <c r="Z83" s="18">
        <f t="shared" si="13"/>
        <v>12</v>
      </c>
      <c r="AA83" s="18" t="str">
        <f t="shared" si="14"/>
        <v>Repeat</v>
      </c>
      <c r="AB83" s="18" t="str">
        <f t="shared" si="15"/>
        <v>Mark Carter</v>
      </c>
      <c r="AC83" s="18" t="str">
        <f t="shared" si="16"/>
        <v>MC</v>
      </c>
      <c r="AD83" s="18" t="str">
        <f t="shared" si="17"/>
        <v>mcarter@gmail.com</v>
      </c>
    </row>
    <row r="84" spans="1:30" x14ac:dyDescent="0.3">
      <c r="A84" s="41" t="s">
        <v>209</v>
      </c>
      <c r="B84" s="42">
        <v>45504</v>
      </c>
      <c r="C84" s="41" t="s">
        <v>120</v>
      </c>
      <c r="D84" s="41" t="s">
        <v>121</v>
      </c>
      <c r="E84" s="41" t="s">
        <v>61</v>
      </c>
      <c r="F84" s="41" t="s">
        <v>62</v>
      </c>
      <c r="G84" s="41" t="s">
        <v>19</v>
      </c>
      <c r="H84" s="41">
        <v>4</v>
      </c>
      <c r="I84" s="41">
        <v>899.99</v>
      </c>
      <c r="J84" s="41" t="s">
        <v>57</v>
      </c>
      <c r="K84" s="41" t="s">
        <v>35</v>
      </c>
      <c r="L84" s="41" t="s">
        <v>36</v>
      </c>
      <c r="M84" s="42">
        <v>44523</v>
      </c>
      <c r="N84" s="41">
        <f t="shared" si="9"/>
        <v>3599.96</v>
      </c>
      <c r="O84" s="40"/>
      <c r="P84" s="40"/>
      <c r="Q84" s="40"/>
      <c r="R84" s="40"/>
      <c r="S84" s="40"/>
      <c r="T84" s="40"/>
      <c r="U84" s="18">
        <f t="shared" si="10"/>
        <v>6459.79</v>
      </c>
      <c r="V84" s="38" t="str">
        <f t="shared" si="11"/>
        <v>Normal</v>
      </c>
      <c r="W84" s="18">
        <f t="shared" si="12"/>
        <v>24</v>
      </c>
      <c r="X84" s="40"/>
      <c r="Y84" s="40"/>
      <c r="Z84" s="18">
        <f t="shared" si="13"/>
        <v>7</v>
      </c>
      <c r="AA84" s="18" t="str">
        <f t="shared" si="14"/>
        <v>Repeat</v>
      </c>
      <c r="AB84" s="18" t="str">
        <f t="shared" si="15"/>
        <v>Helen Roberts</v>
      </c>
      <c r="AC84" s="18" t="str">
        <f t="shared" si="16"/>
        <v>HR</v>
      </c>
      <c r="AD84" s="18" t="str">
        <f t="shared" si="17"/>
        <v>hroberts@gmail.com</v>
      </c>
    </row>
    <row r="85" spans="1:30" x14ac:dyDescent="0.3">
      <c r="A85" s="41" t="s">
        <v>210</v>
      </c>
      <c r="B85" s="42">
        <v>45509</v>
      </c>
      <c r="C85" s="41" t="s">
        <v>211</v>
      </c>
      <c r="D85" s="41" t="s">
        <v>212</v>
      </c>
      <c r="E85" s="41" t="s">
        <v>44</v>
      </c>
      <c r="F85" s="41" t="s">
        <v>45</v>
      </c>
      <c r="G85" s="41" t="s">
        <v>46</v>
      </c>
      <c r="H85" s="41">
        <v>2</v>
      </c>
      <c r="I85" s="41">
        <v>149.99</v>
      </c>
      <c r="J85" s="41" t="s">
        <v>26</v>
      </c>
      <c r="K85" s="41" t="s">
        <v>50</v>
      </c>
      <c r="L85" s="41" t="s">
        <v>22</v>
      </c>
      <c r="M85" s="42">
        <v>44542</v>
      </c>
      <c r="N85" s="41">
        <f t="shared" si="9"/>
        <v>299.98</v>
      </c>
      <c r="O85" s="40"/>
      <c r="P85" s="40"/>
      <c r="Q85" s="40"/>
      <c r="R85" s="40"/>
      <c r="S85" s="40"/>
      <c r="T85" s="40"/>
      <c r="U85" s="18">
        <f t="shared" si="10"/>
        <v>3649.8599999999997</v>
      </c>
      <c r="V85" s="38" t="str">
        <f t="shared" si="11"/>
        <v>Normal</v>
      </c>
      <c r="W85" s="18">
        <f t="shared" si="12"/>
        <v>35</v>
      </c>
      <c r="X85" s="40"/>
      <c r="Y85" s="40"/>
      <c r="Z85" s="18">
        <f t="shared" si="13"/>
        <v>4</v>
      </c>
      <c r="AA85" s="18" t="str">
        <f t="shared" si="14"/>
        <v>Repeat</v>
      </c>
      <c r="AB85" s="18" t="str">
        <f t="shared" si="15"/>
        <v>Elizabeth Hall</v>
      </c>
      <c r="AC85" s="18" t="str">
        <f t="shared" si="16"/>
        <v>EH</v>
      </c>
      <c r="AD85" s="18" t="str">
        <f t="shared" si="17"/>
        <v>ehall@gmail.com</v>
      </c>
    </row>
    <row r="86" spans="1:30" x14ac:dyDescent="0.3">
      <c r="A86" s="41" t="s">
        <v>213</v>
      </c>
      <c r="B86" s="42">
        <v>45510</v>
      </c>
      <c r="C86" s="41" t="s">
        <v>102</v>
      </c>
      <c r="D86" s="41" t="s">
        <v>103</v>
      </c>
      <c r="E86" s="41" t="s">
        <v>44</v>
      </c>
      <c r="F86" s="41" t="s">
        <v>45</v>
      </c>
      <c r="G86" s="41" t="s">
        <v>46</v>
      </c>
      <c r="H86" s="41">
        <v>2</v>
      </c>
      <c r="I86" s="41">
        <v>149.99</v>
      </c>
      <c r="J86" s="41" t="s">
        <v>57</v>
      </c>
      <c r="K86" s="41" t="s">
        <v>63</v>
      </c>
      <c r="L86" s="41" t="s">
        <v>36</v>
      </c>
      <c r="M86" s="42">
        <v>44667</v>
      </c>
      <c r="N86" s="41">
        <f t="shared" si="9"/>
        <v>299.98</v>
      </c>
      <c r="O86" s="40"/>
      <c r="P86" s="40"/>
      <c r="Q86" s="40"/>
      <c r="R86" s="40"/>
      <c r="S86" s="40"/>
      <c r="T86" s="40"/>
      <c r="U86" s="18">
        <f t="shared" si="10"/>
        <v>3769.8300000000004</v>
      </c>
      <c r="V86" s="38" t="str">
        <f t="shared" si="11"/>
        <v>Normal</v>
      </c>
      <c r="W86" s="18">
        <f t="shared" si="12"/>
        <v>35</v>
      </c>
      <c r="X86" s="40"/>
      <c r="Y86" s="40"/>
      <c r="Z86" s="18">
        <f t="shared" si="13"/>
        <v>5</v>
      </c>
      <c r="AA86" s="18" t="str">
        <f t="shared" si="14"/>
        <v>Repeat</v>
      </c>
      <c r="AB86" s="18" t="str">
        <f t="shared" si="15"/>
        <v>Cynthia Price</v>
      </c>
      <c r="AC86" s="18" t="str">
        <f t="shared" si="16"/>
        <v>CP</v>
      </c>
      <c r="AD86" s="18" t="str">
        <f t="shared" si="17"/>
        <v>cprice@gmail.com</v>
      </c>
    </row>
    <row r="87" spans="1:30" x14ac:dyDescent="0.3">
      <c r="A87" s="41" t="s">
        <v>214</v>
      </c>
      <c r="B87" s="42">
        <v>45513</v>
      </c>
      <c r="C87" s="41" t="s">
        <v>89</v>
      </c>
      <c r="D87" s="41" t="s">
        <v>90</v>
      </c>
      <c r="E87" s="41" t="s">
        <v>117</v>
      </c>
      <c r="F87" s="41" t="s">
        <v>118</v>
      </c>
      <c r="G87" s="41" t="s">
        <v>19</v>
      </c>
      <c r="H87" s="41">
        <v>1</v>
      </c>
      <c r="I87" s="41">
        <v>89.99</v>
      </c>
      <c r="J87" s="41" t="s">
        <v>26</v>
      </c>
      <c r="K87" s="41" t="s">
        <v>40</v>
      </c>
      <c r="L87" s="41" t="s">
        <v>36</v>
      </c>
      <c r="M87" s="42">
        <v>45393</v>
      </c>
      <c r="N87" s="41">
        <f t="shared" si="9"/>
        <v>89.99</v>
      </c>
      <c r="O87" s="40"/>
      <c r="P87" s="40"/>
      <c r="Q87" s="40"/>
      <c r="R87" s="40"/>
      <c r="S87" s="40"/>
      <c r="T87" s="40"/>
      <c r="U87" s="18">
        <f t="shared" si="10"/>
        <v>1909.93</v>
      </c>
      <c r="V87" s="38" t="str">
        <f t="shared" si="11"/>
        <v>Normal</v>
      </c>
      <c r="W87" s="18">
        <f t="shared" si="12"/>
        <v>34</v>
      </c>
      <c r="X87" s="40"/>
      <c r="Y87" s="40"/>
      <c r="Z87" s="18">
        <f t="shared" si="13"/>
        <v>4</v>
      </c>
      <c r="AA87" s="18" t="str">
        <f t="shared" si="14"/>
        <v>Repeat</v>
      </c>
      <c r="AB87" s="18" t="str">
        <f t="shared" si="15"/>
        <v>Maria Garcia</v>
      </c>
      <c r="AC87" s="18" t="str">
        <f t="shared" si="16"/>
        <v>MG</v>
      </c>
      <c r="AD87" s="18" t="str">
        <f t="shared" si="17"/>
        <v>mgarcia@gmail.com</v>
      </c>
    </row>
    <row r="88" spans="1:30" x14ac:dyDescent="0.3">
      <c r="A88" s="41" t="s">
        <v>215</v>
      </c>
      <c r="B88" s="42">
        <v>45515</v>
      </c>
      <c r="C88" s="41" t="s">
        <v>86</v>
      </c>
      <c r="D88" s="41" t="s">
        <v>87</v>
      </c>
      <c r="E88" s="41" t="s">
        <v>105</v>
      </c>
      <c r="F88" s="41" t="s">
        <v>106</v>
      </c>
      <c r="G88" s="41" t="s">
        <v>46</v>
      </c>
      <c r="H88" s="41">
        <v>5</v>
      </c>
      <c r="I88" s="41">
        <v>299.99</v>
      </c>
      <c r="J88" s="41" t="s">
        <v>26</v>
      </c>
      <c r="K88" s="41" t="s">
        <v>40</v>
      </c>
      <c r="L88" s="41" t="s">
        <v>22</v>
      </c>
      <c r="M88" s="42">
        <v>44965</v>
      </c>
      <c r="N88" s="41">
        <f t="shared" si="9"/>
        <v>1499.95</v>
      </c>
      <c r="O88" s="40"/>
      <c r="P88" s="40"/>
      <c r="Q88" s="40"/>
      <c r="R88" s="40"/>
      <c r="S88" s="40"/>
      <c r="T88" s="40"/>
      <c r="U88" s="18">
        <f t="shared" si="10"/>
        <v>15659.65</v>
      </c>
      <c r="V88" s="38" t="str">
        <f t="shared" si="11"/>
        <v>High Value</v>
      </c>
      <c r="W88" s="18">
        <f t="shared" si="12"/>
        <v>26</v>
      </c>
      <c r="X88" s="40"/>
      <c r="Y88" s="40"/>
      <c r="Z88" s="18">
        <f t="shared" si="13"/>
        <v>12</v>
      </c>
      <c r="AA88" s="18" t="str">
        <f t="shared" si="14"/>
        <v>Repeat</v>
      </c>
      <c r="AB88" s="18" t="str">
        <f t="shared" si="15"/>
        <v>Mark Carter</v>
      </c>
      <c r="AC88" s="18" t="str">
        <f t="shared" si="16"/>
        <v>MC</v>
      </c>
      <c r="AD88" s="18" t="str">
        <f t="shared" si="17"/>
        <v>mcarter@gmail.com</v>
      </c>
    </row>
    <row r="89" spans="1:30" x14ac:dyDescent="0.3">
      <c r="A89" s="41" t="s">
        <v>216</v>
      </c>
      <c r="B89" s="42">
        <v>45517</v>
      </c>
      <c r="C89" s="41" t="s">
        <v>182</v>
      </c>
      <c r="D89" s="41" t="s">
        <v>183</v>
      </c>
      <c r="E89" s="41" t="s">
        <v>52</v>
      </c>
      <c r="F89" s="41" t="s">
        <v>53</v>
      </c>
      <c r="G89" s="41" t="s">
        <v>19</v>
      </c>
      <c r="H89" s="41">
        <v>4</v>
      </c>
      <c r="I89" s="41">
        <v>149.99</v>
      </c>
      <c r="J89" s="41" t="s">
        <v>57</v>
      </c>
      <c r="K89" s="41" t="s">
        <v>35</v>
      </c>
      <c r="L89" s="41" t="s">
        <v>27</v>
      </c>
      <c r="M89" s="42">
        <v>44820</v>
      </c>
      <c r="N89" s="41">
        <f t="shared" si="9"/>
        <v>599.96</v>
      </c>
      <c r="O89" s="40"/>
      <c r="P89" s="40"/>
      <c r="Q89" s="40"/>
      <c r="R89" s="40"/>
      <c r="S89" s="40"/>
      <c r="T89" s="40"/>
      <c r="U89" s="18">
        <f t="shared" si="10"/>
        <v>1809.84</v>
      </c>
      <c r="V89" s="38" t="str">
        <f t="shared" si="11"/>
        <v>Normal</v>
      </c>
      <c r="W89" s="18">
        <f t="shared" si="12"/>
        <v>16</v>
      </c>
      <c r="X89" s="40"/>
      <c r="Y89" s="40"/>
      <c r="Z89" s="18">
        <f t="shared" si="13"/>
        <v>6</v>
      </c>
      <c r="AA89" s="18" t="str">
        <f t="shared" si="14"/>
        <v>Repeat</v>
      </c>
      <c r="AB89" s="18" t="str">
        <f t="shared" si="15"/>
        <v>David Martinez</v>
      </c>
      <c r="AC89" s="18" t="str">
        <f t="shared" si="16"/>
        <v>DM</v>
      </c>
      <c r="AD89" s="18" t="str">
        <f t="shared" si="17"/>
        <v>dmartinez@gmail.com</v>
      </c>
    </row>
    <row r="90" spans="1:30" x14ac:dyDescent="0.3">
      <c r="A90" s="41" t="s">
        <v>217</v>
      </c>
      <c r="B90" s="42">
        <v>45517</v>
      </c>
      <c r="C90" s="41" t="s">
        <v>185</v>
      </c>
      <c r="D90" s="41" t="s">
        <v>186</v>
      </c>
      <c r="E90" s="41" t="s">
        <v>17</v>
      </c>
      <c r="F90" s="41" t="s">
        <v>18</v>
      </c>
      <c r="G90" s="41" t="s">
        <v>19</v>
      </c>
      <c r="H90" s="41">
        <v>5</v>
      </c>
      <c r="I90" s="41">
        <v>249.99</v>
      </c>
      <c r="J90" s="41" t="s">
        <v>34</v>
      </c>
      <c r="K90" s="41" t="s">
        <v>63</v>
      </c>
      <c r="L90" s="41" t="s">
        <v>27</v>
      </c>
      <c r="M90" s="42">
        <v>44782</v>
      </c>
      <c r="N90" s="41">
        <f t="shared" si="9"/>
        <v>1249.95</v>
      </c>
      <c r="O90" s="40"/>
      <c r="P90" s="40"/>
      <c r="Q90" s="40"/>
      <c r="R90" s="40"/>
      <c r="S90" s="40"/>
      <c r="T90" s="40"/>
      <c r="U90" s="18">
        <f t="shared" si="10"/>
        <v>2099.88</v>
      </c>
      <c r="V90" s="38" t="str">
        <f t="shared" si="11"/>
        <v>Normal</v>
      </c>
      <c r="W90" s="18">
        <f t="shared" si="12"/>
        <v>26</v>
      </c>
      <c r="X90" s="40"/>
      <c r="Y90" s="40"/>
      <c r="Z90" s="18">
        <f t="shared" si="13"/>
        <v>4</v>
      </c>
      <c r="AA90" s="18" t="str">
        <f t="shared" si="14"/>
        <v>Repeat</v>
      </c>
      <c r="AB90" s="18" t="str">
        <f t="shared" si="15"/>
        <v>Margaret Wright</v>
      </c>
      <c r="AC90" s="18" t="str">
        <f t="shared" si="16"/>
        <v>MW</v>
      </c>
      <c r="AD90" s="18" t="str">
        <f t="shared" si="17"/>
        <v>mwright@gmail.com</v>
      </c>
    </row>
    <row r="91" spans="1:30" x14ac:dyDescent="0.3">
      <c r="A91" s="41" t="s">
        <v>218</v>
      </c>
      <c r="B91" s="42">
        <v>45517</v>
      </c>
      <c r="C91" s="41" t="s">
        <v>65</v>
      </c>
      <c r="D91" s="41" t="s">
        <v>66</v>
      </c>
      <c r="E91" s="41" t="s">
        <v>17</v>
      </c>
      <c r="F91" s="41" t="s">
        <v>18</v>
      </c>
      <c r="G91" s="41" t="s">
        <v>19</v>
      </c>
      <c r="H91" s="41">
        <v>3</v>
      </c>
      <c r="I91" s="41">
        <v>249.99</v>
      </c>
      <c r="J91" s="41" t="s">
        <v>34</v>
      </c>
      <c r="K91" s="41" t="s">
        <v>40</v>
      </c>
      <c r="L91" s="41" t="s">
        <v>27</v>
      </c>
      <c r="M91" s="42">
        <v>44465</v>
      </c>
      <c r="N91" s="41">
        <f t="shared" si="9"/>
        <v>749.97</v>
      </c>
      <c r="O91" s="40"/>
      <c r="P91" s="40"/>
      <c r="Q91" s="40"/>
      <c r="R91" s="40"/>
      <c r="S91" s="40"/>
      <c r="T91" s="40"/>
      <c r="U91" s="18">
        <f t="shared" si="10"/>
        <v>8009.7699999999995</v>
      </c>
      <c r="V91" s="38" t="str">
        <f t="shared" si="11"/>
        <v>Normal</v>
      </c>
      <c r="W91" s="18">
        <f t="shared" si="12"/>
        <v>26</v>
      </c>
      <c r="X91" s="40"/>
      <c r="Y91" s="40"/>
      <c r="Z91" s="18">
        <f t="shared" si="13"/>
        <v>8</v>
      </c>
      <c r="AA91" s="18" t="str">
        <f t="shared" si="14"/>
        <v>Repeat</v>
      </c>
      <c r="AB91" s="18" t="str">
        <f t="shared" si="15"/>
        <v>Karen Hill</v>
      </c>
      <c r="AC91" s="18" t="str">
        <f t="shared" si="16"/>
        <v>KH</v>
      </c>
      <c r="AD91" s="18" t="str">
        <f t="shared" si="17"/>
        <v>khill@gmail.com</v>
      </c>
    </row>
    <row r="92" spans="1:30" ht="17.399999999999999" customHeight="1" x14ac:dyDescent="0.3">
      <c r="A92" s="41" t="s">
        <v>219</v>
      </c>
      <c r="B92" s="42">
        <v>45517</v>
      </c>
      <c r="C92" s="41" t="s">
        <v>38</v>
      </c>
      <c r="D92" s="41" t="s">
        <v>39</v>
      </c>
      <c r="E92" s="41" t="s">
        <v>126</v>
      </c>
      <c r="F92" s="41" t="s">
        <v>127</v>
      </c>
      <c r="G92" s="41" t="s">
        <v>46</v>
      </c>
      <c r="H92" s="41">
        <v>4</v>
      </c>
      <c r="I92" s="41">
        <v>199.99</v>
      </c>
      <c r="J92" s="41" t="s">
        <v>20</v>
      </c>
      <c r="K92" s="41" t="s">
        <v>40</v>
      </c>
      <c r="L92" s="41" t="s">
        <v>36</v>
      </c>
      <c r="M92" s="42">
        <v>44458</v>
      </c>
      <c r="N92" s="41">
        <f t="shared" si="9"/>
        <v>799.96</v>
      </c>
      <c r="O92" s="40"/>
      <c r="P92" s="40"/>
      <c r="Q92" s="40"/>
      <c r="R92" s="40"/>
      <c r="S92" s="40"/>
      <c r="T92" s="40"/>
      <c r="U92" s="18">
        <f t="shared" si="10"/>
        <v>4309.8100000000004</v>
      </c>
      <c r="V92" s="38" t="str">
        <f t="shared" si="11"/>
        <v>Normal</v>
      </c>
      <c r="W92" s="18">
        <f t="shared" si="12"/>
        <v>15</v>
      </c>
      <c r="X92" s="40"/>
      <c r="Y92" s="40"/>
      <c r="Z92" s="18">
        <f t="shared" si="13"/>
        <v>6</v>
      </c>
      <c r="AA92" s="18" t="str">
        <f t="shared" si="14"/>
        <v>Repeat</v>
      </c>
      <c r="AB92" s="18" t="str">
        <f t="shared" si="15"/>
        <v>Kathleen Bennett</v>
      </c>
      <c r="AC92" s="18" t="str">
        <f t="shared" si="16"/>
        <v>KB</v>
      </c>
      <c r="AD92" s="18" t="str">
        <f t="shared" si="17"/>
        <v>kbennett@gmail.com</v>
      </c>
    </row>
    <row r="93" spans="1:30" x14ac:dyDescent="0.3">
      <c r="A93" s="41" t="s">
        <v>220</v>
      </c>
      <c r="B93" s="42">
        <v>45519</v>
      </c>
      <c r="C93" s="41" t="s">
        <v>158</v>
      </c>
      <c r="D93" s="41" t="s">
        <v>159</v>
      </c>
      <c r="E93" s="41" t="s">
        <v>126</v>
      </c>
      <c r="F93" s="41" t="s">
        <v>127</v>
      </c>
      <c r="G93" s="41" t="s">
        <v>46</v>
      </c>
      <c r="H93" s="41">
        <v>5</v>
      </c>
      <c r="I93" s="41">
        <v>199.99</v>
      </c>
      <c r="J93" s="41" t="s">
        <v>20</v>
      </c>
      <c r="K93" s="41" t="s">
        <v>40</v>
      </c>
      <c r="L93" s="41" t="s">
        <v>27</v>
      </c>
      <c r="M93" s="42">
        <v>44991</v>
      </c>
      <c r="N93" s="41">
        <f t="shared" si="9"/>
        <v>999.95</v>
      </c>
      <c r="O93" s="40"/>
      <c r="P93" s="40"/>
      <c r="Q93" s="40"/>
      <c r="R93" s="40"/>
      <c r="S93" s="40"/>
      <c r="T93" s="40"/>
      <c r="U93" s="18">
        <f t="shared" si="10"/>
        <v>5649.84</v>
      </c>
      <c r="V93" s="38" t="str">
        <f t="shared" si="11"/>
        <v>Normal</v>
      </c>
      <c r="W93" s="18">
        <f t="shared" si="12"/>
        <v>15</v>
      </c>
      <c r="X93" s="40"/>
      <c r="Y93" s="40"/>
      <c r="Z93" s="18">
        <f t="shared" si="13"/>
        <v>5</v>
      </c>
      <c r="AA93" s="18" t="str">
        <f t="shared" si="14"/>
        <v>Repeat</v>
      </c>
      <c r="AB93" s="18" t="str">
        <f t="shared" si="15"/>
        <v>Betty Campbell</v>
      </c>
      <c r="AC93" s="18" t="str">
        <f t="shared" si="16"/>
        <v>BC</v>
      </c>
      <c r="AD93" s="18" t="str">
        <f t="shared" si="17"/>
        <v>bcampbell@gmail.com</v>
      </c>
    </row>
    <row r="94" spans="1:30" x14ac:dyDescent="0.3">
      <c r="A94" s="41" t="s">
        <v>221</v>
      </c>
      <c r="B94" s="42">
        <v>45522</v>
      </c>
      <c r="C94" s="41" t="s">
        <v>86</v>
      </c>
      <c r="D94" s="41" t="s">
        <v>87</v>
      </c>
      <c r="E94" s="41" t="s">
        <v>117</v>
      </c>
      <c r="F94" s="41" t="s">
        <v>118</v>
      </c>
      <c r="G94" s="41" t="s">
        <v>19</v>
      </c>
      <c r="H94" s="41">
        <v>2</v>
      </c>
      <c r="I94" s="41">
        <v>89.99</v>
      </c>
      <c r="J94" s="41" t="s">
        <v>20</v>
      </c>
      <c r="K94" s="41" t="s">
        <v>63</v>
      </c>
      <c r="L94" s="41" t="s">
        <v>27</v>
      </c>
      <c r="M94" s="42">
        <v>44972</v>
      </c>
      <c r="N94" s="41">
        <f t="shared" si="9"/>
        <v>179.98</v>
      </c>
      <c r="O94" s="40"/>
      <c r="P94" s="40"/>
      <c r="Q94" s="40"/>
      <c r="R94" s="40"/>
      <c r="S94" s="40"/>
      <c r="T94" s="40"/>
      <c r="U94" s="18">
        <f t="shared" si="10"/>
        <v>15659.65</v>
      </c>
      <c r="V94" s="38" t="str">
        <f t="shared" si="11"/>
        <v>High Value</v>
      </c>
      <c r="W94" s="18">
        <f t="shared" si="12"/>
        <v>34</v>
      </c>
      <c r="X94" s="40"/>
      <c r="Y94" s="40"/>
      <c r="Z94" s="18">
        <f t="shared" si="13"/>
        <v>12</v>
      </c>
      <c r="AA94" s="18" t="str">
        <f t="shared" si="14"/>
        <v>Repeat</v>
      </c>
      <c r="AB94" s="18" t="str">
        <f t="shared" si="15"/>
        <v>Mark Carter</v>
      </c>
      <c r="AC94" s="18" t="str">
        <f t="shared" si="16"/>
        <v>MC</v>
      </c>
      <c r="AD94" s="18" t="str">
        <f t="shared" si="17"/>
        <v>mcarter@gmail.com</v>
      </c>
    </row>
    <row r="95" spans="1:30" x14ac:dyDescent="0.3">
      <c r="A95" s="41" t="s">
        <v>222</v>
      </c>
      <c r="B95" s="42">
        <v>45523</v>
      </c>
      <c r="C95" s="41" t="s">
        <v>196</v>
      </c>
      <c r="D95" s="41" t="s">
        <v>197</v>
      </c>
      <c r="E95" s="41" t="s">
        <v>61</v>
      </c>
      <c r="F95" s="41" t="s">
        <v>62</v>
      </c>
      <c r="G95" s="41" t="s">
        <v>19</v>
      </c>
      <c r="H95" s="41">
        <v>5</v>
      </c>
      <c r="I95" s="41">
        <v>899.99</v>
      </c>
      <c r="J95" s="41" t="s">
        <v>57</v>
      </c>
      <c r="K95" s="41" t="s">
        <v>63</v>
      </c>
      <c r="L95" s="41" t="s">
        <v>22</v>
      </c>
      <c r="M95" s="42">
        <v>44526</v>
      </c>
      <c r="N95" s="41">
        <f t="shared" si="9"/>
        <v>4499.95</v>
      </c>
      <c r="O95" s="40"/>
      <c r="P95" s="40"/>
      <c r="Q95" s="40"/>
      <c r="R95" s="40"/>
      <c r="S95" s="40"/>
      <c r="T95" s="40"/>
      <c r="U95" s="18">
        <f t="shared" si="10"/>
        <v>6379.87</v>
      </c>
      <c r="V95" s="38" t="str">
        <f t="shared" si="11"/>
        <v>Normal</v>
      </c>
      <c r="W95" s="18">
        <f t="shared" si="12"/>
        <v>24</v>
      </c>
      <c r="X95" s="40"/>
      <c r="Y95" s="40"/>
      <c r="Z95" s="18">
        <f t="shared" si="13"/>
        <v>4</v>
      </c>
      <c r="AA95" s="18" t="str">
        <f t="shared" si="14"/>
        <v>Repeat</v>
      </c>
      <c r="AB95" s="18" t="str">
        <f t="shared" si="15"/>
        <v>Gerald Murphy</v>
      </c>
      <c r="AC95" s="18" t="str">
        <f t="shared" si="16"/>
        <v>GM</v>
      </c>
      <c r="AD95" s="18" t="str">
        <f t="shared" si="17"/>
        <v>gmurphy@gmail.com</v>
      </c>
    </row>
    <row r="96" spans="1:30" x14ac:dyDescent="0.3">
      <c r="A96" s="41" t="s">
        <v>223</v>
      </c>
      <c r="B96" s="42">
        <v>45523</v>
      </c>
      <c r="C96" s="41" t="s">
        <v>108</v>
      </c>
      <c r="D96" s="41" t="s">
        <v>109</v>
      </c>
      <c r="E96" s="41" t="s">
        <v>52</v>
      </c>
      <c r="F96" s="41" t="s">
        <v>53</v>
      </c>
      <c r="G96" s="41" t="s">
        <v>19</v>
      </c>
      <c r="H96" s="41">
        <v>3</v>
      </c>
      <c r="I96" s="41">
        <v>149.99</v>
      </c>
      <c r="J96" s="41" t="s">
        <v>34</v>
      </c>
      <c r="K96" s="41" t="s">
        <v>63</v>
      </c>
      <c r="L96" s="41" t="s">
        <v>22</v>
      </c>
      <c r="M96" s="42">
        <v>44574</v>
      </c>
      <c r="N96" s="41">
        <f t="shared" si="9"/>
        <v>449.97</v>
      </c>
      <c r="O96" s="40"/>
      <c r="P96" s="40"/>
      <c r="Q96" s="40"/>
      <c r="R96" s="40"/>
      <c r="S96" s="40"/>
      <c r="T96" s="40"/>
      <c r="U96" s="18">
        <f t="shared" si="10"/>
        <v>4189.7700000000004</v>
      </c>
      <c r="V96" s="38" t="str">
        <f t="shared" si="11"/>
        <v>Normal</v>
      </c>
      <c r="W96" s="18">
        <f t="shared" si="12"/>
        <v>16</v>
      </c>
      <c r="X96" s="40"/>
      <c r="Y96" s="40"/>
      <c r="Z96" s="18">
        <f t="shared" si="13"/>
        <v>6</v>
      </c>
      <c r="AA96" s="18" t="str">
        <f t="shared" si="14"/>
        <v>Repeat</v>
      </c>
      <c r="AB96" s="18" t="str">
        <f t="shared" si="15"/>
        <v>Nancy Collins</v>
      </c>
      <c r="AC96" s="18" t="str">
        <f t="shared" si="16"/>
        <v>NC</v>
      </c>
      <c r="AD96" s="18" t="str">
        <f t="shared" si="17"/>
        <v>ncollins@gmail.com</v>
      </c>
    </row>
    <row r="97" spans="1:30" x14ac:dyDescent="0.3">
      <c r="A97" s="41" t="s">
        <v>224</v>
      </c>
      <c r="B97" s="42">
        <v>45526</v>
      </c>
      <c r="C97" s="41" t="s">
        <v>102</v>
      </c>
      <c r="D97" s="41" t="s">
        <v>103</v>
      </c>
      <c r="E97" s="41" t="s">
        <v>44</v>
      </c>
      <c r="F97" s="41" t="s">
        <v>45</v>
      </c>
      <c r="G97" s="41" t="s">
        <v>46</v>
      </c>
      <c r="H97" s="41">
        <v>5</v>
      </c>
      <c r="I97" s="41">
        <v>149.99</v>
      </c>
      <c r="J97" s="41" t="s">
        <v>26</v>
      </c>
      <c r="K97" s="41" t="s">
        <v>21</v>
      </c>
      <c r="L97" s="41" t="s">
        <v>22</v>
      </c>
      <c r="M97" s="42">
        <v>45310</v>
      </c>
      <c r="N97" s="41">
        <f t="shared" si="9"/>
        <v>749.95</v>
      </c>
      <c r="O97" s="40"/>
      <c r="P97" s="40"/>
      <c r="Q97" s="40"/>
      <c r="R97" s="40"/>
      <c r="S97" s="40"/>
      <c r="T97" s="40"/>
      <c r="U97" s="18">
        <f t="shared" si="10"/>
        <v>3769.8300000000004</v>
      </c>
      <c r="V97" s="38" t="str">
        <f t="shared" si="11"/>
        <v>Normal</v>
      </c>
      <c r="W97" s="18">
        <f t="shared" si="12"/>
        <v>35</v>
      </c>
      <c r="X97" s="40"/>
      <c r="Y97" s="40"/>
      <c r="Z97" s="18">
        <f t="shared" si="13"/>
        <v>5</v>
      </c>
      <c r="AA97" s="18" t="str">
        <f t="shared" si="14"/>
        <v>Repeat</v>
      </c>
      <c r="AB97" s="18" t="str">
        <f t="shared" si="15"/>
        <v>Cynthia Price</v>
      </c>
      <c r="AC97" s="18" t="str">
        <f t="shared" si="16"/>
        <v>CP</v>
      </c>
      <c r="AD97" s="18" t="str">
        <f t="shared" si="17"/>
        <v>cprice@gmail.com</v>
      </c>
    </row>
    <row r="98" spans="1:30" x14ac:dyDescent="0.3">
      <c r="A98" s="41" t="s">
        <v>225</v>
      </c>
      <c r="B98" s="42">
        <v>45528</v>
      </c>
      <c r="C98" s="41" t="s">
        <v>226</v>
      </c>
      <c r="D98" s="41" t="s">
        <v>227</v>
      </c>
      <c r="E98" s="41" t="s">
        <v>114</v>
      </c>
      <c r="F98" s="41" t="s">
        <v>115</v>
      </c>
      <c r="G98" s="41" t="s">
        <v>33</v>
      </c>
      <c r="H98" s="41">
        <v>3</v>
      </c>
      <c r="I98" s="41">
        <v>79.989999999999995</v>
      </c>
      <c r="J98" s="41" t="s">
        <v>20</v>
      </c>
      <c r="K98" s="41" t="s">
        <v>21</v>
      </c>
      <c r="L98" s="41" t="s">
        <v>27</v>
      </c>
      <c r="M98" s="42">
        <v>44779</v>
      </c>
      <c r="N98" s="41">
        <f t="shared" si="9"/>
        <v>239.96999999999997</v>
      </c>
      <c r="O98" s="40"/>
      <c r="P98" s="40"/>
      <c r="Q98" s="40"/>
      <c r="R98" s="40"/>
      <c r="S98" s="40"/>
      <c r="T98" s="40"/>
      <c r="U98" s="18">
        <f t="shared" si="10"/>
        <v>6989.7699999999986</v>
      </c>
      <c r="V98" s="38" t="str">
        <f t="shared" si="11"/>
        <v>Normal</v>
      </c>
      <c r="W98" s="18">
        <f t="shared" si="12"/>
        <v>14</v>
      </c>
      <c r="X98" s="40"/>
      <c r="Y98" s="40"/>
      <c r="Z98" s="18">
        <f t="shared" si="13"/>
        <v>8</v>
      </c>
      <c r="AA98" s="18" t="str">
        <f t="shared" si="14"/>
        <v>Repeat</v>
      </c>
      <c r="AB98" s="18" t="str">
        <f t="shared" si="15"/>
        <v>Lawrence Reed</v>
      </c>
      <c r="AC98" s="18" t="str">
        <f t="shared" si="16"/>
        <v>LR</v>
      </c>
      <c r="AD98" s="18" t="str">
        <f t="shared" si="17"/>
        <v>lreed@gmail.com</v>
      </c>
    </row>
    <row r="99" spans="1:30" x14ac:dyDescent="0.3">
      <c r="A99" s="41" t="s">
        <v>228</v>
      </c>
      <c r="B99" s="42">
        <v>45528</v>
      </c>
      <c r="C99" s="41" t="s">
        <v>144</v>
      </c>
      <c r="D99" s="41" t="s">
        <v>145</v>
      </c>
      <c r="E99" s="41" t="s">
        <v>17</v>
      </c>
      <c r="F99" s="41" t="s">
        <v>18</v>
      </c>
      <c r="G99" s="41" t="s">
        <v>19</v>
      </c>
      <c r="H99" s="41">
        <v>2</v>
      </c>
      <c r="I99" s="41">
        <v>249.99</v>
      </c>
      <c r="J99" s="41" t="s">
        <v>20</v>
      </c>
      <c r="K99" s="41" t="s">
        <v>35</v>
      </c>
      <c r="L99" s="41" t="s">
        <v>36</v>
      </c>
      <c r="M99" s="42">
        <v>44572</v>
      </c>
      <c r="N99" s="41">
        <f t="shared" si="9"/>
        <v>499.98</v>
      </c>
      <c r="O99" s="40"/>
      <c r="P99" s="40"/>
      <c r="Q99" s="40"/>
      <c r="R99" s="40"/>
      <c r="S99" s="40"/>
      <c r="T99" s="40"/>
      <c r="U99" s="18">
        <f t="shared" si="10"/>
        <v>5519.8899999999994</v>
      </c>
      <c r="V99" s="38" t="str">
        <f t="shared" si="11"/>
        <v>Normal</v>
      </c>
      <c r="W99" s="18">
        <f t="shared" si="12"/>
        <v>26</v>
      </c>
      <c r="X99" s="40"/>
      <c r="Y99" s="40"/>
      <c r="Z99" s="18">
        <f t="shared" si="13"/>
        <v>4</v>
      </c>
      <c r="AA99" s="18" t="str">
        <f t="shared" si="14"/>
        <v>Repeat</v>
      </c>
      <c r="AB99" s="18" t="str">
        <f t="shared" si="15"/>
        <v>Harry Morgan</v>
      </c>
      <c r="AC99" s="18" t="str">
        <f t="shared" si="16"/>
        <v>HM</v>
      </c>
      <c r="AD99" s="18" t="str">
        <f t="shared" si="17"/>
        <v>hmorgan@gmail.com</v>
      </c>
    </row>
    <row r="100" spans="1:30" x14ac:dyDescent="0.3">
      <c r="A100" s="41" t="s">
        <v>229</v>
      </c>
      <c r="B100" s="42">
        <v>45532</v>
      </c>
      <c r="C100" s="41" t="s">
        <v>196</v>
      </c>
      <c r="D100" s="41" t="s">
        <v>197</v>
      </c>
      <c r="E100" s="41" t="s">
        <v>80</v>
      </c>
      <c r="F100" s="41" t="s">
        <v>81</v>
      </c>
      <c r="G100" s="41" t="s">
        <v>19</v>
      </c>
      <c r="H100" s="41">
        <v>1</v>
      </c>
      <c r="I100" s="41">
        <v>699.99</v>
      </c>
      <c r="J100" s="41" t="s">
        <v>20</v>
      </c>
      <c r="K100" s="41" t="s">
        <v>21</v>
      </c>
      <c r="L100" s="41" t="s">
        <v>27</v>
      </c>
      <c r="M100" s="42">
        <v>44497</v>
      </c>
      <c r="N100" s="41">
        <f t="shared" si="9"/>
        <v>699.99</v>
      </c>
      <c r="O100" s="40"/>
      <c r="P100" s="40"/>
      <c r="Q100" s="40"/>
      <c r="R100" s="40"/>
      <c r="S100" s="40"/>
      <c r="T100" s="40"/>
      <c r="U100" s="18">
        <f t="shared" si="10"/>
        <v>6379.87</v>
      </c>
      <c r="V100" s="38" t="str">
        <f t="shared" si="11"/>
        <v>Normal</v>
      </c>
      <c r="W100" s="18">
        <f t="shared" si="12"/>
        <v>31</v>
      </c>
      <c r="X100" s="40"/>
      <c r="Y100" s="40"/>
      <c r="Z100" s="18">
        <f t="shared" si="13"/>
        <v>4</v>
      </c>
      <c r="AA100" s="18" t="str">
        <f t="shared" si="14"/>
        <v>Repeat</v>
      </c>
      <c r="AB100" s="18" t="str">
        <f t="shared" si="15"/>
        <v>Gerald Murphy</v>
      </c>
      <c r="AC100" s="18" t="str">
        <f t="shared" si="16"/>
        <v>GM</v>
      </c>
      <c r="AD100" s="18" t="str">
        <f t="shared" si="17"/>
        <v>gmurphy@gmail.com</v>
      </c>
    </row>
    <row r="101" spans="1:30" x14ac:dyDescent="0.3">
      <c r="A101" s="41" t="s">
        <v>230</v>
      </c>
      <c r="B101" s="42">
        <v>45532</v>
      </c>
      <c r="C101" s="41" t="s">
        <v>231</v>
      </c>
      <c r="D101" s="41" t="s">
        <v>232</v>
      </c>
      <c r="E101" s="41" t="s">
        <v>52</v>
      </c>
      <c r="F101" s="41" t="s">
        <v>53</v>
      </c>
      <c r="G101" s="41" t="s">
        <v>19</v>
      </c>
      <c r="H101" s="41">
        <v>3</v>
      </c>
      <c r="I101" s="41">
        <v>149.99</v>
      </c>
      <c r="J101" s="41" t="s">
        <v>20</v>
      </c>
      <c r="K101" s="41" t="s">
        <v>50</v>
      </c>
      <c r="L101" s="41" t="s">
        <v>27</v>
      </c>
      <c r="M101" s="42">
        <v>45212</v>
      </c>
      <c r="N101" s="41">
        <f t="shared" si="9"/>
        <v>449.97</v>
      </c>
      <c r="O101" s="40"/>
      <c r="P101" s="40"/>
      <c r="Q101" s="40"/>
      <c r="R101" s="40"/>
      <c r="S101" s="40"/>
      <c r="T101" s="40"/>
      <c r="U101" s="18">
        <f t="shared" si="10"/>
        <v>1149.93</v>
      </c>
      <c r="V101" s="38" t="str">
        <f t="shared" si="11"/>
        <v>Normal</v>
      </c>
      <c r="W101" s="18">
        <f t="shared" si="12"/>
        <v>16</v>
      </c>
      <c r="X101" s="40"/>
      <c r="Y101" s="40"/>
      <c r="Z101" s="18">
        <f t="shared" si="13"/>
        <v>3</v>
      </c>
      <c r="AA101" s="18" t="str">
        <f t="shared" si="14"/>
        <v>Repeat</v>
      </c>
      <c r="AB101" s="18" t="str">
        <f t="shared" si="15"/>
        <v>Carol Evans</v>
      </c>
      <c r="AC101" s="18" t="str">
        <f t="shared" si="16"/>
        <v>CE</v>
      </c>
      <c r="AD101" s="18" t="str">
        <f t="shared" si="17"/>
        <v>cevans@gmail.com</v>
      </c>
    </row>
    <row r="102" spans="1:30" x14ac:dyDescent="0.3">
      <c r="A102" s="41" t="s">
        <v>233</v>
      </c>
      <c r="B102" s="42">
        <v>45534</v>
      </c>
      <c r="C102" s="41" t="s">
        <v>234</v>
      </c>
      <c r="D102" s="41" t="s">
        <v>235</v>
      </c>
      <c r="E102" s="41" t="s">
        <v>80</v>
      </c>
      <c r="F102" s="41" t="s">
        <v>81</v>
      </c>
      <c r="G102" s="41" t="s">
        <v>19</v>
      </c>
      <c r="H102" s="41">
        <v>2</v>
      </c>
      <c r="I102" s="41">
        <v>699.99</v>
      </c>
      <c r="J102" s="41" t="s">
        <v>26</v>
      </c>
      <c r="K102" s="41" t="s">
        <v>40</v>
      </c>
      <c r="L102" s="41" t="s">
        <v>27</v>
      </c>
      <c r="M102" s="42">
        <v>44421</v>
      </c>
      <c r="N102" s="41">
        <f t="shared" si="9"/>
        <v>1399.98</v>
      </c>
      <c r="O102" s="40"/>
      <c r="P102" s="40"/>
      <c r="Q102" s="40"/>
      <c r="R102" s="40"/>
      <c r="S102" s="40"/>
      <c r="T102" s="40"/>
      <c r="U102" s="18">
        <f t="shared" si="10"/>
        <v>6349.8300000000008</v>
      </c>
      <c r="V102" s="38" t="str">
        <f t="shared" si="11"/>
        <v>Normal</v>
      </c>
      <c r="W102" s="18">
        <f t="shared" si="12"/>
        <v>31</v>
      </c>
      <c r="X102" s="40"/>
      <c r="Y102" s="40"/>
      <c r="Z102" s="18">
        <f t="shared" si="13"/>
        <v>5</v>
      </c>
      <c r="AA102" s="18" t="str">
        <f t="shared" si="14"/>
        <v>Repeat</v>
      </c>
      <c r="AB102" s="18" t="str">
        <f t="shared" si="15"/>
        <v>Sandra Phillips</v>
      </c>
      <c r="AC102" s="18" t="str">
        <f t="shared" si="16"/>
        <v>SP</v>
      </c>
      <c r="AD102" s="18" t="str">
        <f t="shared" si="17"/>
        <v>sphillips@gmail.com</v>
      </c>
    </row>
    <row r="103" spans="1:30" x14ac:dyDescent="0.3">
      <c r="A103" s="41" t="s">
        <v>236</v>
      </c>
      <c r="B103" s="42">
        <v>45537</v>
      </c>
      <c r="C103" s="41" t="s">
        <v>231</v>
      </c>
      <c r="D103" s="41" t="s">
        <v>232</v>
      </c>
      <c r="E103" s="41" t="s">
        <v>17</v>
      </c>
      <c r="F103" s="41" t="s">
        <v>18</v>
      </c>
      <c r="G103" s="41" t="s">
        <v>19</v>
      </c>
      <c r="H103" s="41">
        <v>1</v>
      </c>
      <c r="I103" s="41">
        <v>249.99</v>
      </c>
      <c r="J103" s="41" t="s">
        <v>26</v>
      </c>
      <c r="K103" s="41" t="s">
        <v>50</v>
      </c>
      <c r="L103" s="41" t="s">
        <v>27</v>
      </c>
      <c r="M103" s="42">
        <v>44685</v>
      </c>
      <c r="N103" s="41">
        <f t="shared" si="9"/>
        <v>249.99</v>
      </c>
      <c r="O103" s="40"/>
      <c r="P103" s="40"/>
      <c r="Q103" s="40"/>
      <c r="R103" s="40"/>
      <c r="S103" s="40"/>
      <c r="T103" s="40"/>
      <c r="U103" s="18">
        <f t="shared" si="10"/>
        <v>1149.93</v>
      </c>
      <c r="V103" s="38" t="str">
        <f t="shared" si="11"/>
        <v>Normal</v>
      </c>
      <c r="W103" s="18">
        <f t="shared" si="12"/>
        <v>26</v>
      </c>
      <c r="X103" s="40"/>
      <c r="Y103" s="40"/>
      <c r="Z103" s="18">
        <f t="shared" si="13"/>
        <v>3</v>
      </c>
      <c r="AA103" s="18" t="str">
        <f t="shared" si="14"/>
        <v>Repeat</v>
      </c>
      <c r="AB103" s="18" t="str">
        <f t="shared" si="15"/>
        <v>Carol Evans</v>
      </c>
      <c r="AC103" s="18" t="str">
        <f t="shared" si="16"/>
        <v>CE</v>
      </c>
      <c r="AD103" s="18" t="str">
        <f t="shared" si="17"/>
        <v>cevans@gmail.com</v>
      </c>
    </row>
    <row r="104" spans="1:30" x14ac:dyDescent="0.3">
      <c r="A104" s="41" t="s">
        <v>237</v>
      </c>
      <c r="B104" s="42">
        <v>45537</v>
      </c>
      <c r="C104" s="41" t="s">
        <v>15</v>
      </c>
      <c r="D104" s="41" t="s">
        <v>16</v>
      </c>
      <c r="E104" s="41" t="s">
        <v>17</v>
      </c>
      <c r="F104" s="41" t="s">
        <v>18</v>
      </c>
      <c r="G104" s="41" t="s">
        <v>19</v>
      </c>
      <c r="H104" s="41">
        <v>1</v>
      </c>
      <c r="I104" s="41">
        <v>249.99</v>
      </c>
      <c r="J104" s="41" t="s">
        <v>57</v>
      </c>
      <c r="K104" s="41" t="s">
        <v>40</v>
      </c>
      <c r="L104" s="41" t="s">
        <v>27</v>
      </c>
      <c r="M104" s="42">
        <v>45332</v>
      </c>
      <c r="N104" s="41">
        <f t="shared" si="9"/>
        <v>249.99</v>
      </c>
      <c r="O104" s="40"/>
      <c r="P104" s="40"/>
      <c r="Q104" s="40"/>
      <c r="R104" s="40"/>
      <c r="S104" s="40"/>
      <c r="T104" s="40"/>
      <c r="U104" s="18">
        <f t="shared" si="10"/>
        <v>13809.790000000006</v>
      </c>
      <c r="V104" s="38" t="str">
        <f t="shared" si="11"/>
        <v>High Value</v>
      </c>
      <c r="W104" s="18">
        <f t="shared" si="12"/>
        <v>26</v>
      </c>
      <c r="X104" s="40"/>
      <c r="Y104" s="40"/>
      <c r="Z104" s="18">
        <f t="shared" si="13"/>
        <v>8</v>
      </c>
      <c r="AA104" s="18" t="str">
        <f t="shared" si="14"/>
        <v>Repeat</v>
      </c>
      <c r="AB104" s="18" t="str">
        <f t="shared" si="15"/>
        <v>Paul Baker</v>
      </c>
      <c r="AC104" s="18" t="str">
        <f t="shared" si="16"/>
        <v>PB</v>
      </c>
      <c r="AD104" s="18" t="str">
        <f t="shared" si="17"/>
        <v>pbaker@gmail.com</v>
      </c>
    </row>
    <row r="105" spans="1:30" x14ac:dyDescent="0.3">
      <c r="A105" s="41" t="s">
        <v>238</v>
      </c>
      <c r="B105" s="42">
        <v>45538</v>
      </c>
      <c r="C105" s="41" t="s">
        <v>226</v>
      </c>
      <c r="D105" s="41" t="s">
        <v>227</v>
      </c>
      <c r="E105" s="41" t="s">
        <v>80</v>
      </c>
      <c r="F105" s="41" t="s">
        <v>81</v>
      </c>
      <c r="G105" s="41" t="s">
        <v>19</v>
      </c>
      <c r="H105" s="41">
        <v>2</v>
      </c>
      <c r="I105" s="41">
        <v>699.99</v>
      </c>
      <c r="J105" s="41" t="s">
        <v>57</v>
      </c>
      <c r="K105" s="41" t="s">
        <v>21</v>
      </c>
      <c r="L105" s="41" t="s">
        <v>27</v>
      </c>
      <c r="M105" s="42">
        <v>44870</v>
      </c>
      <c r="N105" s="41">
        <f t="shared" si="9"/>
        <v>1399.98</v>
      </c>
      <c r="O105" s="40"/>
      <c r="P105" s="40"/>
      <c r="Q105" s="40"/>
      <c r="R105" s="40"/>
      <c r="S105" s="40"/>
      <c r="T105" s="40"/>
      <c r="U105" s="18">
        <f t="shared" si="10"/>
        <v>6989.7699999999986</v>
      </c>
      <c r="V105" s="38" t="str">
        <f t="shared" si="11"/>
        <v>Normal</v>
      </c>
      <c r="W105" s="18">
        <f t="shared" si="12"/>
        <v>31</v>
      </c>
      <c r="X105" s="40"/>
      <c r="Y105" s="40"/>
      <c r="Z105" s="18">
        <f t="shared" si="13"/>
        <v>8</v>
      </c>
      <c r="AA105" s="18" t="str">
        <f t="shared" si="14"/>
        <v>Repeat</v>
      </c>
      <c r="AB105" s="18" t="str">
        <f t="shared" si="15"/>
        <v>Lawrence Reed</v>
      </c>
      <c r="AC105" s="18" t="str">
        <f t="shared" si="16"/>
        <v>LR</v>
      </c>
      <c r="AD105" s="18" t="str">
        <f t="shared" si="17"/>
        <v>lreed@gmail.com</v>
      </c>
    </row>
    <row r="106" spans="1:30" x14ac:dyDescent="0.3">
      <c r="A106" s="41" t="s">
        <v>239</v>
      </c>
      <c r="B106" s="42">
        <v>45541</v>
      </c>
      <c r="C106" s="41" t="s">
        <v>138</v>
      </c>
      <c r="D106" s="41" t="s">
        <v>139</v>
      </c>
      <c r="E106" s="41" t="s">
        <v>31</v>
      </c>
      <c r="F106" s="41" t="s">
        <v>32</v>
      </c>
      <c r="G106" s="41" t="s">
        <v>33</v>
      </c>
      <c r="H106" s="41">
        <v>3</v>
      </c>
      <c r="I106" s="41">
        <v>59.99</v>
      </c>
      <c r="J106" s="41" t="s">
        <v>26</v>
      </c>
      <c r="K106" s="41" t="s">
        <v>21</v>
      </c>
      <c r="L106" s="41" t="s">
        <v>27</v>
      </c>
      <c r="M106" s="42">
        <v>44717</v>
      </c>
      <c r="N106" s="41">
        <f t="shared" si="9"/>
        <v>179.97</v>
      </c>
      <c r="O106" s="40"/>
      <c r="P106" s="40"/>
      <c r="Q106" s="40"/>
      <c r="R106" s="40"/>
      <c r="S106" s="40"/>
      <c r="T106" s="40"/>
      <c r="U106" s="18">
        <f t="shared" si="10"/>
        <v>2649.83</v>
      </c>
      <c r="V106" s="38" t="str">
        <f t="shared" si="11"/>
        <v>Normal</v>
      </c>
      <c r="W106" s="18">
        <f t="shared" si="12"/>
        <v>29</v>
      </c>
      <c r="X106" s="40"/>
      <c r="Y106" s="40"/>
      <c r="Z106" s="18">
        <f t="shared" si="13"/>
        <v>6</v>
      </c>
      <c r="AA106" s="18" t="str">
        <f t="shared" si="14"/>
        <v>Repeat</v>
      </c>
      <c r="AB106" s="18" t="str">
        <f t="shared" si="15"/>
        <v>Steven Turner</v>
      </c>
      <c r="AC106" s="18" t="str">
        <f t="shared" si="16"/>
        <v>ST</v>
      </c>
      <c r="AD106" s="18" t="str">
        <f t="shared" si="17"/>
        <v>sturner@gmail.com</v>
      </c>
    </row>
    <row r="107" spans="1:30" x14ac:dyDescent="0.3">
      <c r="A107" s="41" t="s">
        <v>240</v>
      </c>
      <c r="B107" s="42">
        <v>45544</v>
      </c>
      <c r="C107" s="41" t="s">
        <v>132</v>
      </c>
      <c r="D107" s="41" t="s">
        <v>133</v>
      </c>
      <c r="E107" s="41" t="s">
        <v>31</v>
      </c>
      <c r="F107" s="41" t="s">
        <v>32</v>
      </c>
      <c r="G107" s="41" t="s">
        <v>33</v>
      </c>
      <c r="H107" s="41">
        <v>3</v>
      </c>
      <c r="I107" s="41">
        <v>59.99</v>
      </c>
      <c r="J107" s="41" t="s">
        <v>34</v>
      </c>
      <c r="K107" s="41" t="s">
        <v>63</v>
      </c>
      <c r="L107" s="41" t="s">
        <v>36</v>
      </c>
      <c r="M107" s="42">
        <v>44748</v>
      </c>
      <c r="N107" s="41">
        <f t="shared" si="9"/>
        <v>179.97</v>
      </c>
      <c r="O107" s="40"/>
      <c r="P107" s="40"/>
      <c r="Q107" s="40"/>
      <c r="R107" s="40"/>
      <c r="S107" s="40"/>
      <c r="T107" s="40"/>
      <c r="U107" s="18">
        <f t="shared" si="10"/>
        <v>1229.8800000000001</v>
      </c>
      <c r="V107" s="38" t="str">
        <f t="shared" si="11"/>
        <v>Normal</v>
      </c>
      <c r="W107" s="18">
        <f t="shared" si="12"/>
        <v>29</v>
      </c>
      <c r="X107" s="40"/>
      <c r="Y107" s="40"/>
      <c r="Z107" s="18">
        <f t="shared" si="13"/>
        <v>5</v>
      </c>
      <c r="AA107" s="18" t="str">
        <f t="shared" si="14"/>
        <v>Repeat</v>
      </c>
      <c r="AB107" s="18" t="str">
        <f t="shared" si="15"/>
        <v>Emma Wilson</v>
      </c>
      <c r="AC107" s="18" t="str">
        <f t="shared" si="16"/>
        <v>EW</v>
      </c>
      <c r="AD107" s="18" t="str">
        <f t="shared" si="17"/>
        <v>ewilson@gmail.com</v>
      </c>
    </row>
    <row r="108" spans="1:30" x14ac:dyDescent="0.3">
      <c r="A108" s="41" t="s">
        <v>241</v>
      </c>
      <c r="B108" s="42">
        <v>45544</v>
      </c>
      <c r="C108" s="41" t="s">
        <v>141</v>
      </c>
      <c r="D108" s="41" t="s">
        <v>142</v>
      </c>
      <c r="E108" s="41" t="s">
        <v>114</v>
      </c>
      <c r="F108" s="41" t="s">
        <v>115</v>
      </c>
      <c r="G108" s="41" t="s">
        <v>33</v>
      </c>
      <c r="H108" s="41">
        <v>4</v>
      </c>
      <c r="I108" s="41">
        <v>79.989999999999995</v>
      </c>
      <c r="J108" s="41" t="s">
        <v>20</v>
      </c>
      <c r="K108" s="41" t="s">
        <v>40</v>
      </c>
      <c r="L108" s="41" t="s">
        <v>22</v>
      </c>
      <c r="M108" s="42">
        <v>44530</v>
      </c>
      <c r="N108" s="41">
        <f t="shared" si="9"/>
        <v>319.95999999999998</v>
      </c>
      <c r="O108" s="40"/>
      <c r="P108" s="40"/>
      <c r="Q108" s="40"/>
      <c r="R108" s="40"/>
      <c r="S108" s="40"/>
      <c r="T108" s="40"/>
      <c r="U108" s="18">
        <f t="shared" si="10"/>
        <v>4739.8500000000004</v>
      </c>
      <c r="V108" s="38" t="str">
        <f t="shared" si="11"/>
        <v>Normal</v>
      </c>
      <c r="W108" s="18">
        <f t="shared" si="12"/>
        <v>14</v>
      </c>
      <c r="X108" s="40"/>
      <c r="Y108" s="40"/>
      <c r="Z108" s="18">
        <f t="shared" si="13"/>
        <v>4</v>
      </c>
      <c r="AA108" s="18" t="str">
        <f t="shared" si="14"/>
        <v>Repeat</v>
      </c>
      <c r="AB108" s="18" t="str">
        <f t="shared" si="15"/>
        <v>Jennifer Taylor</v>
      </c>
      <c r="AC108" s="18" t="str">
        <f t="shared" si="16"/>
        <v>JT</v>
      </c>
      <c r="AD108" s="18" t="str">
        <f t="shared" si="17"/>
        <v>jtaylor@gmail.com</v>
      </c>
    </row>
    <row r="109" spans="1:30" x14ac:dyDescent="0.3">
      <c r="A109" s="41" t="s">
        <v>242</v>
      </c>
      <c r="B109" s="42">
        <v>45545</v>
      </c>
      <c r="C109" s="41" t="s">
        <v>55</v>
      </c>
      <c r="D109" s="41" t="s">
        <v>56</v>
      </c>
      <c r="E109" s="41" t="s">
        <v>114</v>
      </c>
      <c r="F109" s="41" t="s">
        <v>115</v>
      </c>
      <c r="G109" s="41" t="s">
        <v>33</v>
      </c>
      <c r="H109" s="41">
        <v>1</v>
      </c>
      <c r="I109" s="41">
        <v>79.989999999999995</v>
      </c>
      <c r="J109" s="41" t="s">
        <v>20</v>
      </c>
      <c r="K109" s="41" t="s">
        <v>50</v>
      </c>
      <c r="L109" s="41" t="s">
        <v>22</v>
      </c>
      <c r="M109" s="42">
        <v>44693</v>
      </c>
      <c r="N109" s="41">
        <f t="shared" si="9"/>
        <v>79.989999999999995</v>
      </c>
      <c r="O109" s="40"/>
      <c r="P109" s="40"/>
      <c r="Q109" s="40"/>
      <c r="R109" s="40"/>
      <c r="S109" s="40"/>
      <c r="T109" s="40"/>
      <c r="U109" s="18">
        <f t="shared" si="10"/>
        <v>5089.7300000000005</v>
      </c>
      <c r="V109" s="38" t="str">
        <f t="shared" si="11"/>
        <v>Normal</v>
      </c>
      <c r="W109" s="18">
        <f t="shared" si="12"/>
        <v>14</v>
      </c>
      <c r="X109" s="40"/>
      <c r="Y109" s="40"/>
      <c r="Z109" s="18">
        <f t="shared" si="13"/>
        <v>9</v>
      </c>
      <c r="AA109" s="18" t="str">
        <f t="shared" si="14"/>
        <v>Repeat</v>
      </c>
      <c r="AB109" s="18" t="str">
        <f t="shared" si="15"/>
        <v>Charles Allen</v>
      </c>
      <c r="AC109" s="18" t="str">
        <f t="shared" si="16"/>
        <v>CA</v>
      </c>
      <c r="AD109" s="18" t="str">
        <f t="shared" si="17"/>
        <v>callen@gmail.com</v>
      </c>
    </row>
    <row r="110" spans="1:30" x14ac:dyDescent="0.3">
      <c r="A110" s="41" t="s">
        <v>243</v>
      </c>
      <c r="B110" s="42">
        <v>45547</v>
      </c>
      <c r="C110" s="41" t="s">
        <v>48</v>
      </c>
      <c r="D110" s="41" t="s">
        <v>49</v>
      </c>
      <c r="E110" s="41" t="s">
        <v>105</v>
      </c>
      <c r="F110" s="41" t="s">
        <v>106</v>
      </c>
      <c r="G110" s="41" t="s">
        <v>46</v>
      </c>
      <c r="H110" s="41">
        <v>3</v>
      </c>
      <c r="I110" s="41">
        <v>299.99</v>
      </c>
      <c r="J110" s="41" t="s">
        <v>26</v>
      </c>
      <c r="K110" s="41" t="s">
        <v>21</v>
      </c>
      <c r="L110" s="41" t="s">
        <v>27</v>
      </c>
      <c r="M110" s="42">
        <v>44494</v>
      </c>
      <c r="N110" s="41">
        <f t="shared" si="9"/>
        <v>899.97</v>
      </c>
      <c r="O110" s="40"/>
      <c r="P110" s="40"/>
      <c r="Q110" s="40"/>
      <c r="R110" s="40"/>
      <c r="S110" s="40"/>
      <c r="T110" s="40"/>
      <c r="U110" s="18">
        <f t="shared" si="10"/>
        <v>8269.7900000000009</v>
      </c>
      <c r="V110" s="38" t="str">
        <f t="shared" si="11"/>
        <v>Normal</v>
      </c>
      <c r="W110" s="18">
        <f t="shared" si="12"/>
        <v>26</v>
      </c>
      <c r="X110" s="40"/>
      <c r="Y110" s="40"/>
      <c r="Z110" s="18">
        <f t="shared" si="13"/>
        <v>6</v>
      </c>
      <c r="AA110" s="18" t="str">
        <f t="shared" si="14"/>
        <v>Repeat</v>
      </c>
      <c r="AB110" s="18" t="str">
        <f t="shared" si="15"/>
        <v>Dorothy Nelson</v>
      </c>
      <c r="AC110" s="18" t="str">
        <f t="shared" si="16"/>
        <v>DN</v>
      </c>
      <c r="AD110" s="18" t="str">
        <f t="shared" si="17"/>
        <v>dnelson@gmail.com</v>
      </c>
    </row>
    <row r="111" spans="1:30" ht="18.600000000000001" customHeight="1" x14ac:dyDescent="0.3">
      <c r="A111" s="41" t="s">
        <v>244</v>
      </c>
      <c r="B111" s="42">
        <v>45548</v>
      </c>
      <c r="C111" s="41" t="s">
        <v>38</v>
      </c>
      <c r="D111" s="41" t="s">
        <v>39</v>
      </c>
      <c r="E111" s="41" t="s">
        <v>117</v>
      </c>
      <c r="F111" s="41" t="s">
        <v>118</v>
      </c>
      <c r="G111" s="41" t="s">
        <v>19</v>
      </c>
      <c r="H111" s="41">
        <v>2</v>
      </c>
      <c r="I111" s="41">
        <v>89.99</v>
      </c>
      <c r="J111" s="41" t="s">
        <v>26</v>
      </c>
      <c r="K111" s="41" t="s">
        <v>35</v>
      </c>
      <c r="L111" s="41" t="s">
        <v>27</v>
      </c>
      <c r="M111" s="42">
        <v>44641</v>
      </c>
      <c r="N111" s="41">
        <f t="shared" si="9"/>
        <v>179.98</v>
      </c>
      <c r="O111" s="40"/>
      <c r="P111" s="40"/>
      <c r="Q111" s="40"/>
      <c r="R111" s="40"/>
      <c r="S111" s="40"/>
      <c r="T111" s="40"/>
      <c r="U111" s="18">
        <f t="shared" si="10"/>
        <v>4309.8100000000004</v>
      </c>
      <c r="V111" s="38" t="str">
        <f t="shared" si="11"/>
        <v>Normal</v>
      </c>
      <c r="W111" s="18">
        <f t="shared" si="12"/>
        <v>34</v>
      </c>
      <c r="X111" s="40"/>
      <c r="Y111" s="40"/>
      <c r="Z111" s="18">
        <f t="shared" si="13"/>
        <v>6</v>
      </c>
      <c r="AA111" s="18" t="str">
        <f t="shared" si="14"/>
        <v>Repeat</v>
      </c>
      <c r="AB111" s="18" t="str">
        <f t="shared" si="15"/>
        <v>Kathleen Bennett</v>
      </c>
      <c r="AC111" s="18" t="str">
        <f t="shared" si="16"/>
        <v>KB</v>
      </c>
      <c r="AD111" s="18" t="str">
        <f t="shared" si="17"/>
        <v>kbennett@gmail.com</v>
      </c>
    </row>
    <row r="112" spans="1:30" x14ac:dyDescent="0.3">
      <c r="A112" s="41" t="s">
        <v>245</v>
      </c>
      <c r="B112" s="42">
        <v>45550</v>
      </c>
      <c r="C112" s="41" t="s">
        <v>246</v>
      </c>
      <c r="D112" s="41" t="s">
        <v>247</v>
      </c>
      <c r="E112" s="41" t="s">
        <v>52</v>
      </c>
      <c r="F112" s="41" t="s">
        <v>53</v>
      </c>
      <c r="G112" s="41" t="s">
        <v>19</v>
      </c>
      <c r="H112" s="41">
        <v>4</v>
      </c>
      <c r="I112" s="41">
        <v>149.99</v>
      </c>
      <c r="J112" s="41" t="s">
        <v>20</v>
      </c>
      <c r="K112" s="41" t="s">
        <v>40</v>
      </c>
      <c r="L112" s="41" t="s">
        <v>22</v>
      </c>
      <c r="M112" s="42">
        <v>44909</v>
      </c>
      <c r="N112" s="41">
        <f t="shared" si="9"/>
        <v>599.96</v>
      </c>
      <c r="O112" s="40"/>
      <c r="P112" s="40"/>
      <c r="Q112" s="40"/>
      <c r="R112" s="40"/>
      <c r="S112" s="40"/>
      <c r="T112" s="40"/>
      <c r="U112" s="18">
        <f t="shared" si="10"/>
        <v>1749.92</v>
      </c>
      <c r="V112" s="38" t="str">
        <f t="shared" si="11"/>
        <v>Normal</v>
      </c>
      <c r="W112" s="18">
        <f t="shared" si="12"/>
        <v>16</v>
      </c>
      <c r="X112" s="40"/>
      <c r="Y112" s="40"/>
      <c r="Z112" s="18">
        <f t="shared" si="13"/>
        <v>3</v>
      </c>
      <c r="AA112" s="18" t="str">
        <f t="shared" si="14"/>
        <v>Repeat</v>
      </c>
      <c r="AB112" s="18" t="str">
        <f t="shared" si="15"/>
        <v>Ruth Brooks</v>
      </c>
      <c r="AC112" s="18" t="str">
        <f t="shared" si="16"/>
        <v>RB</v>
      </c>
      <c r="AD112" s="18" t="str">
        <f t="shared" si="17"/>
        <v>rbrooks@gmail.com</v>
      </c>
    </row>
    <row r="113" spans="1:30" x14ac:dyDescent="0.3">
      <c r="A113" s="41" t="s">
        <v>248</v>
      </c>
      <c r="B113" s="42">
        <v>45551</v>
      </c>
      <c r="C113" s="41" t="s">
        <v>65</v>
      </c>
      <c r="D113" s="41" t="s">
        <v>66</v>
      </c>
      <c r="E113" s="41" t="s">
        <v>17</v>
      </c>
      <c r="F113" s="41" t="s">
        <v>18</v>
      </c>
      <c r="G113" s="41" t="s">
        <v>19</v>
      </c>
      <c r="H113" s="41">
        <v>2</v>
      </c>
      <c r="I113" s="41">
        <v>249.99</v>
      </c>
      <c r="J113" s="41" t="s">
        <v>34</v>
      </c>
      <c r="K113" s="41" t="s">
        <v>35</v>
      </c>
      <c r="L113" s="41" t="s">
        <v>22</v>
      </c>
      <c r="M113" s="42">
        <v>44993</v>
      </c>
      <c r="N113" s="41">
        <f t="shared" si="9"/>
        <v>499.98</v>
      </c>
      <c r="O113" s="40"/>
      <c r="P113" s="40"/>
      <c r="Q113" s="40"/>
      <c r="R113" s="40"/>
      <c r="S113" s="40"/>
      <c r="T113" s="40"/>
      <c r="U113" s="18">
        <f t="shared" si="10"/>
        <v>8009.7699999999995</v>
      </c>
      <c r="V113" s="38" t="str">
        <f t="shared" si="11"/>
        <v>Normal</v>
      </c>
      <c r="W113" s="18">
        <f t="shared" si="12"/>
        <v>26</v>
      </c>
      <c r="X113" s="40"/>
      <c r="Y113" s="40"/>
      <c r="Z113" s="18">
        <f t="shared" si="13"/>
        <v>8</v>
      </c>
      <c r="AA113" s="18" t="str">
        <f t="shared" si="14"/>
        <v>Repeat</v>
      </c>
      <c r="AB113" s="18" t="str">
        <f t="shared" si="15"/>
        <v>Karen Hill</v>
      </c>
      <c r="AC113" s="18" t="str">
        <f t="shared" si="16"/>
        <v>KH</v>
      </c>
      <c r="AD113" s="18" t="str">
        <f t="shared" si="17"/>
        <v>khill@gmail.com</v>
      </c>
    </row>
    <row r="114" spans="1:30" x14ac:dyDescent="0.3">
      <c r="A114" s="41" t="s">
        <v>249</v>
      </c>
      <c r="B114" s="42">
        <v>45551</v>
      </c>
      <c r="C114" s="41" t="s">
        <v>154</v>
      </c>
      <c r="D114" s="41" t="s">
        <v>155</v>
      </c>
      <c r="E114" s="41" t="s">
        <v>126</v>
      </c>
      <c r="F114" s="41" t="s">
        <v>127</v>
      </c>
      <c r="G114" s="41" t="s">
        <v>46</v>
      </c>
      <c r="H114" s="41">
        <v>4</v>
      </c>
      <c r="I114" s="41">
        <v>199.99</v>
      </c>
      <c r="J114" s="41" t="s">
        <v>57</v>
      </c>
      <c r="K114" s="41" t="s">
        <v>63</v>
      </c>
      <c r="L114" s="41" t="s">
        <v>22</v>
      </c>
      <c r="M114" s="42">
        <v>44458</v>
      </c>
      <c r="N114" s="41">
        <f t="shared" si="9"/>
        <v>799.96</v>
      </c>
      <c r="O114" s="40"/>
      <c r="P114" s="40"/>
      <c r="Q114" s="40"/>
      <c r="R114" s="40"/>
      <c r="S114" s="40"/>
      <c r="T114" s="40"/>
      <c r="U114" s="18">
        <f t="shared" si="10"/>
        <v>5499.81</v>
      </c>
      <c r="V114" s="38" t="str">
        <f t="shared" si="11"/>
        <v>Normal</v>
      </c>
      <c r="W114" s="18">
        <f t="shared" si="12"/>
        <v>15</v>
      </c>
      <c r="X114" s="40"/>
      <c r="Y114" s="40"/>
      <c r="Z114" s="18">
        <f t="shared" si="13"/>
        <v>5</v>
      </c>
      <c r="AA114" s="18" t="str">
        <f t="shared" si="14"/>
        <v>Repeat</v>
      </c>
      <c r="AB114" s="18" t="str">
        <f t="shared" si="15"/>
        <v>Sarah Davis</v>
      </c>
      <c r="AC114" s="18" t="str">
        <f t="shared" si="16"/>
        <v>SD</v>
      </c>
      <c r="AD114" s="18" t="str">
        <f t="shared" si="17"/>
        <v>sdavis@gmail.com</v>
      </c>
    </row>
    <row r="115" spans="1:30" x14ac:dyDescent="0.3">
      <c r="A115" s="41" t="s">
        <v>250</v>
      </c>
      <c r="B115" s="42">
        <v>45554</v>
      </c>
      <c r="C115" s="41" t="s">
        <v>147</v>
      </c>
      <c r="D115" s="41" t="s">
        <v>148</v>
      </c>
      <c r="E115" s="41" t="s">
        <v>117</v>
      </c>
      <c r="F115" s="41" t="s">
        <v>118</v>
      </c>
      <c r="G115" s="41" t="s">
        <v>19</v>
      </c>
      <c r="H115" s="41">
        <v>5</v>
      </c>
      <c r="I115" s="41">
        <v>89.99</v>
      </c>
      <c r="J115" s="41" t="s">
        <v>26</v>
      </c>
      <c r="K115" s="41" t="s">
        <v>63</v>
      </c>
      <c r="L115" s="41" t="s">
        <v>27</v>
      </c>
      <c r="M115" s="42">
        <v>44446</v>
      </c>
      <c r="N115" s="41">
        <f t="shared" si="9"/>
        <v>449.95</v>
      </c>
      <c r="O115" s="40"/>
      <c r="P115" s="40"/>
      <c r="Q115" s="40"/>
      <c r="R115" s="40"/>
      <c r="S115" s="40"/>
      <c r="T115" s="40"/>
      <c r="U115" s="18">
        <f t="shared" si="10"/>
        <v>7309.7999999999993</v>
      </c>
      <c r="V115" s="38" t="str">
        <f t="shared" si="11"/>
        <v>Normal</v>
      </c>
      <c r="W115" s="18">
        <f t="shared" si="12"/>
        <v>34</v>
      </c>
      <c r="X115" s="40"/>
      <c r="Y115" s="40"/>
      <c r="Z115" s="18">
        <f t="shared" si="13"/>
        <v>7</v>
      </c>
      <c r="AA115" s="18" t="str">
        <f t="shared" si="14"/>
        <v>Repeat</v>
      </c>
      <c r="AB115" s="18" t="str">
        <f t="shared" si="15"/>
        <v>Daniel King</v>
      </c>
      <c r="AC115" s="18" t="str">
        <f t="shared" si="16"/>
        <v>DK</v>
      </c>
      <c r="AD115" s="18" t="str">
        <f t="shared" si="17"/>
        <v>dking@gmail.com</v>
      </c>
    </row>
    <row r="116" spans="1:30" x14ac:dyDescent="0.3">
      <c r="A116" s="41" t="s">
        <v>251</v>
      </c>
      <c r="B116" s="42">
        <v>45554</v>
      </c>
      <c r="C116" s="41" t="s">
        <v>252</v>
      </c>
      <c r="D116" s="41" t="s">
        <v>253</v>
      </c>
      <c r="E116" s="41" t="s">
        <v>52</v>
      </c>
      <c r="F116" s="41" t="s">
        <v>53</v>
      </c>
      <c r="G116" s="41" t="s">
        <v>19</v>
      </c>
      <c r="H116" s="41">
        <v>1</v>
      </c>
      <c r="I116" s="41">
        <v>149.99</v>
      </c>
      <c r="J116" s="41" t="s">
        <v>34</v>
      </c>
      <c r="K116" s="41" t="s">
        <v>63</v>
      </c>
      <c r="L116" s="41" t="s">
        <v>36</v>
      </c>
      <c r="M116" s="42">
        <v>44482</v>
      </c>
      <c r="N116" s="41">
        <f t="shared" si="9"/>
        <v>149.99</v>
      </c>
      <c r="O116" s="40"/>
      <c r="P116" s="40"/>
      <c r="Q116" s="40"/>
      <c r="R116" s="40"/>
      <c r="S116" s="40"/>
      <c r="T116" s="40"/>
      <c r="U116" s="18">
        <f t="shared" si="10"/>
        <v>4749.91</v>
      </c>
      <c r="V116" s="38" t="str">
        <f t="shared" si="11"/>
        <v>Normal</v>
      </c>
      <c r="W116" s="18">
        <f t="shared" si="12"/>
        <v>16</v>
      </c>
      <c r="X116" s="40"/>
      <c r="Y116" s="40"/>
      <c r="Z116" s="18">
        <f t="shared" si="13"/>
        <v>3</v>
      </c>
      <c r="AA116" s="18" t="str">
        <f t="shared" si="14"/>
        <v>Repeat</v>
      </c>
      <c r="AB116" s="18" t="str">
        <f t="shared" si="15"/>
        <v>William White</v>
      </c>
      <c r="AC116" s="18" t="str">
        <f t="shared" si="16"/>
        <v>WW</v>
      </c>
      <c r="AD116" s="18" t="str">
        <f t="shared" si="17"/>
        <v>wwhite@gmail.com</v>
      </c>
    </row>
    <row r="117" spans="1:30" x14ac:dyDescent="0.3">
      <c r="A117" s="41" t="s">
        <v>254</v>
      </c>
      <c r="B117" s="42">
        <v>45554</v>
      </c>
      <c r="C117" s="41" t="s">
        <v>72</v>
      </c>
      <c r="D117" s="41" t="s">
        <v>73</v>
      </c>
      <c r="E117" s="41" t="s">
        <v>80</v>
      </c>
      <c r="F117" s="41" t="s">
        <v>81</v>
      </c>
      <c r="G117" s="41" t="s">
        <v>19</v>
      </c>
      <c r="H117" s="41">
        <v>4</v>
      </c>
      <c r="I117" s="41">
        <v>699.99</v>
      </c>
      <c r="J117" s="41" t="s">
        <v>34</v>
      </c>
      <c r="K117" s="41" t="s">
        <v>35</v>
      </c>
      <c r="L117" s="41" t="s">
        <v>22</v>
      </c>
      <c r="M117" s="42">
        <v>44618</v>
      </c>
      <c r="N117" s="41">
        <f t="shared" si="9"/>
        <v>2799.96</v>
      </c>
      <c r="O117" s="40"/>
      <c r="P117" s="40"/>
      <c r="Q117" s="40"/>
      <c r="R117" s="40"/>
      <c r="S117" s="40"/>
      <c r="T117" s="40"/>
      <c r="U117" s="18">
        <f t="shared" si="10"/>
        <v>5949.85</v>
      </c>
      <c r="V117" s="38" t="str">
        <f t="shared" si="11"/>
        <v>Normal</v>
      </c>
      <c r="W117" s="18">
        <f t="shared" si="12"/>
        <v>31</v>
      </c>
      <c r="X117" s="40"/>
      <c r="Y117" s="40"/>
      <c r="Z117" s="18">
        <f t="shared" si="13"/>
        <v>5</v>
      </c>
      <c r="AA117" s="18" t="str">
        <f t="shared" si="14"/>
        <v>Repeat</v>
      </c>
      <c r="AB117" s="18" t="str">
        <f t="shared" si="15"/>
        <v>Peter Richardson</v>
      </c>
      <c r="AC117" s="18" t="str">
        <f t="shared" si="16"/>
        <v>PR</v>
      </c>
      <c r="AD117" s="18" t="str">
        <f t="shared" si="17"/>
        <v>prichardson@gmail.com</v>
      </c>
    </row>
    <row r="118" spans="1:30" x14ac:dyDescent="0.3">
      <c r="A118" s="41" t="s">
        <v>255</v>
      </c>
      <c r="B118" s="42">
        <v>45559</v>
      </c>
      <c r="C118" s="41" t="s">
        <v>234</v>
      </c>
      <c r="D118" s="41" t="s">
        <v>235</v>
      </c>
      <c r="E118" s="41" t="s">
        <v>61</v>
      </c>
      <c r="F118" s="41" t="s">
        <v>62</v>
      </c>
      <c r="G118" s="41" t="s">
        <v>19</v>
      </c>
      <c r="H118" s="41">
        <v>3</v>
      </c>
      <c r="I118" s="41">
        <v>899.99</v>
      </c>
      <c r="J118" s="41" t="s">
        <v>26</v>
      </c>
      <c r="K118" s="41" t="s">
        <v>40</v>
      </c>
      <c r="L118" s="41" t="s">
        <v>36</v>
      </c>
      <c r="M118" s="42">
        <v>45157</v>
      </c>
      <c r="N118" s="41">
        <f t="shared" si="9"/>
        <v>2699.9700000000003</v>
      </c>
      <c r="O118" s="40"/>
      <c r="P118" s="40"/>
      <c r="Q118" s="40"/>
      <c r="R118" s="40"/>
      <c r="S118" s="40"/>
      <c r="T118" s="40"/>
      <c r="U118" s="18">
        <f t="shared" si="10"/>
        <v>6349.8300000000008</v>
      </c>
      <c r="V118" s="38" t="str">
        <f t="shared" si="11"/>
        <v>Normal</v>
      </c>
      <c r="W118" s="18">
        <f t="shared" si="12"/>
        <v>24</v>
      </c>
      <c r="X118" s="40"/>
      <c r="Y118" s="40"/>
      <c r="Z118" s="18">
        <f t="shared" si="13"/>
        <v>5</v>
      </c>
      <c r="AA118" s="18" t="str">
        <f t="shared" si="14"/>
        <v>Repeat</v>
      </c>
      <c r="AB118" s="18" t="str">
        <f t="shared" si="15"/>
        <v>Sandra Phillips</v>
      </c>
      <c r="AC118" s="18" t="str">
        <f t="shared" si="16"/>
        <v>SP</v>
      </c>
      <c r="AD118" s="18" t="str">
        <f t="shared" si="17"/>
        <v>sphillips@gmail.com</v>
      </c>
    </row>
    <row r="119" spans="1:30" x14ac:dyDescent="0.3">
      <c r="A119" s="41" t="s">
        <v>256</v>
      </c>
      <c r="B119" s="42">
        <v>45560</v>
      </c>
      <c r="C119" s="41" t="s">
        <v>112</v>
      </c>
      <c r="D119" s="41" t="s">
        <v>113</v>
      </c>
      <c r="E119" s="41" t="s">
        <v>44</v>
      </c>
      <c r="F119" s="41" t="s">
        <v>45</v>
      </c>
      <c r="G119" s="41" t="s">
        <v>46</v>
      </c>
      <c r="H119" s="41">
        <v>3</v>
      </c>
      <c r="I119" s="41">
        <v>149.99</v>
      </c>
      <c r="J119" s="41" t="s">
        <v>34</v>
      </c>
      <c r="K119" s="41" t="s">
        <v>63</v>
      </c>
      <c r="L119" s="41" t="s">
        <v>22</v>
      </c>
      <c r="M119" s="42">
        <v>44886</v>
      </c>
      <c r="N119" s="41">
        <f t="shared" si="9"/>
        <v>449.97</v>
      </c>
      <c r="O119" s="40"/>
      <c r="P119" s="40"/>
      <c r="Q119" s="40"/>
      <c r="R119" s="40"/>
      <c r="S119" s="40"/>
      <c r="T119" s="40"/>
      <c r="U119" s="18">
        <f t="shared" si="10"/>
        <v>1289.9000000000001</v>
      </c>
      <c r="V119" s="38" t="str">
        <f t="shared" si="11"/>
        <v>Normal</v>
      </c>
      <c r="W119" s="18">
        <f t="shared" si="12"/>
        <v>35</v>
      </c>
      <c r="X119" s="40"/>
      <c r="Y119" s="40"/>
      <c r="Z119" s="18">
        <f t="shared" si="13"/>
        <v>4</v>
      </c>
      <c r="AA119" s="18" t="str">
        <f t="shared" si="14"/>
        <v>Repeat</v>
      </c>
      <c r="AB119" s="18" t="str">
        <f t="shared" si="15"/>
        <v>Linda Martin</v>
      </c>
      <c r="AC119" s="18" t="str">
        <f t="shared" si="16"/>
        <v>LM</v>
      </c>
      <c r="AD119" s="18" t="str">
        <f t="shared" si="17"/>
        <v>lmartin@gmail.com</v>
      </c>
    </row>
    <row r="120" spans="1:30" x14ac:dyDescent="0.3">
      <c r="A120" s="41" t="s">
        <v>257</v>
      </c>
      <c r="B120" s="42">
        <v>45563</v>
      </c>
      <c r="C120" s="41" t="s">
        <v>99</v>
      </c>
      <c r="D120" s="41" t="s">
        <v>100</v>
      </c>
      <c r="E120" s="41" t="s">
        <v>105</v>
      </c>
      <c r="F120" s="41" t="s">
        <v>106</v>
      </c>
      <c r="G120" s="41" t="s">
        <v>46</v>
      </c>
      <c r="H120" s="41">
        <v>2</v>
      </c>
      <c r="I120" s="41">
        <v>299.99</v>
      </c>
      <c r="J120" s="41" t="s">
        <v>57</v>
      </c>
      <c r="K120" s="41" t="s">
        <v>21</v>
      </c>
      <c r="L120" s="41" t="s">
        <v>22</v>
      </c>
      <c r="M120" s="42">
        <v>44569</v>
      </c>
      <c r="N120" s="41">
        <f t="shared" si="9"/>
        <v>599.98</v>
      </c>
      <c r="O120" s="40"/>
      <c r="P120" s="40"/>
      <c r="Q120" s="40"/>
      <c r="R120" s="40"/>
      <c r="S120" s="40"/>
      <c r="T120" s="40"/>
      <c r="U120" s="18">
        <f t="shared" si="10"/>
        <v>9799.73</v>
      </c>
      <c r="V120" s="38" t="str">
        <f t="shared" si="11"/>
        <v>Normal</v>
      </c>
      <c r="W120" s="18">
        <f t="shared" si="12"/>
        <v>26</v>
      </c>
      <c r="X120" s="40"/>
      <c r="Y120" s="40"/>
      <c r="Z120" s="18">
        <f t="shared" si="13"/>
        <v>8</v>
      </c>
      <c r="AA120" s="18" t="str">
        <f t="shared" si="14"/>
        <v>Repeat</v>
      </c>
      <c r="AB120" s="18" t="str">
        <f t="shared" si="15"/>
        <v>Patricia Moore</v>
      </c>
      <c r="AC120" s="18" t="str">
        <f t="shared" si="16"/>
        <v>PM</v>
      </c>
      <c r="AD120" s="18" t="str">
        <f t="shared" si="17"/>
        <v>pmoore@gmail.com</v>
      </c>
    </row>
    <row r="121" spans="1:30" x14ac:dyDescent="0.3">
      <c r="A121" s="41" t="s">
        <v>258</v>
      </c>
      <c r="B121" s="42">
        <v>45564</v>
      </c>
      <c r="C121" s="41" t="s">
        <v>259</v>
      </c>
      <c r="D121" s="41" t="s">
        <v>260</v>
      </c>
      <c r="E121" s="41" t="s">
        <v>126</v>
      </c>
      <c r="F121" s="41" t="s">
        <v>127</v>
      </c>
      <c r="G121" s="41" t="s">
        <v>46</v>
      </c>
      <c r="H121" s="41">
        <v>1</v>
      </c>
      <c r="I121" s="41">
        <v>199.99</v>
      </c>
      <c r="J121" s="41" t="s">
        <v>57</v>
      </c>
      <c r="K121" s="41" t="s">
        <v>63</v>
      </c>
      <c r="L121" s="41" t="s">
        <v>36</v>
      </c>
      <c r="M121" s="42">
        <v>44953</v>
      </c>
      <c r="N121" s="41">
        <f t="shared" si="9"/>
        <v>199.99</v>
      </c>
      <c r="O121" s="40"/>
      <c r="P121" s="40"/>
      <c r="Q121" s="40"/>
      <c r="R121" s="40"/>
      <c r="S121" s="40"/>
      <c r="T121" s="40"/>
      <c r="U121" s="18">
        <f t="shared" si="10"/>
        <v>739.93000000000006</v>
      </c>
      <c r="V121" s="38" t="str">
        <f t="shared" si="11"/>
        <v>Normal</v>
      </c>
      <c r="W121" s="18">
        <f t="shared" si="12"/>
        <v>15</v>
      </c>
      <c r="X121" s="40"/>
      <c r="Y121" s="40"/>
      <c r="Z121" s="18">
        <f t="shared" si="13"/>
        <v>3</v>
      </c>
      <c r="AA121" s="18" t="str">
        <f t="shared" si="14"/>
        <v>Repeat</v>
      </c>
      <c r="AB121" s="18" t="str">
        <f t="shared" si="15"/>
        <v>Richard Lee</v>
      </c>
      <c r="AC121" s="18" t="str">
        <f t="shared" si="16"/>
        <v>RL</v>
      </c>
      <c r="AD121" s="18" t="str">
        <f t="shared" si="17"/>
        <v>rlee@gmail.com</v>
      </c>
    </row>
    <row r="122" spans="1:30" x14ac:dyDescent="0.3">
      <c r="A122" s="41" t="s">
        <v>261</v>
      </c>
      <c r="B122" s="42">
        <v>45566</v>
      </c>
      <c r="C122" s="41" t="s">
        <v>42</v>
      </c>
      <c r="D122" s="41" t="s">
        <v>43</v>
      </c>
      <c r="E122" s="41" t="s">
        <v>105</v>
      </c>
      <c r="F122" s="41" t="s">
        <v>106</v>
      </c>
      <c r="G122" s="41" t="s">
        <v>46</v>
      </c>
      <c r="H122" s="41">
        <v>4</v>
      </c>
      <c r="I122" s="41">
        <v>299.99</v>
      </c>
      <c r="J122" s="41" t="s">
        <v>20</v>
      </c>
      <c r="K122" s="41" t="s">
        <v>21</v>
      </c>
      <c r="L122" s="41" t="s">
        <v>27</v>
      </c>
      <c r="M122" s="42">
        <v>44460</v>
      </c>
      <c r="N122" s="41">
        <f t="shared" si="9"/>
        <v>1199.96</v>
      </c>
      <c r="O122" s="40"/>
      <c r="P122" s="40"/>
      <c r="Q122" s="40"/>
      <c r="R122" s="40"/>
      <c r="S122" s="40"/>
      <c r="T122" s="40"/>
      <c r="U122" s="18">
        <f t="shared" si="10"/>
        <v>6169.7400000000007</v>
      </c>
      <c r="V122" s="38" t="str">
        <f t="shared" si="11"/>
        <v>Normal</v>
      </c>
      <c r="W122" s="18">
        <f t="shared" si="12"/>
        <v>26</v>
      </c>
      <c r="X122" s="40"/>
      <c r="Y122" s="40"/>
      <c r="Z122" s="18">
        <f t="shared" si="13"/>
        <v>9</v>
      </c>
      <c r="AA122" s="18" t="str">
        <f t="shared" si="14"/>
        <v>Repeat</v>
      </c>
      <c r="AB122" s="18" t="str">
        <f t="shared" si="15"/>
        <v>Michael Brown</v>
      </c>
      <c r="AC122" s="18" t="str">
        <f t="shared" si="16"/>
        <v>MB</v>
      </c>
      <c r="AD122" s="18" t="str">
        <f t="shared" si="17"/>
        <v>mbrown@gmail.com</v>
      </c>
    </row>
    <row r="123" spans="1:30" x14ac:dyDescent="0.3">
      <c r="A123" s="41" t="s">
        <v>262</v>
      </c>
      <c r="B123" s="42">
        <v>45572</v>
      </c>
      <c r="C123" s="41" t="s">
        <v>89</v>
      </c>
      <c r="D123" s="41" t="s">
        <v>90</v>
      </c>
      <c r="E123" s="41" t="s">
        <v>31</v>
      </c>
      <c r="F123" s="41" t="s">
        <v>32</v>
      </c>
      <c r="G123" s="41" t="s">
        <v>33</v>
      </c>
      <c r="H123" s="41">
        <v>2</v>
      </c>
      <c r="I123" s="41">
        <v>59.99</v>
      </c>
      <c r="J123" s="41" t="s">
        <v>26</v>
      </c>
      <c r="K123" s="41" t="s">
        <v>21</v>
      </c>
      <c r="L123" s="41" t="s">
        <v>22</v>
      </c>
      <c r="M123" s="42">
        <v>44579</v>
      </c>
      <c r="N123" s="41">
        <f t="shared" si="9"/>
        <v>119.98</v>
      </c>
      <c r="O123" s="40"/>
      <c r="P123" s="40"/>
      <c r="Q123" s="40"/>
      <c r="R123" s="40"/>
      <c r="S123" s="40"/>
      <c r="T123" s="40"/>
      <c r="U123" s="18">
        <f t="shared" si="10"/>
        <v>1909.93</v>
      </c>
      <c r="V123" s="38" t="str">
        <f t="shared" si="11"/>
        <v>Normal</v>
      </c>
      <c r="W123" s="18">
        <f t="shared" si="12"/>
        <v>29</v>
      </c>
      <c r="X123" s="40"/>
      <c r="Y123" s="40"/>
      <c r="Z123" s="18">
        <f t="shared" si="13"/>
        <v>4</v>
      </c>
      <c r="AA123" s="18" t="str">
        <f t="shared" si="14"/>
        <v>Repeat</v>
      </c>
      <c r="AB123" s="18" t="str">
        <f t="shared" si="15"/>
        <v>Maria Garcia</v>
      </c>
      <c r="AC123" s="18" t="str">
        <f t="shared" si="16"/>
        <v>MG</v>
      </c>
      <c r="AD123" s="18" t="str">
        <f t="shared" si="17"/>
        <v>mgarcia@gmail.com</v>
      </c>
    </row>
    <row r="124" spans="1:30" x14ac:dyDescent="0.3">
      <c r="A124" s="41" t="s">
        <v>263</v>
      </c>
      <c r="B124" s="42">
        <v>45572</v>
      </c>
      <c r="C124" s="41" t="s">
        <v>234</v>
      </c>
      <c r="D124" s="41" t="s">
        <v>235</v>
      </c>
      <c r="E124" s="41" t="s">
        <v>52</v>
      </c>
      <c r="F124" s="41" t="s">
        <v>53</v>
      </c>
      <c r="G124" s="41" t="s">
        <v>19</v>
      </c>
      <c r="H124" s="41">
        <v>4</v>
      </c>
      <c r="I124" s="41">
        <v>149.99</v>
      </c>
      <c r="J124" s="41" t="s">
        <v>26</v>
      </c>
      <c r="K124" s="41" t="s">
        <v>40</v>
      </c>
      <c r="L124" s="41" t="s">
        <v>27</v>
      </c>
      <c r="M124" s="42">
        <v>45076</v>
      </c>
      <c r="N124" s="41">
        <f t="shared" si="9"/>
        <v>599.96</v>
      </c>
      <c r="O124" s="40"/>
      <c r="P124" s="40"/>
      <c r="Q124" s="40"/>
      <c r="R124" s="40"/>
      <c r="S124" s="40"/>
      <c r="T124" s="40"/>
      <c r="U124" s="18">
        <f t="shared" si="10"/>
        <v>6349.8300000000008</v>
      </c>
      <c r="V124" s="38" t="str">
        <f t="shared" si="11"/>
        <v>Normal</v>
      </c>
      <c r="W124" s="18">
        <f t="shared" si="12"/>
        <v>16</v>
      </c>
      <c r="X124" s="40"/>
      <c r="Y124" s="40"/>
      <c r="Z124" s="18">
        <f t="shared" si="13"/>
        <v>5</v>
      </c>
      <c r="AA124" s="18" t="str">
        <f t="shared" si="14"/>
        <v>Repeat</v>
      </c>
      <c r="AB124" s="18" t="str">
        <f t="shared" si="15"/>
        <v>Sandra Phillips</v>
      </c>
      <c r="AC124" s="18" t="str">
        <f t="shared" si="16"/>
        <v>SP</v>
      </c>
      <c r="AD124" s="18" t="str">
        <f t="shared" si="17"/>
        <v>sphillips@gmail.com</v>
      </c>
    </row>
    <row r="125" spans="1:30" x14ac:dyDescent="0.3">
      <c r="A125" s="41" t="s">
        <v>264</v>
      </c>
      <c r="B125" s="42">
        <v>45573</v>
      </c>
      <c r="C125" s="41" t="s">
        <v>211</v>
      </c>
      <c r="D125" s="41" t="s">
        <v>212</v>
      </c>
      <c r="E125" s="41" t="s">
        <v>80</v>
      </c>
      <c r="F125" s="41" t="s">
        <v>81</v>
      </c>
      <c r="G125" s="41" t="s">
        <v>19</v>
      </c>
      <c r="H125" s="41">
        <v>2</v>
      </c>
      <c r="I125" s="41">
        <v>699.99</v>
      </c>
      <c r="J125" s="41" t="s">
        <v>57</v>
      </c>
      <c r="K125" s="41" t="s">
        <v>63</v>
      </c>
      <c r="L125" s="41" t="s">
        <v>27</v>
      </c>
      <c r="M125" s="42">
        <v>45274</v>
      </c>
      <c r="N125" s="41">
        <f t="shared" si="9"/>
        <v>1399.98</v>
      </c>
      <c r="O125" s="40"/>
      <c r="P125" s="40"/>
      <c r="Q125" s="40"/>
      <c r="R125" s="40"/>
      <c r="S125" s="40"/>
      <c r="T125" s="40"/>
      <c r="U125" s="18">
        <f t="shared" si="10"/>
        <v>3649.8599999999997</v>
      </c>
      <c r="V125" s="38" t="str">
        <f t="shared" si="11"/>
        <v>Normal</v>
      </c>
      <c r="W125" s="18">
        <f t="shared" si="12"/>
        <v>31</v>
      </c>
      <c r="X125" s="40"/>
      <c r="Y125" s="40"/>
      <c r="Z125" s="18">
        <f t="shared" si="13"/>
        <v>4</v>
      </c>
      <c r="AA125" s="18" t="str">
        <f t="shared" si="14"/>
        <v>Repeat</v>
      </c>
      <c r="AB125" s="18" t="str">
        <f t="shared" si="15"/>
        <v>Elizabeth Hall</v>
      </c>
      <c r="AC125" s="18" t="str">
        <f t="shared" si="16"/>
        <v>EH</v>
      </c>
      <c r="AD125" s="18" t="str">
        <f t="shared" si="17"/>
        <v>ehall@gmail.com</v>
      </c>
    </row>
    <row r="126" spans="1:30" x14ac:dyDescent="0.3">
      <c r="A126" s="41" t="s">
        <v>265</v>
      </c>
      <c r="B126" s="42">
        <v>45573</v>
      </c>
      <c r="C126" s="41" t="s">
        <v>231</v>
      </c>
      <c r="D126" s="41" t="s">
        <v>232</v>
      </c>
      <c r="E126" s="41" t="s">
        <v>44</v>
      </c>
      <c r="F126" s="41" t="s">
        <v>45</v>
      </c>
      <c r="G126" s="41" t="s">
        <v>46</v>
      </c>
      <c r="H126" s="41">
        <v>3</v>
      </c>
      <c r="I126" s="41">
        <v>149.99</v>
      </c>
      <c r="J126" s="41" t="s">
        <v>26</v>
      </c>
      <c r="K126" s="41" t="s">
        <v>35</v>
      </c>
      <c r="L126" s="41" t="s">
        <v>36</v>
      </c>
      <c r="M126" s="42">
        <v>44940</v>
      </c>
      <c r="N126" s="41">
        <f t="shared" si="9"/>
        <v>449.97</v>
      </c>
      <c r="O126" s="40"/>
      <c r="P126" s="40"/>
      <c r="Q126" s="40"/>
      <c r="R126" s="40"/>
      <c r="S126" s="40"/>
      <c r="T126" s="40"/>
      <c r="U126" s="18">
        <f t="shared" si="10"/>
        <v>1149.93</v>
      </c>
      <c r="V126" s="38" t="str">
        <f t="shared" si="11"/>
        <v>Normal</v>
      </c>
      <c r="W126" s="18">
        <f t="shared" si="12"/>
        <v>35</v>
      </c>
      <c r="X126" s="40"/>
      <c r="Y126" s="40"/>
      <c r="Z126" s="18">
        <f t="shared" si="13"/>
        <v>3</v>
      </c>
      <c r="AA126" s="18" t="str">
        <f t="shared" si="14"/>
        <v>Repeat</v>
      </c>
      <c r="AB126" s="18" t="str">
        <f t="shared" si="15"/>
        <v>Carol Evans</v>
      </c>
      <c r="AC126" s="18" t="str">
        <f t="shared" si="16"/>
        <v>CE</v>
      </c>
      <c r="AD126" s="18" t="str">
        <f t="shared" si="17"/>
        <v>cevans@gmail.com</v>
      </c>
    </row>
    <row r="127" spans="1:30" x14ac:dyDescent="0.3">
      <c r="A127" s="41" t="s">
        <v>266</v>
      </c>
      <c r="B127" s="42">
        <v>45576</v>
      </c>
      <c r="C127" s="41" t="s">
        <v>147</v>
      </c>
      <c r="D127" s="41" t="s">
        <v>148</v>
      </c>
      <c r="E127" s="41" t="s">
        <v>105</v>
      </c>
      <c r="F127" s="41" t="s">
        <v>106</v>
      </c>
      <c r="G127" s="41" t="s">
        <v>46</v>
      </c>
      <c r="H127" s="41">
        <v>3</v>
      </c>
      <c r="I127" s="41">
        <v>299.99</v>
      </c>
      <c r="J127" s="41" t="s">
        <v>26</v>
      </c>
      <c r="K127" s="41" t="s">
        <v>21</v>
      </c>
      <c r="L127" s="41" t="s">
        <v>36</v>
      </c>
      <c r="M127" s="42">
        <v>45174</v>
      </c>
      <c r="N127" s="41">
        <f t="shared" si="9"/>
        <v>899.97</v>
      </c>
      <c r="O127" s="40"/>
      <c r="P127" s="40"/>
      <c r="Q127" s="40"/>
      <c r="R127" s="40"/>
      <c r="S127" s="40"/>
      <c r="T127" s="40"/>
      <c r="U127" s="18">
        <f t="shared" si="10"/>
        <v>7309.7999999999993</v>
      </c>
      <c r="V127" s="38" t="str">
        <f t="shared" si="11"/>
        <v>Normal</v>
      </c>
      <c r="W127" s="18">
        <f t="shared" si="12"/>
        <v>26</v>
      </c>
      <c r="X127" s="40"/>
      <c r="Y127" s="40"/>
      <c r="Z127" s="18">
        <f t="shared" si="13"/>
        <v>7</v>
      </c>
      <c r="AA127" s="18" t="str">
        <f t="shared" si="14"/>
        <v>Repeat</v>
      </c>
      <c r="AB127" s="18" t="str">
        <f t="shared" si="15"/>
        <v>Daniel King</v>
      </c>
      <c r="AC127" s="18" t="str">
        <f t="shared" si="16"/>
        <v>DK</v>
      </c>
      <c r="AD127" s="18" t="str">
        <f t="shared" si="17"/>
        <v>dking@gmail.com</v>
      </c>
    </row>
    <row r="128" spans="1:30" x14ac:dyDescent="0.3">
      <c r="A128" s="41" t="s">
        <v>267</v>
      </c>
      <c r="B128" s="42">
        <v>45579</v>
      </c>
      <c r="C128" s="41" t="s">
        <v>83</v>
      </c>
      <c r="D128" s="41" t="s">
        <v>84</v>
      </c>
      <c r="E128" s="41" t="s">
        <v>61</v>
      </c>
      <c r="F128" s="41" t="s">
        <v>62</v>
      </c>
      <c r="G128" s="41" t="s">
        <v>19</v>
      </c>
      <c r="H128" s="41">
        <v>3</v>
      </c>
      <c r="I128" s="41">
        <v>899.99</v>
      </c>
      <c r="J128" s="41" t="s">
        <v>34</v>
      </c>
      <c r="K128" s="41" t="s">
        <v>50</v>
      </c>
      <c r="L128" s="41" t="s">
        <v>22</v>
      </c>
      <c r="M128" s="42">
        <v>45215</v>
      </c>
      <c r="N128" s="41">
        <f t="shared" si="9"/>
        <v>2699.9700000000003</v>
      </c>
      <c r="O128" s="40"/>
      <c r="P128" s="40"/>
      <c r="Q128" s="40"/>
      <c r="R128" s="40"/>
      <c r="S128" s="40"/>
      <c r="T128" s="40"/>
      <c r="U128" s="18">
        <f t="shared" si="10"/>
        <v>3779.93</v>
      </c>
      <c r="V128" s="38" t="str">
        <f t="shared" si="11"/>
        <v>Normal</v>
      </c>
      <c r="W128" s="18">
        <f t="shared" si="12"/>
        <v>24</v>
      </c>
      <c r="X128" s="40"/>
      <c r="Y128" s="40"/>
      <c r="Z128" s="18">
        <f t="shared" si="13"/>
        <v>3</v>
      </c>
      <c r="AA128" s="18" t="str">
        <f t="shared" si="14"/>
        <v>Repeat</v>
      </c>
      <c r="AB128" s="18" t="str">
        <f t="shared" si="15"/>
        <v>George Adams</v>
      </c>
      <c r="AC128" s="18" t="str">
        <f t="shared" si="16"/>
        <v>GA</v>
      </c>
      <c r="AD128" s="18" t="str">
        <f t="shared" si="17"/>
        <v>gadams@gmail.com</v>
      </c>
    </row>
    <row r="129" spans="1:30" x14ac:dyDescent="0.3">
      <c r="A129" s="41" t="s">
        <v>268</v>
      </c>
      <c r="B129" s="42">
        <v>45581</v>
      </c>
      <c r="C129" s="41" t="s">
        <v>96</v>
      </c>
      <c r="D129" s="41" t="s">
        <v>97</v>
      </c>
      <c r="E129" s="41" t="s">
        <v>80</v>
      </c>
      <c r="F129" s="41" t="s">
        <v>81</v>
      </c>
      <c r="G129" s="41" t="s">
        <v>19</v>
      </c>
      <c r="H129" s="41">
        <v>5</v>
      </c>
      <c r="I129" s="41">
        <v>699.99</v>
      </c>
      <c r="J129" s="41" t="s">
        <v>20</v>
      </c>
      <c r="K129" s="41" t="s">
        <v>63</v>
      </c>
      <c r="L129" s="41" t="s">
        <v>36</v>
      </c>
      <c r="M129" s="42">
        <v>45008</v>
      </c>
      <c r="N129" s="41">
        <f t="shared" si="9"/>
        <v>3499.95</v>
      </c>
      <c r="O129" s="40"/>
      <c r="P129" s="40"/>
      <c r="Q129" s="40"/>
      <c r="R129" s="40"/>
      <c r="S129" s="40"/>
      <c r="T129" s="40"/>
      <c r="U129" s="18">
        <f t="shared" si="10"/>
        <v>10649.8</v>
      </c>
      <c r="V129" s="38" t="str">
        <f t="shared" si="11"/>
        <v>High Value</v>
      </c>
      <c r="W129" s="18">
        <f t="shared" si="12"/>
        <v>31</v>
      </c>
      <c r="X129" s="40"/>
      <c r="Y129" s="40"/>
      <c r="Z129" s="18">
        <f t="shared" si="13"/>
        <v>5</v>
      </c>
      <c r="AA129" s="18" t="str">
        <f t="shared" si="14"/>
        <v>Repeat</v>
      </c>
      <c r="AB129" s="18" t="str">
        <f t="shared" si="15"/>
        <v>Barbara Young</v>
      </c>
      <c r="AC129" s="18" t="str">
        <f t="shared" si="16"/>
        <v>BY</v>
      </c>
      <c r="AD129" s="18" t="str">
        <f t="shared" si="17"/>
        <v>byoung@gmail.com</v>
      </c>
    </row>
    <row r="130" spans="1:30" x14ac:dyDescent="0.3">
      <c r="A130" s="41" t="s">
        <v>269</v>
      </c>
      <c r="B130" s="42">
        <v>45581</v>
      </c>
      <c r="C130" s="41" t="s">
        <v>171</v>
      </c>
      <c r="D130" s="41" t="s">
        <v>172</v>
      </c>
      <c r="E130" s="41" t="s">
        <v>80</v>
      </c>
      <c r="F130" s="41" t="s">
        <v>81</v>
      </c>
      <c r="G130" s="41" t="s">
        <v>19</v>
      </c>
      <c r="H130" s="41">
        <v>4</v>
      </c>
      <c r="I130" s="41">
        <v>699.99</v>
      </c>
      <c r="J130" s="41" t="s">
        <v>26</v>
      </c>
      <c r="K130" s="41" t="s">
        <v>21</v>
      </c>
      <c r="L130" s="41" t="s">
        <v>22</v>
      </c>
      <c r="M130" s="42">
        <v>45385</v>
      </c>
      <c r="N130" s="41">
        <f t="shared" si="9"/>
        <v>2799.96</v>
      </c>
      <c r="O130" s="40"/>
      <c r="P130" s="40"/>
      <c r="Q130" s="40"/>
      <c r="R130" s="40"/>
      <c r="S130" s="40"/>
      <c r="T130" s="40"/>
      <c r="U130" s="18">
        <f t="shared" si="10"/>
        <v>3669.85</v>
      </c>
      <c r="V130" s="38" t="str">
        <f t="shared" si="11"/>
        <v>Normal</v>
      </c>
      <c r="W130" s="18">
        <f t="shared" si="12"/>
        <v>31</v>
      </c>
      <c r="X130" s="40"/>
      <c r="Y130" s="40"/>
      <c r="Z130" s="18">
        <f t="shared" si="13"/>
        <v>4</v>
      </c>
      <c r="AA130" s="18" t="str">
        <f t="shared" si="14"/>
        <v>Repeat</v>
      </c>
      <c r="AB130" s="18" t="str">
        <f t="shared" si="15"/>
        <v>Raymond Ross</v>
      </c>
      <c r="AC130" s="18" t="str">
        <f t="shared" si="16"/>
        <v>RR</v>
      </c>
      <c r="AD130" s="18" t="str">
        <f t="shared" si="17"/>
        <v>rross@gmail.com</v>
      </c>
    </row>
    <row r="131" spans="1:30" x14ac:dyDescent="0.3">
      <c r="A131" s="41" t="s">
        <v>270</v>
      </c>
      <c r="B131" s="42">
        <v>45581</v>
      </c>
      <c r="C131" s="41" t="s">
        <v>150</v>
      </c>
      <c r="D131" s="41" t="s">
        <v>151</v>
      </c>
      <c r="E131" s="41" t="s">
        <v>61</v>
      </c>
      <c r="F131" s="41" t="s">
        <v>62</v>
      </c>
      <c r="G131" s="41" t="s">
        <v>19</v>
      </c>
      <c r="H131" s="41">
        <v>1</v>
      </c>
      <c r="I131" s="41">
        <v>899.99</v>
      </c>
      <c r="J131" s="41" t="s">
        <v>26</v>
      </c>
      <c r="K131" s="41" t="s">
        <v>63</v>
      </c>
      <c r="L131" s="41" t="s">
        <v>36</v>
      </c>
      <c r="M131" s="42">
        <v>45369</v>
      </c>
      <c r="N131" s="41">
        <f t="shared" ref="N131:N194" si="18">H131*I131</f>
        <v>899.99</v>
      </c>
      <c r="O131" s="40"/>
      <c r="P131" s="40"/>
      <c r="Q131" s="40"/>
      <c r="R131" s="40"/>
      <c r="S131" s="40"/>
      <c r="T131" s="40"/>
      <c r="U131" s="18">
        <f t="shared" ref="U131:U194" si="19">SUMIFS($N:$N,$D:$D,D131)</f>
        <v>5619.87</v>
      </c>
      <c r="V131" s="38" t="str">
        <f t="shared" ref="V131:V194" si="20">IF(U131&gt;10000,"High Value","Normal")</f>
        <v>Normal</v>
      </c>
      <c r="W131" s="18">
        <f t="shared" ref="W131:W194" si="21">COUNTIF($E$2:$E$500, E131)</f>
        <v>24</v>
      </c>
      <c r="X131" s="40"/>
      <c r="Y131" s="40"/>
      <c r="Z131" s="18">
        <f t="shared" ref="Z131:Z194" si="22">COUNTIF($D:$D, D131)</f>
        <v>6</v>
      </c>
      <c r="AA131" s="18" t="str">
        <f t="shared" ref="AA131:AA194" si="23">IF(Z131&gt;1,"Repeat","Unique")</f>
        <v>Repeat</v>
      </c>
      <c r="AB131" s="18" t="str">
        <f t="shared" ref="AB131:AB194" si="24">IF($AA131="Repeat",D131,"")</f>
        <v>Sharon Butler</v>
      </c>
      <c r="AC131" s="18" t="str">
        <f t="shared" ref="AC131:AC194" si="25">LEFT(D131,1) &amp; MID(D131,FIND(" ",D131)+1,1)</f>
        <v>SB</v>
      </c>
      <c r="AD131" s="18" t="str">
        <f t="shared" ref="AD131:AD194" si="26">LOWER(LEFT(D131,1) &amp; MID(D131,FIND(" ",D131)+1,100) &amp; "@gmail.com")</f>
        <v>sbutler@gmail.com</v>
      </c>
    </row>
    <row r="132" spans="1:30" x14ac:dyDescent="0.3">
      <c r="A132" s="41" t="s">
        <v>271</v>
      </c>
      <c r="B132" s="42">
        <v>45583</v>
      </c>
      <c r="C132" s="41" t="s">
        <v>226</v>
      </c>
      <c r="D132" s="41" t="s">
        <v>227</v>
      </c>
      <c r="E132" s="41" t="s">
        <v>52</v>
      </c>
      <c r="F132" s="41" t="s">
        <v>53</v>
      </c>
      <c r="G132" s="41" t="s">
        <v>19</v>
      </c>
      <c r="H132" s="41">
        <v>2</v>
      </c>
      <c r="I132" s="41">
        <v>149.99</v>
      </c>
      <c r="J132" s="41" t="s">
        <v>26</v>
      </c>
      <c r="K132" s="41" t="s">
        <v>50</v>
      </c>
      <c r="L132" s="41" t="s">
        <v>22</v>
      </c>
      <c r="M132" s="42">
        <v>44916</v>
      </c>
      <c r="N132" s="41">
        <f t="shared" si="18"/>
        <v>299.98</v>
      </c>
      <c r="O132" s="40"/>
      <c r="P132" s="40"/>
      <c r="Q132" s="40"/>
      <c r="R132" s="40"/>
      <c r="S132" s="40"/>
      <c r="T132" s="40"/>
      <c r="U132" s="18">
        <f t="shared" si="19"/>
        <v>6989.7699999999986</v>
      </c>
      <c r="V132" s="38" t="str">
        <f t="shared" si="20"/>
        <v>Normal</v>
      </c>
      <c r="W132" s="18">
        <f t="shared" si="21"/>
        <v>16</v>
      </c>
      <c r="X132" s="40"/>
      <c r="Y132" s="40"/>
      <c r="Z132" s="18">
        <f t="shared" si="22"/>
        <v>8</v>
      </c>
      <c r="AA132" s="18" t="str">
        <f t="shared" si="23"/>
        <v>Repeat</v>
      </c>
      <c r="AB132" s="18" t="str">
        <f t="shared" si="24"/>
        <v>Lawrence Reed</v>
      </c>
      <c r="AC132" s="18" t="str">
        <f t="shared" si="25"/>
        <v>LR</v>
      </c>
      <c r="AD132" s="18" t="str">
        <f t="shared" si="26"/>
        <v>lreed@gmail.com</v>
      </c>
    </row>
    <row r="133" spans="1:30" ht="15" customHeight="1" x14ac:dyDescent="0.3">
      <c r="A133" s="41" t="s">
        <v>272</v>
      </c>
      <c r="B133" s="42">
        <v>45586</v>
      </c>
      <c r="C133" s="41" t="s">
        <v>226</v>
      </c>
      <c r="D133" s="41" t="s">
        <v>227</v>
      </c>
      <c r="E133" s="41" t="s">
        <v>117</v>
      </c>
      <c r="F133" s="41" t="s">
        <v>118</v>
      </c>
      <c r="G133" s="41" t="s">
        <v>19</v>
      </c>
      <c r="H133" s="41">
        <v>3</v>
      </c>
      <c r="I133" s="41">
        <v>89.99</v>
      </c>
      <c r="J133" s="41" t="s">
        <v>34</v>
      </c>
      <c r="K133" s="41" t="s">
        <v>21</v>
      </c>
      <c r="L133" s="41" t="s">
        <v>22</v>
      </c>
      <c r="M133" s="42">
        <v>44551</v>
      </c>
      <c r="N133" s="41">
        <f t="shared" si="18"/>
        <v>269.96999999999997</v>
      </c>
      <c r="O133" s="40"/>
      <c r="P133" s="40"/>
      <c r="Q133" s="40"/>
      <c r="R133" s="40"/>
      <c r="S133" s="40"/>
      <c r="T133" s="40"/>
      <c r="U133" s="18">
        <f t="shared" si="19"/>
        <v>6989.7699999999986</v>
      </c>
      <c r="V133" s="38" t="str">
        <f t="shared" si="20"/>
        <v>Normal</v>
      </c>
      <c r="W133" s="18">
        <f t="shared" si="21"/>
        <v>34</v>
      </c>
      <c r="X133" s="40"/>
      <c r="Y133" s="40"/>
      <c r="Z133" s="18">
        <f t="shared" si="22"/>
        <v>8</v>
      </c>
      <c r="AA133" s="18" t="str">
        <f t="shared" si="23"/>
        <v>Repeat</v>
      </c>
      <c r="AB133" s="18" t="str">
        <f t="shared" si="24"/>
        <v>Lawrence Reed</v>
      </c>
      <c r="AC133" s="18" t="str">
        <f t="shared" si="25"/>
        <v>LR</v>
      </c>
      <c r="AD133" s="18" t="str">
        <f t="shared" si="26"/>
        <v>lreed@gmail.com</v>
      </c>
    </row>
    <row r="134" spans="1:30" ht="17.399999999999999" customHeight="1" x14ac:dyDescent="0.3">
      <c r="A134" s="41" t="s">
        <v>273</v>
      </c>
      <c r="B134" s="42">
        <v>45588</v>
      </c>
      <c r="C134" s="41" t="s">
        <v>38</v>
      </c>
      <c r="D134" s="41" t="s">
        <v>39</v>
      </c>
      <c r="E134" s="41" t="s">
        <v>52</v>
      </c>
      <c r="F134" s="41" t="s">
        <v>53</v>
      </c>
      <c r="G134" s="41" t="s">
        <v>19</v>
      </c>
      <c r="H134" s="41">
        <v>2</v>
      </c>
      <c r="I134" s="41">
        <v>149.99</v>
      </c>
      <c r="J134" s="41" t="s">
        <v>34</v>
      </c>
      <c r="K134" s="41" t="s">
        <v>21</v>
      </c>
      <c r="L134" s="41" t="s">
        <v>22</v>
      </c>
      <c r="M134" s="42">
        <v>44473</v>
      </c>
      <c r="N134" s="41">
        <f t="shared" si="18"/>
        <v>299.98</v>
      </c>
      <c r="O134" s="40"/>
      <c r="P134" s="40"/>
      <c r="Q134" s="40"/>
      <c r="R134" s="40"/>
      <c r="S134" s="40"/>
      <c r="T134" s="40"/>
      <c r="U134" s="18">
        <f t="shared" si="19"/>
        <v>4309.8100000000004</v>
      </c>
      <c r="V134" s="38" t="str">
        <f t="shared" si="20"/>
        <v>Normal</v>
      </c>
      <c r="W134" s="18">
        <f t="shared" si="21"/>
        <v>16</v>
      </c>
      <c r="X134" s="40"/>
      <c r="Y134" s="40"/>
      <c r="Z134" s="18">
        <f t="shared" si="22"/>
        <v>6</v>
      </c>
      <c r="AA134" s="18" t="str">
        <f t="shared" si="23"/>
        <v>Repeat</v>
      </c>
      <c r="AB134" s="18" t="str">
        <f t="shared" si="24"/>
        <v>Kathleen Bennett</v>
      </c>
      <c r="AC134" s="18" t="str">
        <f t="shared" si="25"/>
        <v>KB</v>
      </c>
      <c r="AD134" s="18" t="str">
        <f t="shared" si="26"/>
        <v>kbennett@gmail.com</v>
      </c>
    </row>
    <row r="135" spans="1:30" x14ac:dyDescent="0.3">
      <c r="A135" s="41" t="s">
        <v>274</v>
      </c>
      <c r="B135" s="42">
        <v>45588</v>
      </c>
      <c r="C135" s="41" t="s">
        <v>154</v>
      </c>
      <c r="D135" s="41" t="s">
        <v>155</v>
      </c>
      <c r="E135" s="41" t="s">
        <v>80</v>
      </c>
      <c r="F135" s="41" t="s">
        <v>81</v>
      </c>
      <c r="G135" s="41" t="s">
        <v>19</v>
      </c>
      <c r="H135" s="41">
        <v>2</v>
      </c>
      <c r="I135" s="41">
        <v>699.99</v>
      </c>
      <c r="J135" s="41" t="s">
        <v>20</v>
      </c>
      <c r="K135" s="41" t="s">
        <v>21</v>
      </c>
      <c r="L135" s="41" t="s">
        <v>22</v>
      </c>
      <c r="M135" s="42">
        <v>44992</v>
      </c>
      <c r="N135" s="41">
        <f t="shared" si="18"/>
        <v>1399.98</v>
      </c>
      <c r="O135" s="40"/>
      <c r="P135" s="40"/>
      <c r="Q135" s="40"/>
      <c r="R135" s="40"/>
      <c r="S135" s="40"/>
      <c r="T135" s="40"/>
      <c r="U135" s="18">
        <f t="shared" si="19"/>
        <v>5499.81</v>
      </c>
      <c r="V135" s="38" t="str">
        <f t="shared" si="20"/>
        <v>Normal</v>
      </c>
      <c r="W135" s="18">
        <f t="shared" si="21"/>
        <v>31</v>
      </c>
      <c r="X135" s="40"/>
      <c r="Y135" s="40"/>
      <c r="Z135" s="18">
        <f t="shared" si="22"/>
        <v>5</v>
      </c>
      <c r="AA135" s="18" t="str">
        <f t="shared" si="23"/>
        <v>Repeat</v>
      </c>
      <c r="AB135" s="18" t="str">
        <f t="shared" si="24"/>
        <v>Sarah Davis</v>
      </c>
      <c r="AC135" s="18" t="str">
        <f t="shared" si="25"/>
        <v>SD</v>
      </c>
      <c r="AD135" s="18" t="str">
        <f t="shared" si="26"/>
        <v>sdavis@gmail.com</v>
      </c>
    </row>
    <row r="136" spans="1:30" x14ac:dyDescent="0.3">
      <c r="A136" s="41" t="s">
        <v>275</v>
      </c>
      <c r="B136" s="42">
        <v>45589</v>
      </c>
      <c r="C136" s="41" t="s">
        <v>158</v>
      </c>
      <c r="D136" s="41" t="s">
        <v>159</v>
      </c>
      <c r="E136" s="41" t="s">
        <v>80</v>
      </c>
      <c r="F136" s="41" t="s">
        <v>81</v>
      </c>
      <c r="G136" s="41" t="s">
        <v>19</v>
      </c>
      <c r="H136" s="41">
        <v>5</v>
      </c>
      <c r="I136" s="41">
        <v>699.99</v>
      </c>
      <c r="J136" s="41" t="s">
        <v>20</v>
      </c>
      <c r="K136" s="41" t="s">
        <v>40</v>
      </c>
      <c r="L136" s="41" t="s">
        <v>27</v>
      </c>
      <c r="M136" s="42">
        <v>44635</v>
      </c>
      <c r="N136" s="41">
        <f t="shared" si="18"/>
        <v>3499.95</v>
      </c>
      <c r="O136" s="40"/>
      <c r="P136" s="40"/>
      <c r="Q136" s="40"/>
      <c r="R136" s="40"/>
      <c r="S136" s="40"/>
      <c r="T136" s="40"/>
      <c r="U136" s="18">
        <f t="shared" si="19"/>
        <v>5649.84</v>
      </c>
      <c r="V136" s="38" t="str">
        <f t="shared" si="20"/>
        <v>Normal</v>
      </c>
      <c r="W136" s="18">
        <f t="shared" si="21"/>
        <v>31</v>
      </c>
      <c r="X136" s="40"/>
      <c r="Y136" s="40"/>
      <c r="Z136" s="18">
        <f t="shared" si="22"/>
        <v>5</v>
      </c>
      <c r="AA136" s="18" t="str">
        <f t="shared" si="23"/>
        <v>Repeat</v>
      </c>
      <c r="AB136" s="18" t="str">
        <f t="shared" si="24"/>
        <v>Betty Campbell</v>
      </c>
      <c r="AC136" s="18" t="str">
        <f t="shared" si="25"/>
        <v>BC</v>
      </c>
      <c r="AD136" s="18" t="str">
        <f t="shared" si="26"/>
        <v>bcampbell@gmail.com</v>
      </c>
    </row>
    <row r="137" spans="1:30" x14ac:dyDescent="0.3">
      <c r="A137" s="41" t="s">
        <v>276</v>
      </c>
      <c r="B137" s="42">
        <v>45592</v>
      </c>
      <c r="C137" s="41" t="s">
        <v>171</v>
      </c>
      <c r="D137" s="41" t="s">
        <v>172</v>
      </c>
      <c r="E137" s="41" t="s">
        <v>117</v>
      </c>
      <c r="F137" s="41" t="s">
        <v>118</v>
      </c>
      <c r="G137" s="41" t="s">
        <v>19</v>
      </c>
      <c r="H137" s="41">
        <v>3</v>
      </c>
      <c r="I137" s="41">
        <v>89.99</v>
      </c>
      <c r="J137" s="41" t="s">
        <v>26</v>
      </c>
      <c r="K137" s="41" t="s">
        <v>40</v>
      </c>
      <c r="L137" s="41" t="s">
        <v>36</v>
      </c>
      <c r="M137" s="42">
        <v>44615</v>
      </c>
      <c r="N137" s="41">
        <f t="shared" si="18"/>
        <v>269.96999999999997</v>
      </c>
      <c r="O137" s="40"/>
      <c r="P137" s="40"/>
      <c r="Q137" s="40"/>
      <c r="R137" s="40"/>
      <c r="S137" s="40"/>
      <c r="T137" s="40"/>
      <c r="U137" s="18">
        <f t="shared" si="19"/>
        <v>3669.85</v>
      </c>
      <c r="V137" s="38" t="str">
        <f t="shared" si="20"/>
        <v>Normal</v>
      </c>
      <c r="W137" s="18">
        <f t="shared" si="21"/>
        <v>34</v>
      </c>
      <c r="X137" s="40"/>
      <c r="Y137" s="40"/>
      <c r="Z137" s="18">
        <f t="shared" si="22"/>
        <v>4</v>
      </c>
      <c r="AA137" s="18" t="str">
        <f t="shared" si="23"/>
        <v>Repeat</v>
      </c>
      <c r="AB137" s="18" t="str">
        <f t="shared" si="24"/>
        <v>Raymond Ross</v>
      </c>
      <c r="AC137" s="18" t="str">
        <f t="shared" si="25"/>
        <v>RR</v>
      </c>
      <c r="AD137" s="18" t="str">
        <f t="shared" si="26"/>
        <v>rross@gmail.com</v>
      </c>
    </row>
    <row r="138" spans="1:30" x14ac:dyDescent="0.3">
      <c r="A138" s="41" t="s">
        <v>277</v>
      </c>
      <c r="B138" s="42">
        <v>45597</v>
      </c>
      <c r="C138" s="41" t="s">
        <v>15</v>
      </c>
      <c r="D138" s="41" t="s">
        <v>16</v>
      </c>
      <c r="E138" s="41" t="s">
        <v>17</v>
      </c>
      <c r="F138" s="41" t="s">
        <v>18</v>
      </c>
      <c r="G138" s="41" t="s">
        <v>19</v>
      </c>
      <c r="H138" s="41">
        <v>5</v>
      </c>
      <c r="I138" s="41">
        <v>249.99</v>
      </c>
      <c r="J138" s="41" t="s">
        <v>26</v>
      </c>
      <c r="K138" s="41" t="s">
        <v>35</v>
      </c>
      <c r="L138" s="41" t="s">
        <v>36</v>
      </c>
      <c r="M138" s="42">
        <v>44881</v>
      </c>
      <c r="N138" s="41">
        <f t="shared" si="18"/>
        <v>1249.95</v>
      </c>
      <c r="O138" s="40"/>
      <c r="P138" s="40"/>
      <c r="Q138" s="40"/>
      <c r="R138" s="40"/>
      <c r="S138" s="40"/>
      <c r="T138" s="40"/>
      <c r="U138" s="18">
        <f t="shared" si="19"/>
        <v>13809.790000000006</v>
      </c>
      <c r="V138" s="38" t="str">
        <f t="shared" si="20"/>
        <v>High Value</v>
      </c>
      <c r="W138" s="18">
        <f t="shared" si="21"/>
        <v>26</v>
      </c>
      <c r="X138" s="40"/>
      <c r="Y138" s="40"/>
      <c r="Z138" s="18">
        <f t="shared" si="22"/>
        <v>8</v>
      </c>
      <c r="AA138" s="18" t="str">
        <f t="shared" si="23"/>
        <v>Repeat</v>
      </c>
      <c r="AB138" s="18" t="str">
        <f t="shared" si="24"/>
        <v>Paul Baker</v>
      </c>
      <c r="AC138" s="18" t="str">
        <f t="shared" si="25"/>
        <v>PB</v>
      </c>
      <c r="AD138" s="18" t="str">
        <f t="shared" si="26"/>
        <v>pbaker@gmail.com</v>
      </c>
    </row>
    <row r="139" spans="1:30" x14ac:dyDescent="0.3">
      <c r="A139" s="41" t="s">
        <v>278</v>
      </c>
      <c r="B139" s="42">
        <v>45600</v>
      </c>
      <c r="C139" s="41" t="s">
        <v>65</v>
      </c>
      <c r="D139" s="41" t="s">
        <v>66</v>
      </c>
      <c r="E139" s="41" t="s">
        <v>105</v>
      </c>
      <c r="F139" s="41" t="s">
        <v>106</v>
      </c>
      <c r="G139" s="41" t="s">
        <v>46</v>
      </c>
      <c r="H139" s="41">
        <v>3</v>
      </c>
      <c r="I139" s="41">
        <v>299.99</v>
      </c>
      <c r="J139" s="41" t="s">
        <v>26</v>
      </c>
      <c r="K139" s="41" t="s">
        <v>35</v>
      </c>
      <c r="L139" s="41" t="s">
        <v>36</v>
      </c>
      <c r="M139" s="42">
        <v>44502</v>
      </c>
      <c r="N139" s="41">
        <f t="shared" si="18"/>
        <v>899.97</v>
      </c>
      <c r="O139" s="40"/>
      <c r="P139" s="40"/>
      <c r="Q139" s="40"/>
      <c r="R139" s="40"/>
      <c r="S139" s="40"/>
      <c r="T139" s="40"/>
      <c r="U139" s="18">
        <f t="shared" si="19"/>
        <v>8009.7699999999995</v>
      </c>
      <c r="V139" s="38" t="str">
        <f t="shared" si="20"/>
        <v>Normal</v>
      </c>
      <c r="W139" s="18">
        <f t="shared" si="21"/>
        <v>26</v>
      </c>
      <c r="X139" s="40"/>
      <c r="Y139" s="40"/>
      <c r="Z139" s="18">
        <f t="shared" si="22"/>
        <v>8</v>
      </c>
      <c r="AA139" s="18" t="str">
        <f t="shared" si="23"/>
        <v>Repeat</v>
      </c>
      <c r="AB139" s="18" t="str">
        <f t="shared" si="24"/>
        <v>Karen Hill</v>
      </c>
      <c r="AC139" s="18" t="str">
        <f t="shared" si="25"/>
        <v>KH</v>
      </c>
      <c r="AD139" s="18" t="str">
        <f t="shared" si="26"/>
        <v>khill@gmail.com</v>
      </c>
    </row>
    <row r="140" spans="1:30" x14ac:dyDescent="0.3">
      <c r="A140" s="41" t="s">
        <v>279</v>
      </c>
      <c r="B140" s="42">
        <v>45603</v>
      </c>
      <c r="C140" s="41" t="s">
        <v>99</v>
      </c>
      <c r="D140" s="41" t="s">
        <v>100</v>
      </c>
      <c r="E140" s="41" t="s">
        <v>117</v>
      </c>
      <c r="F140" s="41" t="s">
        <v>118</v>
      </c>
      <c r="G140" s="41" t="s">
        <v>19</v>
      </c>
      <c r="H140" s="41">
        <v>3</v>
      </c>
      <c r="I140" s="41">
        <v>89.99</v>
      </c>
      <c r="J140" s="41" t="s">
        <v>26</v>
      </c>
      <c r="K140" s="41" t="s">
        <v>40</v>
      </c>
      <c r="L140" s="41" t="s">
        <v>27</v>
      </c>
      <c r="M140" s="42">
        <v>44420</v>
      </c>
      <c r="N140" s="41">
        <f t="shared" si="18"/>
        <v>269.96999999999997</v>
      </c>
      <c r="O140" s="40"/>
      <c r="P140" s="40"/>
      <c r="Q140" s="40"/>
      <c r="R140" s="40"/>
      <c r="S140" s="40"/>
      <c r="T140" s="40"/>
      <c r="U140" s="18">
        <f t="shared" si="19"/>
        <v>9799.73</v>
      </c>
      <c r="V140" s="38" t="str">
        <f t="shared" si="20"/>
        <v>Normal</v>
      </c>
      <c r="W140" s="18">
        <f t="shared" si="21"/>
        <v>34</v>
      </c>
      <c r="X140" s="40"/>
      <c r="Y140" s="40"/>
      <c r="Z140" s="18">
        <f t="shared" si="22"/>
        <v>8</v>
      </c>
      <c r="AA140" s="18" t="str">
        <f t="shared" si="23"/>
        <v>Repeat</v>
      </c>
      <c r="AB140" s="18" t="str">
        <f t="shared" si="24"/>
        <v>Patricia Moore</v>
      </c>
      <c r="AC140" s="18" t="str">
        <f t="shared" si="25"/>
        <v>PM</v>
      </c>
      <c r="AD140" s="18" t="str">
        <f t="shared" si="26"/>
        <v>pmoore@gmail.com</v>
      </c>
    </row>
    <row r="141" spans="1:30" x14ac:dyDescent="0.3">
      <c r="A141" s="41" t="s">
        <v>280</v>
      </c>
      <c r="B141" s="42">
        <v>45604</v>
      </c>
      <c r="C141" s="41" t="s">
        <v>89</v>
      </c>
      <c r="D141" s="41" t="s">
        <v>90</v>
      </c>
      <c r="E141" s="41" t="s">
        <v>44</v>
      </c>
      <c r="F141" s="41" t="s">
        <v>45</v>
      </c>
      <c r="G141" s="41" t="s">
        <v>46</v>
      </c>
      <c r="H141" s="41">
        <v>2</v>
      </c>
      <c r="I141" s="41">
        <v>149.99</v>
      </c>
      <c r="J141" s="41" t="s">
        <v>26</v>
      </c>
      <c r="K141" s="41" t="s">
        <v>50</v>
      </c>
      <c r="L141" s="41" t="s">
        <v>27</v>
      </c>
      <c r="M141" s="42">
        <v>44848</v>
      </c>
      <c r="N141" s="41">
        <f t="shared" si="18"/>
        <v>299.98</v>
      </c>
      <c r="O141" s="40"/>
      <c r="P141" s="40"/>
      <c r="Q141" s="40"/>
      <c r="R141" s="40"/>
      <c r="S141" s="40"/>
      <c r="T141" s="40"/>
      <c r="U141" s="18">
        <f t="shared" si="19"/>
        <v>1909.93</v>
      </c>
      <c r="V141" s="38" t="str">
        <f t="shared" si="20"/>
        <v>Normal</v>
      </c>
      <c r="W141" s="18">
        <f t="shared" si="21"/>
        <v>35</v>
      </c>
      <c r="X141" s="40"/>
      <c r="Y141" s="40"/>
      <c r="Z141" s="18">
        <f t="shared" si="22"/>
        <v>4</v>
      </c>
      <c r="AA141" s="18" t="str">
        <f t="shared" si="23"/>
        <v>Repeat</v>
      </c>
      <c r="AB141" s="18" t="str">
        <f t="shared" si="24"/>
        <v>Maria Garcia</v>
      </c>
      <c r="AC141" s="18" t="str">
        <f t="shared" si="25"/>
        <v>MG</v>
      </c>
      <c r="AD141" s="18" t="str">
        <f t="shared" si="26"/>
        <v>mgarcia@gmail.com</v>
      </c>
    </row>
    <row r="142" spans="1:30" x14ac:dyDescent="0.3">
      <c r="A142" s="41" t="s">
        <v>281</v>
      </c>
      <c r="B142" s="42">
        <v>45605</v>
      </c>
      <c r="C142" s="41" t="s">
        <v>185</v>
      </c>
      <c r="D142" s="41" t="s">
        <v>186</v>
      </c>
      <c r="E142" s="41" t="s">
        <v>17</v>
      </c>
      <c r="F142" s="41" t="s">
        <v>18</v>
      </c>
      <c r="G142" s="41" t="s">
        <v>19</v>
      </c>
      <c r="H142" s="41">
        <v>1</v>
      </c>
      <c r="I142" s="41">
        <v>249.99</v>
      </c>
      <c r="J142" s="41" t="s">
        <v>26</v>
      </c>
      <c r="K142" s="41" t="s">
        <v>40</v>
      </c>
      <c r="L142" s="41" t="s">
        <v>27</v>
      </c>
      <c r="M142" s="42">
        <v>44828</v>
      </c>
      <c r="N142" s="41">
        <f t="shared" si="18"/>
        <v>249.99</v>
      </c>
      <c r="O142" s="40"/>
      <c r="P142" s="40"/>
      <c r="Q142" s="40"/>
      <c r="R142" s="40"/>
      <c r="S142" s="40"/>
      <c r="T142" s="40"/>
      <c r="U142" s="18">
        <f t="shared" si="19"/>
        <v>2099.88</v>
      </c>
      <c r="V142" s="38" t="str">
        <f t="shared" si="20"/>
        <v>Normal</v>
      </c>
      <c r="W142" s="18">
        <f t="shared" si="21"/>
        <v>26</v>
      </c>
      <c r="X142" s="40"/>
      <c r="Y142" s="40"/>
      <c r="Z142" s="18">
        <f t="shared" si="22"/>
        <v>4</v>
      </c>
      <c r="AA142" s="18" t="str">
        <f t="shared" si="23"/>
        <v>Repeat</v>
      </c>
      <c r="AB142" s="18" t="str">
        <f t="shared" si="24"/>
        <v>Margaret Wright</v>
      </c>
      <c r="AC142" s="18" t="str">
        <f t="shared" si="25"/>
        <v>MW</v>
      </c>
      <c r="AD142" s="18" t="str">
        <f t="shared" si="26"/>
        <v>mwright@gmail.com</v>
      </c>
    </row>
    <row r="143" spans="1:30" x14ac:dyDescent="0.3">
      <c r="A143" s="41" t="s">
        <v>282</v>
      </c>
      <c r="B143" s="42">
        <v>45607</v>
      </c>
      <c r="C143" s="41" t="s">
        <v>72</v>
      </c>
      <c r="D143" s="41" t="s">
        <v>73</v>
      </c>
      <c r="E143" s="41" t="s">
        <v>52</v>
      </c>
      <c r="F143" s="41" t="s">
        <v>53</v>
      </c>
      <c r="G143" s="41" t="s">
        <v>19</v>
      </c>
      <c r="H143" s="41">
        <v>3</v>
      </c>
      <c r="I143" s="41">
        <v>149.99</v>
      </c>
      <c r="J143" s="41" t="s">
        <v>20</v>
      </c>
      <c r="K143" s="41" t="s">
        <v>40</v>
      </c>
      <c r="L143" s="41" t="s">
        <v>22</v>
      </c>
      <c r="M143" s="42">
        <v>44769</v>
      </c>
      <c r="N143" s="41">
        <f t="shared" si="18"/>
        <v>449.97</v>
      </c>
      <c r="O143" s="40"/>
      <c r="P143" s="40"/>
      <c r="Q143" s="40"/>
      <c r="R143" s="40"/>
      <c r="S143" s="40"/>
      <c r="T143" s="40"/>
      <c r="U143" s="18">
        <f t="shared" si="19"/>
        <v>5949.85</v>
      </c>
      <c r="V143" s="38" t="str">
        <f t="shared" si="20"/>
        <v>Normal</v>
      </c>
      <c r="W143" s="18">
        <f t="shared" si="21"/>
        <v>16</v>
      </c>
      <c r="X143" s="40"/>
      <c r="Y143" s="40"/>
      <c r="Z143" s="18">
        <f t="shared" si="22"/>
        <v>5</v>
      </c>
      <c r="AA143" s="18" t="str">
        <f t="shared" si="23"/>
        <v>Repeat</v>
      </c>
      <c r="AB143" s="18" t="str">
        <f t="shared" si="24"/>
        <v>Peter Richardson</v>
      </c>
      <c r="AC143" s="18" t="str">
        <f t="shared" si="25"/>
        <v>PR</v>
      </c>
      <c r="AD143" s="18" t="str">
        <f t="shared" si="26"/>
        <v>prichardson@gmail.com</v>
      </c>
    </row>
    <row r="144" spans="1:30" x14ac:dyDescent="0.3">
      <c r="A144" s="41" t="s">
        <v>283</v>
      </c>
      <c r="B144" s="42">
        <v>45607</v>
      </c>
      <c r="C144" s="41" t="s">
        <v>15</v>
      </c>
      <c r="D144" s="41" t="s">
        <v>16</v>
      </c>
      <c r="E144" s="41" t="s">
        <v>31</v>
      </c>
      <c r="F144" s="41" t="s">
        <v>32</v>
      </c>
      <c r="G144" s="41" t="s">
        <v>33</v>
      </c>
      <c r="H144" s="41">
        <v>5</v>
      </c>
      <c r="I144" s="41">
        <v>59.99</v>
      </c>
      <c r="J144" s="41" t="s">
        <v>34</v>
      </c>
      <c r="K144" s="41" t="s">
        <v>50</v>
      </c>
      <c r="L144" s="41" t="s">
        <v>27</v>
      </c>
      <c r="M144" s="42">
        <v>44694</v>
      </c>
      <c r="N144" s="41">
        <f t="shared" si="18"/>
        <v>299.95</v>
      </c>
      <c r="O144" s="40"/>
      <c r="P144" s="40"/>
      <c r="Q144" s="40"/>
      <c r="R144" s="40"/>
      <c r="S144" s="40"/>
      <c r="T144" s="40"/>
      <c r="U144" s="18">
        <f t="shared" si="19"/>
        <v>13809.790000000006</v>
      </c>
      <c r="V144" s="38" t="str">
        <f t="shared" si="20"/>
        <v>High Value</v>
      </c>
      <c r="W144" s="18">
        <f t="shared" si="21"/>
        <v>29</v>
      </c>
      <c r="X144" s="40"/>
      <c r="Y144" s="40"/>
      <c r="Z144" s="18">
        <f t="shared" si="22"/>
        <v>8</v>
      </c>
      <c r="AA144" s="18" t="str">
        <f t="shared" si="23"/>
        <v>Repeat</v>
      </c>
      <c r="AB144" s="18" t="str">
        <f t="shared" si="24"/>
        <v>Paul Baker</v>
      </c>
      <c r="AC144" s="18" t="str">
        <f t="shared" si="25"/>
        <v>PB</v>
      </c>
      <c r="AD144" s="18" t="str">
        <f t="shared" si="26"/>
        <v>pbaker@gmail.com</v>
      </c>
    </row>
    <row r="145" spans="1:30" x14ac:dyDescent="0.3">
      <c r="A145" s="41" t="s">
        <v>284</v>
      </c>
      <c r="B145" s="42">
        <v>45607</v>
      </c>
      <c r="C145" s="41" t="s">
        <v>99</v>
      </c>
      <c r="D145" s="41" t="s">
        <v>100</v>
      </c>
      <c r="E145" s="41" t="s">
        <v>17</v>
      </c>
      <c r="F145" s="41" t="s">
        <v>18</v>
      </c>
      <c r="G145" s="41" t="s">
        <v>19</v>
      </c>
      <c r="H145" s="41">
        <v>4</v>
      </c>
      <c r="I145" s="41">
        <v>249.99</v>
      </c>
      <c r="J145" s="41" t="s">
        <v>26</v>
      </c>
      <c r="K145" s="41" t="s">
        <v>50</v>
      </c>
      <c r="L145" s="41" t="s">
        <v>36</v>
      </c>
      <c r="M145" s="42">
        <v>44659</v>
      </c>
      <c r="N145" s="41">
        <f t="shared" si="18"/>
        <v>999.96</v>
      </c>
      <c r="O145" s="40"/>
      <c r="P145" s="40"/>
      <c r="Q145" s="40"/>
      <c r="R145" s="40"/>
      <c r="S145" s="40"/>
      <c r="T145" s="40"/>
      <c r="U145" s="18">
        <f t="shared" si="19"/>
        <v>9799.73</v>
      </c>
      <c r="V145" s="38" t="str">
        <f t="shared" si="20"/>
        <v>Normal</v>
      </c>
      <c r="W145" s="18">
        <f t="shared" si="21"/>
        <v>26</v>
      </c>
      <c r="X145" s="40"/>
      <c r="Y145" s="40"/>
      <c r="Z145" s="18">
        <f t="shared" si="22"/>
        <v>8</v>
      </c>
      <c r="AA145" s="18" t="str">
        <f t="shared" si="23"/>
        <v>Repeat</v>
      </c>
      <c r="AB145" s="18" t="str">
        <f t="shared" si="24"/>
        <v>Patricia Moore</v>
      </c>
      <c r="AC145" s="18" t="str">
        <f t="shared" si="25"/>
        <v>PM</v>
      </c>
      <c r="AD145" s="18" t="str">
        <f t="shared" si="26"/>
        <v>pmoore@gmail.com</v>
      </c>
    </row>
    <row r="146" spans="1:30" x14ac:dyDescent="0.3">
      <c r="A146" s="41" t="s">
        <v>285</v>
      </c>
      <c r="B146" s="42">
        <v>45608</v>
      </c>
      <c r="C146" s="41" t="s">
        <v>154</v>
      </c>
      <c r="D146" s="41" t="s">
        <v>155</v>
      </c>
      <c r="E146" s="41" t="s">
        <v>44</v>
      </c>
      <c r="F146" s="41" t="s">
        <v>45</v>
      </c>
      <c r="G146" s="41" t="s">
        <v>46</v>
      </c>
      <c r="H146" s="41">
        <v>5</v>
      </c>
      <c r="I146" s="41">
        <v>149.99</v>
      </c>
      <c r="J146" s="41" t="s">
        <v>34</v>
      </c>
      <c r="K146" s="41" t="s">
        <v>21</v>
      </c>
      <c r="L146" s="41" t="s">
        <v>22</v>
      </c>
      <c r="M146" s="42">
        <v>44901</v>
      </c>
      <c r="N146" s="41">
        <f t="shared" si="18"/>
        <v>749.95</v>
      </c>
      <c r="O146" s="40"/>
      <c r="P146" s="40"/>
      <c r="Q146" s="40"/>
      <c r="R146" s="40"/>
      <c r="S146" s="40"/>
      <c r="T146" s="40"/>
      <c r="U146" s="18">
        <f t="shared" si="19"/>
        <v>5499.81</v>
      </c>
      <c r="V146" s="38" t="str">
        <f t="shared" si="20"/>
        <v>Normal</v>
      </c>
      <c r="W146" s="18">
        <f t="shared" si="21"/>
        <v>35</v>
      </c>
      <c r="X146" s="40"/>
      <c r="Y146" s="40"/>
      <c r="Z146" s="18">
        <f t="shared" si="22"/>
        <v>5</v>
      </c>
      <c r="AA146" s="18" t="str">
        <f t="shared" si="23"/>
        <v>Repeat</v>
      </c>
      <c r="AB146" s="18" t="str">
        <f t="shared" si="24"/>
        <v>Sarah Davis</v>
      </c>
      <c r="AC146" s="18" t="str">
        <f t="shared" si="25"/>
        <v>SD</v>
      </c>
      <c r="AD146" s="18" t="str">
        <f t="shared" si="26"/>
        <v>sdavis@gmail.com</v>
      </c>
    </row>
    <row r="147" spans="1:30" x14ac:dyDescent="0.3">
      <c r="A147" s="41" t="s">
        <v>286</v>
      </c>
      <c r="B147" s="42">
        <v>45608</v>
      </c>
      <c r="C147" s="41" t="s">
        <v>83</v>
      </c>
      <c r="D147" s="41" t="s">
        <v>84</v>
      </c>
      <c r="E147" s="41" t="s">
        <v>31</v>
      </c>
      <c r="F147" s="41" t="s">
        <v>32</v>
      </c>
      <c r="G147" s="41" t="s">
        <v>33</v>
      </c>
      <c r="H147" s="41">
        <v>3</v>
      </c>
      <c r="I147" s="41">
        <v>59.99</v>
      </c>
      <c r="J147" s="41" t="s">
        <v>57</v>
      </c>
      <c r="K147" s="41" t="s">
        <v>35</v>
      </c>
      <c r="L147" s="41" t="s">
        <v>36</v>
      </c>
      <c r="M147" s="42">
        <v>45260</v>
      </c>
      <c r="N147" s="41">
        <f t="shared" si="18"/>
        <v>179.97</v>
      </c>
      <c r="O147" s="40"/>
      <c r="P147" s="40"/>
      <c r="Q147" s="40"/>
      <c r="R147" s="40"/>
      <c r="S147" s="40"/>
      <c r="T147" s="40"/>
      <c r="U147" s="18">
        <f t="shared" si="19"/>
        <v>3779.93</v>
      </c>
      <c r="V147" s="38" t="str">
        <f t="shared" si="20"/>
        <v>Normal</v>
      </c>
      <c r="W147" s="18">
        <f t="shared" si="21"/>
        <v>29</v>
      </c>
      <c r="X147" s="40"/>
      <c r="Y147" s="40"/>
      <c r="Z147" s="18">
        <f t="shared" si="22"/>
        <v>3</v>
      </c>
      <c r="AA147" s="18" t="str">
        <f t="shared" si="23"/>
        <v>Repeat</v>
      </c>
      <c r="AB147" s="18" t="str">
        <f t="shared" si="24"/>
        <v>George Adams</v>
      </c>
      <c r="AC147" s="18" t="str">
        <f t="shared" si="25"/>
        <v>GA</v>
      </c>
      <c r="AD147" s="18" t="str">
        <f t="shared" si="26"/>
        <v>gadams@gmail.com</v>
      </c>
    </row>
    <row r="148" spans="1:30" x14ac:dyDescent="0.3">
      <c r="A148" s="41" t="s">
        <v>287</v>
      </c>
      <c r="B148" s="42">
        <v>45613</v>
      </c>
      <c r="C148" s="41" t="s">
        <v>234</v>
      </c>
      <c r="D148" s="41" t="s">
        <v>235</v>
      </c>
      <c r="E148" s="41" t="s">
        <v>44</v>
      </c>
      <c r="F148" s="41" t="s">
        <v>45</v>
      </c>
      <c r="G148" s="41" t="s">
        <v>46</v>
      </c>
      <c r="H148" s="41">
        <v>5</v>
      </c>
      <c r="I148" s="41">
        <v>149.99</v>
      </c>
      <c r="J148" s="41" t="s">
        <v>20</v>
      </c>
      <c r="K148" s="41" t="s">
        <v>40</v>
      </c>
      <c r="L148" s="41" t="s">
        <v>22</v>
      </c>
      <c r="M148" s="42">
        <v>44869</v>
      </c>
      <c r="N148" s="41">
        <f t="shared" si="18"/>
        <v>749.95</v>
      </c>
      <c r="O148" s="40"/>
      <c r="P148" s="40"/>
      <c r="Q148" s="40"/>
      <c r="R148" s="40"/>
      <c r="S148" s="40"/>
      <c r="T148" s="40"/>
      <c r="U148" s="18">
        <f t="shared" si="19"/>
        <v>6349.8300000000008</v>
      </c>
      <c r="V148" s="38" t="str">
        <f t="shared" si="20"/>
        <v>Normal</v>
      </c>
      <c r="W148" s="18">
        <f t="shared" si="21"/>
        <v>35</v>
      </c>
      <c r="X148" s="40"/>
      <c r="Y148" s="40"/>
      <c r="Z148" s="18">
        <f t="shared" si="22"/>
        <v>5</v>
      </c>
      <c r="AA148" s="18" t="str">
        <f t="shared" si="23"/>
        <v>Repeat</v>
      </c>
      <c r="AB148" s="18" t="str">
        <f t="shared" si="24"/>
        <v>Sandra Phillips</v>
      </c>
      <c r="AC148" s="18" t="str">
        <f t="shared" si="25"/>
        <v>SP</v>
      </c>
      <c r="AD148" s="18" t="str">
        <f t="shared" si="26"/>
        <v>sphillips@gmail.com</v>
      </c>
    </row>
    <row r="149" spans="1:30" x14ac:dyDescent="0.3">
      <c r="A149" s="41" t="s">
        <v>288</v>
      </c>
      <c r="B149" s="42">
        <v>45613</v>
      </c>
      <c r="C149" s="41" t="s">
        <v>86</v>
      </c>
      <c r="D149" s="41" t="s">
        <v>87</v>
      </c>
      <c r="E149" s="41" t="s">
        <v>80</v>
      </c>
      <c r="F149" s="41" t="s">
        <v>81</v>
      </c>
      <c r="G149" s="41" t="s">
        <v>19</v>
      </c>
      <c r="H149" s="41">
        <v>2</v>
      </c>
      <c r="I149" s="41">
        <v>699.99</v>
      </c>
      <c r="J149" s="41" t="s">
        <v>34</v>
      </c>
      <c r="K149" s="41" t="s">
        <v>50</v>
      </c>
      <c r="L149" s="41" t="s">
        <v>36</v>
      </c>
      <c r="M149" s="42">
        <v>44770</v>
      </c>
      <c r="N149" s="41">
        <f t="shared" si="18"/>
        <v>1399.98</v>
      </c>
      <c r="O149" s="40"/>
      <c r="P149" s="40"/>
      <c r="Q149" s="40"/>
      <c r="R149" s="40"/>
      <c r="S149" s="40"/>
      <c r="T149" s="40"/>
      <c r="U149" s="18">
        <f t="shared" si="19"/>
        <v>15659.65</v>
      </c>
      <c r="V149" s="38" t="str">
        <f t="shared" si="20"/>
        <v>High Value</v>
      </c>
      <c r="W149" s="18">
        <f t="shared" si="21"/>
        <v>31</v>
      </c>
      <c r="X149" s="40"/>
      <c r="Y149" s="40"/>
      <c r="Z149" s="18">
        <f t="shared" si="22"/>
        <v>12</v>
      </c>
      <c r="AA149" s="18" t="str">
        <f t="shared" si="23"/>
        <v>Repeat</v>
      </c>
      <c r="AB149" s="18" t="str">
        <f t="shared" si="24"/>
        <v>Mark Carter</v>
      </c>
      <c r="AC149" s="18" t="str">
        <f t="shared" si="25"/>
        <v>MC</v>
      </c>
      <c r="AD149" s="18" t="str">
        <f t="shared" si="26"/>
        <v>mcarter@gmail.com</v>
      </c>
    </row>
    <row r="150" spans="1:30" x14ac:dyDescent="0.3">
      <c r="A150" s="41" t="s">
        <v>289</v>
      </c>
      <c r="B150" s="42">
        <v>45617</v>
      </c>
      <c r="C150" s="41" t="s">
        <v>123</v>
      </c>
      <c r="D150" s="41" t="s">
        <v>124</v>
      </c>
      <c r="E150" s="41" t="s">
        <v>126</v>
      </c>
      <c r="F150" s="41" t="s">
        <v>127</v>
      </c>
      <c r="G150" s="41" t="s">
        <v>46</v>
      </c>
      <c r="H150" s="41">
        <v>4</v>
      </c>
      <c r="I150" s="41">
        <v>199.99</v>
      </c>
      <c r="J150" s="41" t="s">
        <v>57</v>
      </c>
      <c r="K150" s="41" t="s">
        <v>21</v>
      </c>
      <c r="L150" s="41" t="s">
        <v>27</v>
      </c>
      <c r="M150" s="42">
        <v>44427</v>
      </c>
      <c r="N150" s="41">
        <f t="shared" si="18"/>
        <v>799.96</v>
      </c>
      <c r="O150" s="40"/>
      <c r="P150" s="40"/>
      <c r="Q150" s="40"/>
      <c r="R150" s="40"/>
      <c r="S150" s="40"/>
      <c r="T150" s="40"/>
      <c r="U150" s="18">
        <f t="shared" si="19"/>
        <v>11919.77</v>
      </c>
      <c r="V150" s="38" t="str">
        <f t="shared" si="20"/>
        <v>High Value</v>
      </c>
      <c r="W150" s="18">
        <f t="shared" si="21"/>
        <v>15</v>
      </c>
      <c r="X150" s="40"/>
      <c r="Y150" s="40"/>
      <c r="Z150" s="18">
        <f t="shared" si="22"/>
        <v>6</v>
      </c>
      <c r="AA150" s="18" t="str">
        <f t="shared" si="23"/>
        <v>Repeat</v>
      </c>
      <c r="AB150" s="18" t="str">
        <f t="shared" si="24"/>
        <v>Edward Mitchell</v>
      </c>
      <c r="AC150" s="18" t="str">
        <f t="shared" si="25"/>
        <v>EM</v>
      </c>
      <c r="AD150" s="18" t="str">
        <f t="shared" si="26"/>
        <v>emitchell@gmail.com</v>
      </c>
    </row>
    <row r="151" spans="1:30" x14ac:dyDescent="0.3">
      <c r="A151" s="41" t="s">
        <v>290</v>
      </c>
      <c r="B151" s="42">
        <v>45619</v>
      </c>
      <c r="C151" s="41" t="s">
        <v>192</v>
      </c>
      <c r="D151" s="41" t="s">
        <v>193</v>
      </c>
      <c r="E151" s="41" t="s">
        <v>31</v>
      </c>
      <c r="F151" s="41" t="s">
        <v>32</v>
      </c>
      <c r="G151" s="41" t="s">
        <v>33</v>
      </c>
      <c r="H151" s="41">
        <v>1</v>
      </c>
      <c r="I151" s="41">
        <v>59.99</v>
      </c>
      <c r="J151" s="41" t="s">
        <v>57</v>
      </c>
      <c r="K151" s="41" t="s">
        <v>50</v>
      </c>
      <c r="L151" s="41" t="s">
        <v>36</v>
      </c>
      <c r="M151" s="42">
        <v>44560</v>
      </c>
      <c r="N151" s="41">
        <f t="shared" si="18"/>
        <v>59.99</v>
      </c>
      <c r="O151" s="40"/>
      <c r="P151" s="40"/>
      <c r="Q151" s="40"/>
      <c r="R151" s="40"/>
      <c r="S151" s="40"/>
      <c r="T151" s="40"/>
      <c r="U151" s="18">
        <f t="shared" si="19"/>
        <v>1479.91</v>
      </c>
      <c r="V151" s="38" t="str">
        <f t="shared" si="20"/>
        <v>Normal</v>
      </c>
      <c r="W151" s="18">
        <f t="shared" si="21"/>
        <v>29</v>
      </c>
      <c r="X151" s="40"/>
      <c r="Y151" s="40"/>
      <c r="Z151" s="18">
        <f t="shared" si="22"/>
        <v>5</v>
      </c>
      <c r="AA151" s="18" t="str">
        <f t="shared" si="23"/>
        <v>Repeat</v>
      </c>
      <c r="AB151" s="18" t="str">
        <f t="shared" si="24"/>
        <v>Frank Torres</v>
      </c>
      <c r="AC151" s="18" t="str">
        <f t="shared" si="25"/>
        <v>FT</v>
      </c>
      <c r="AD151" s="18" t="str">
        <f t="shared" si="26"/>
        <v>ftorres@gmail.com</v>
      </c>
    </row>
    <row r="152" spans="1:30" x14ac:dyDescent="0.3">
      <c r="A152" s="41" t="s">
        <v>291</v>
      </c>
      <c r="B152" s="42">
        <v>45619</v>
      </c>
      <c r="C152" s="41" t="s">
        <v>154</v>
      </c>
      <c r="D152" s="41" t="s">
        <v>155</v>
      </c>
      <c r="E152" s="41" t="s">
        <v>80</v>
      </c>
      <c r="F152" s="41" t="s">
        <v>81</v>
      </c>
      <c r="G152" s="41" t="s">
        <v>19</v>
      </c>
      <c r="H152" s="41">
        <v>3</v>
      </c>
      <c r="I152" s="41">
        <v>699.99</v>
      </c>
      <c r="J152" s="41" t="s">
        <v>34</v>
      </c>
      <c r="K152" s="41" t="s">
        <v>50</v>
      </c>
      <c r="L152" s="41" t="s">
        <v>36</v>
      </c>
      <c r="M152" s="42">
        <v>44583</v>
      </c>
      <c r="N152" s="41">
        <f t="shared" si="18"/>
        <v>2099.9700000000003</v>
      </c>
      <c r="O152" s="40"/>
      <c r="P152" s="40"/>
      <c r="Q152" s="40"/>
      <c r="R152" s="40"/>
      <c r="S152" s="40"/>
      <c r="T152" s="40"/>
      <c r="U152" s="18">
        <f t="shared" si="19"/>
        <v>5499.81</v>
      </c>
      <c r="V152" s="38" t="str">
        <f t="shared" si="20"/>
        <v>Normal</v>
      </c>
      <c r="W152" s="18">
        <f t="shared" si="21"/>
        <v>31</v>
      </c>
      <c r="X152" s="40"/>
      <c r="Y152" s="40"/>
      <c r="Z152" s="18">
        <f t="shared" si="22"/>
        <v>5</v>
      </c>
      <c r="AA152" s="18" t="str">
        <f t="shared" si="23"/>
        <v>Repeat</v>
      </c>
      <c r="AB152" s="18" t="str">
        <f t="shared" si="24"/>
        <v>Sarah Davis</v>
      </c>
      <c r="AC152" s="18" t="str">
        <f t="shared" si="25"/>
        <v>SD</v>
      </c>
      <c r="AD152" s="18" t="str">
        <f t="shared" si="26"/>
        <v>sdavis@gmail.com</v>
      </c>
    </row>
    <row r="153" spans="1:30" x14ac:dyDescent="0.3">
      <c r="A153" s="41" t="s">
        <v>292</v>
      </c>
      <c r="B153" s="42">
        <v>45622</v>
      </c>
      <c r="C153" s="41" t="s">
        <v>293</v>
      </c>
      <c r="D153" s="41" t="s">
        <v>294</v>
      </c>
      <c r="E153" s="41" t="s">
        <v>17</v>
      </c>
      <c r="F153" s="41" t="s">
        <v>18</v>
      </c>
      <c r="G153" s="41" t="s">
        <v>19</v>
      </c>
      <c r="H153" s="41">
        <v>5</v>
      </c>
      <c r="I153" s="41">
        <v>249.99</v>
      </c>
      <c r="J153" s="41" t="s">
        <v>26</v>
      </c>
      <c r="K153" s="41" t="s">
        <v>40</v>
      </c>
      <c r="L153" s="41" t="s">
        <v>22</v>
      </c>
      <c r="M153" s="42">
        <v>44873</v>
      </c>
      <c r="N153" s="41">
        <f t="shared" si="18"/>
        <v>1249.95</v>
      </c>
      <c r="O153" s="40"/>
      <c r="P153" s="40"/>
      <c r="Q153" s="40"/>
      <c r="R153" s="40"/>
      <c r="S153" s="40"/>
      <c r="T153" s="40"/>
      <c r="U153" s="18">
        <f t="shared" si="19"/>
        <v>4829.8900000000003</v>
      </c>
      <c r="V153" s="38" t="str">
        <f t="shared" si="20"/>
        <v>Normal</v>
      </c>
      <c r="W153" s="18">
        <f t="shared" si="21"/>
        <v>26</v>
      </c>
      <c r="X153" s="40"/>
      <c r="Y153" s="40"/>
      <c r="Z153" s="18">
        <f t="shared" si="22"/>
        <v>4</v>
      </c>
      <c r="AA153" s="18" t="str">
        <f t="shared" si="23"/>
        <v>Repeat</v>
      </c>
      <c r="AB153" s="18" t="str">
        <f t="shared" si="24"/>
        <v>Douglas Watson</v>
      </c>
      <c r="AC153" s="18" t="str">
        <f t="shared" si="25"/>
        <v>DW</v>
      </c>
      <c r="AD153" s="18" t="str">
        <f t="shared" si="26"/>
        <v>dwatson@gmail.com</v>
      </c>
    </row>
    <row r="154" spans="1:30" x14ac:dyDescent="0.3">
      <c r="A154" s="41" t="s">
        <v>295</v>
      </c>
      <c r="B154" s="42">
        <v>45623</v>
      </c>
      <c r="C154" s="41" t="s">
        <v>112</v>
      </c>
      <c r="D154" s="41" t="s">
        <v>113</v>
      </c>
      <c r="E154" s="41" t="s">
        <v>44</v>
      </c>
      <c r="F154" s="41" t="s">
        <v>45</v>
      </c>
      <c r="G154" s="41" t="s">
        <v>46</v>
      </c>
      <c r="H154" s="41">
        <v>2</v>
      </c>
      <c r="I154" s="41">
        <v>149.99</v>
      </c>
      <c r="J154" s="41" t="s">
        <v>20</v>
      </c>
      <c r="K154" s="41" t="s">
        <v>35</v>
      </c>
      <c r="L154" s="41" t="s">
        <v>36</v>
      </c>
      <c r="M154" s="42">
        <v>45101</v>
      </c>
      <c r="N154" s="41">
        <f t="shared" si="18"/>
        <v>299.98</v>
      </c>
      <c r="O154" s="40"/>
      <c r="P154" s="40"/>
      <c r="Q154" s="40"/>
      <c r="R154" s="40"/>
      <c r="S154" s="40"/>
      <c r="T154" s="40"/>
      <c r="U154" s="18">
        <f t="shared" si="19"/>
        <v>1289.9000000000001</v>
      </c>
      <c r="V154" s="38" t="str">
        <f t="shared" si="20"/>
        <v>Normal</v>
      </c>
      <c r="W154" s="18">
        <f t="shared" si="21"/>
        <v>35</v>
      </c>
      <c r="X154" s="40"/>
      <c r="Y154" s="40"/>
      <c r="Z154" s="18">
        <f t="shared" si="22"/>
        <v>4</v>
      </c>
      <c r="AA154" s="18" t="str">
        <f t="shared" si="23"/>
        <v>Repeat</v>
      </c>
      <c r="AB154" s="18" t="str">
        <f t="shared" si="24"/>
        <v>Linda Martin</v>
      </c>
      <c r="AC154" s="18" t="str">
        <f t="shared" si="25"/>
        <v>LM</v>
      </c>
      <c r="AD154" s="18" t="str">
        <f t="shared" si="26"/>
        <v>lmartin@gmail.com</v>
      </c>
    </row>
    <row r="155" spans="1:30" x14ac:dyDescent="0.3">
      <c r="A155" s="41" t="s">
        <v>296</v>
      </c>
      <c r="B155" s="42">
        <v>45627</v>
      </c>
      <c r="C155" s="41" t="s">
        <v>29</v>
      </c>
      <c r="D155" s="41" t="s">
        <v>30</v>
      </c>
      <c r="E155" s="41" t="s">
        <v>105</v>
      </c>
      <c r="F155" s="41" t="s">
        <v>106</v>
      </c>
      <c r="G155" s="41" t="s">
        <v>46</v>
      </c>
      <c r="H155" s="41">
        <v>3</v>
      </c>
      <c r="I155" s="41">
        <v>299.99</v>
      </c>
      <c r="J155" s="41" t="s">
        <v>20</v>
      </c>
      <c r="K155" s="41" t="s">
        <v>35</v>
      </c>
      <c r="L155" s="41" t="s">
        <v>27</v>
      </c>
      <c r="M155" s="42">
        <v>44659</v>
      </c>
      <c r="N155" s="41">
        <f t="shared" si="18"/>
        <v>899.97</v>
      </c>
      <c r="O155" s="40"/>
      <c r="P155" s="40"/>
      <c r="Q155" s="40"/>
      <c r="R155" s="40"/>
      <c r="S155" s="40"/>
      <c r="T155" s="40"/>
      <c r="U155" s="18">
        <f t="shared" si="19"/>
        <v>3259.87</v>
      </c>
      <c r="V155" s="38" t="str">
        <f t="shared" si="20"/>
        <v>Normal</v>
      </c>
      <c r="W155" s="18">
        <f t="shared" si="21"/>
        <v>26</v>
      </c>
      <c r="X155" s="40"/>
      <c r="Y155" s="40"/>
      <c r="Z155" s="18">
        <f t="shared" si="22"/>
        <v>6</v>
      </c>
      <c r="AA155" s="18" t="str">
        <f t="shared" si="23"/>
        <v>Repeat</v>
      </c>
      <c r="AB155" s="18" t="str">
        <f t="shared" si="24"/>
        <v>Kevin Scott</v>
      </c>
      <c r="AC155" s="18" t="str">
        <f t="shared" si="25"/>
        <v>KS</v>
      </c>
      <c r="AD155" s="18" t="str">
        <f t="shared" si="26"/>
        <v>kscott@gmail.com</v>
      </c>
    </row>
    <row r="156" spans="1:30" x14ac:dyDescent="0.3">
      <c r="A156" s="41" t="s">
        <v>297</v>
      </c>
      <c r="B156" s="42">
        <v>45627</v>
      </c>
      <c r="C156" s="41" t="s">
        <v>55</v>
      </c>
      <c r="D156" s="41" t="s">
        <v>56</v>
      </c>
      <c r="E156" s="41" t="s">
        <v>17</v>
      </c>
      <c r="F156" s="41" t="s">
        <v>18</v>
      </c>
      <c r="G156" s="41" t="s">
        <v>19</v>
      </c>
      <c r="H156" s="41">
        <v>5</v>
      </c>
      <c r="I156" s="41">
        <v>249.99</v>
      </c>
      <c r="J156" s="41" t="s">
        <v>20</v>
      </c>
      <c r="K156" s="41" t="s">
        <v>21</v>
      </c>
      <c r="L156" s="41" t="s">
        <v>27</v>
      </c>
      <c r="M156" s="42">
        <v>44485</v>
      </c>
      <c r="N156" s="41">
        <f t="shared" si="18"/>
        <v>1249.95</v>
      </c>
      <c r="O156" s="40"/>
      <c r="P156" s="40"/>
      <c r="Q156" s="40"/>
      <c r="R156" s="40"/>
      <c r="S156" s="40"/>
      <c r="T156" s="40"/>
      <c r="U156" s="18">
        <f t="shared" si="19"/>
        <v>5089.7300000000005</v>
      </c>
      <c r="V156" s="38" t="str">
        <f t="shared" si="20"/>
        <v>Normal</v>
      </c>
      <c r="W156" s="18">
        <f t="shared" si="21"/>
        <v>26</v>
      </c>
      <c r="X156" s="40"/>
      <c r="Y156" s="40"/>
      <c r="Z156" s="18">
        <f t="shared" si="22"/>
        <v>9</v>
      </c>
      <c r="AA156" s="18" t="str">
        <f t="shared" si="23"/>
        <v>Repeat</v>
      </c>
      <c r="AB156" s="18" t="str">
        <f t="shared" si="24"/>
        <v>Charles Allen</v>
      </c>
      <c r="AC156" s="18" t="str">
        <f t="shared" si="25"/>
        <v>CA</v>
      </c>
      <c r="AD156" s="18" t="str">
        <f t="shared" si="26"/>
        <v>callen@gmail.com</v>
      </c>
    </row>
    <row r="157" spans="1:30" x14ac:dyDescent="0.3">
      <c r="A157" s="41" t="s">
        <v>298</v>
      </c>
      <c r="B157" s="42">
        <v>45627</v>
      </c>
      <c r="C157" s="41" t="s">
        <v>24</v>
      </c>
      <c r="D157" s="41" t="s">
        <v>25</v>
      </c>
      <c r="E157" s="41" t="s">
        <v>52</v>
      </c>
      <c r="F157" s="41" t="s">
        <v>53</v>
      </c>
      <c r="G157" s="41" t="s">
        <v>19</v>
      </c>
      <c r="H157" s="41">
        <v>2</v>
      </c>
      <c r="I157" s="41">
        <v>149.99</v>
      </c>
      <c r="J157" s="41" t="s">
        <v>20</v>
      </c>
      <c r="K157" s="41" t="s">
        <v>35</v>
      </c>
      <c r="L157" s="41" t="s">
        <v>27</v>
      </c>
      <c r="M157" s="42">
        <v>44475</v>
      </c>
      <c r="N157" s="41">
        <f t="shared" si="18"/>
        <v>299.98</v>
      </c>
      <c r="O157" s="40"/>
      <c r="P157" s="40"/>
      <c r="Q157" s="40"/>
      <c r="R157" s="40"/>
      <c r="S157" s="40"/>
      <c r="T157" s="40"/>
      <c r="U157" s="18">
        <f t="shared" si="19"/>
        <v>6949.84</v>
      </c>
      <c r="V157" s="38" t="str">
        <f t="shared" si="20"/>
        <v>Normal</v>
      </c>
      <c r="W157" s="18">
        <f t="shared" si="21"/>
        <v>16</v>
      </c>
      <c r="X157" s="40"/>
      <c r="Y157" s="40"/>
      <c r="Z157" s="18">
        <f t="shared" si="22"/>
        <v>5</v>
      </c>
      <c r="AA157" s="18" t="str">
        <f t="shared" si="23"/>
        <v>Repeat</v>
      </c>
      <c r="AB157" s="18" t="str">
        <f t="shared" si="24"/>
        <v>Joseph Jackson</v>
      </c>
      <c r="AC157" s="18" t="str">
        <f t="shared" si="25"/>
        <v>JJ</v>
      </c>
      <c r="AD157" s="18" t="str">
        <f t="shared" si="26"/>
        <v>jjackson@gmail.com</v>
      </c>
    </row>
    <row r="158" spans="1:30" x14ac:dyDescent="0.3">
      <c r="A158" s="41" t="s">
        <v>299</v>
      </c>
      <c r="B158" s="42">
        <v>45627</v>
      </c>
      <c r="C158" s="41" t="s">
        <v>86</v>
      </c>
      <c r="D158" s="41" t="s">
        <v>87</v>
      </c>
      <c r="E158" s="41" t="s">
        <v>80</v>
      </c>
      <c r="F158" s="41" t="s">
        <v>81</v>
      </c>
      <c r="G158" s="41" t="s">
        <v>19</v>
      </c>
      <c r="H158" s="41">
        <v>5</v>
      </c>
      <c r="I158" s="41">
        <v>699.99</v>
      </c>
      <c r="J158" s="41" t="s">
        <v>57</v>
      </c>
      <c r="K158" s="41" t="s">
        <v>50</v>
      </c>
      <c r="L158" s="41" t="s">
        <v>36</v>
      </c>
      <c r="M158" s="42">
        <v>44944</v>
      </c>
      <c r="N158" s="41">
        <f t="shared" si="18"/>
        <v>3499.95</v>
      </c>
      <c r="O158" s="40"/>
      <c r="P158" s="40"/>
      <c r="Q158" s="40"/>
      <c r="R158" s="40"/>
      <c r="S158" s="40"/>
      <c r="T158" s="40"/>
      <c r="U158" s="18">
        <f t="shared" si="19"/>
        <v>15659.65</v>
      </c>
      <c r="V158" s="38" t="str">
        <f t="shared" si="20"/>
        <v>High Value</v>
      </c>
      <c r="W158" s="18">
        <f t="shared" si="21"/>
        <v>31</v>
      </c>
      <c r="X158" s="40"/>
      <c r="Y158" s="40"/>
      <c r="Z158" s="18">
        <f t="shared" si="22"/>
        <v>12</v>
      </c>
      <c r="AA158" s="18" t="str">
        <f t="shared" si="23"/>
        <v>Repeat</v>
      </c>
      <c r="AB158" s="18" t="str">
        <f t="shared" si="24"/>
        <v>Mark Carter</v>
      </c>
      <c r="AC158" s="18" t="str">
        <f t="shared" si="25"/>
        <v>MC</v>
      </c>
      <c r="AD158" s="18" t="str">
        <f t="shared" si="26"/>
        <v>mcarter@gmail.com</v>
      </c>
    </row>
    <row r="159" spans="1:30" x14ac:dyDescent="0.3">
      <c r="A159" s="41" t="s">
        <v>300</v>
      </c>
      <c r="B159" s="42">
        <v>45629</v>
      </c>
      <c r="C159" s="41" t="s">
        <v>252</v>
      </c>
      <c r="D159" s="41" t="s">
        <v>253</v>
      </c>
      <c r="E159" s="41" t="s">
        <v>17</v>
      </c>
      <c r="F159" s="41" t="s">
        <v>18</v>
      </c>
      <c r="G159" s="41" t="s">
        <v>19</v>
      </c>
      <c r="H159" s="41">
        <v>4</v>
      </c>
      <c r="I159" s="41">
        <v>249.99</v>
      </c>
      <c r="J159" s="41" t="s">
        <v>34</v>
      </c>
      <c r="K159" s="41" t="s">
        <v>63</v>
      </c>
      <c r="L159" s="41" t="s">
        <v>27</v>
      </c>
      <c r="M159" s="42">
        <v>45098</v>
      </c>
      <c r="N159" s="41">
        <f t="shared" si="18"/>
        <v>999.96</v>
      </c>
      <c r="O159" s="40"/>
      <c r="P159" s="40"/>
      <c r="Q159" s="40"/>
      <c r="R159" s="40"/>
      <c r="S159" s="40"/>
      <c r="T159" s="40"/>
      <c r="U159" s="18">
        <f t="shared" si="19"/>
        <v>4749.91</v>
      </c>
      <c r="V159" s="38" t="str">
        <f t="shared" si="20"/>
        <v>Normal</v>
      </c>
      <c r="W159" s="18">
        <f t="shared" si="21"/>
        <v>26</v>
      </c>
      <c r="X159" s="40"/>
      <c r="Y159" s="40"/>
      <c r="Z159" s="18">
        <f t="shared" si="22"/>
        <v>3</v>
      </c>
      <c r="AA159" s="18" t="str">
        <f t="shared" si="23"/>
        <v>Repeat</v>
      </c>
      <c r="AB159" s="18" t="str">
        <f t="shared" si="24"/>
        <v>William White</v>
      </c>
      <c r="AC159" s="18" t="str">
        <f t="shared" si="25"/>
        <v>WW</v>
      </c>
      <c r="AD159" s="18" t="str">
        <f t="shared" si="26"/>
        <v>wwhite@gmail.com</v>
      </c>
    </row>
    <row r="160" spans="1:30" x14ac:dyDescent="0.3">
      <c r="A160" s="41" t="s">
        <v>301</v>
      </c>
      <c r="B160" s="42">
        <v>45630</v>
      </c>
      <c r="C160" s="41" t="s">
        <v>48</v>
      </c>
      <c r="D160" s="41" t="s">
        <v>49</v>
      </c>
      <c r="E160" s="41" t="s">
        <v>80</v>
      </c>
      <c r="F160" s="41" t="s">
        <v>81</v>
      </c>
      <c r="G160" s="41" t="s">
        <v>19</v>
      </c>
      <c r="H160" s="41">
        <v>4</v>
      </c>
      <c r="I160" s="41">
        <v>699.99</v>
      </c>
      <c r="J160" s="41" t="s">
        <v>26</v>
      </c>
      <c r="K160" s="41" t="s">
        <v>40</v>
      </c>
      <c r="L160" s="41" t="s">
        <v>27</v>
      </c>
      <c r="M160" s="42">
        <v>44703</v>
      </c>
      <c r="N160" s="41">
        <f t="shared" si="18"/>
        <v>2799.96</v>
      </c>
      <c r="O160" s="40"/>
      <c r="P160" s="40"/>
      <c r="Q160" s="40"/>
      <c r="R160" s="40"/>
      <c r="S160" s="40"/>
      <c r="T160" s="40"/>
      <c r="U160" s="18">
        <f t="shared" si="19"/>
        <v>8269.7900000000009</v>
      </c>
      <c r="V160" s="38" t="str">
        <f t="shared" si="20"/>
        <v>Normal</v>
      </c>
      <c r="W160" s="18">
        <f t="shared" si="21"/>
        <v>31</v>
      </c>
      <c r="X160" s="40"/>
      <c r="Y160" s="40"/>
      <c r="Z160" s="18">
        <f t="shared" si="22"/>
        <v>6</v>
      </c>
      <c r="AA160" s="18" t="str">
        <f t="shared" si="23"/>
        <v>Repeat</v>
      </c>
      <c r="AB160" s="18" t="str">
        <f t="shared" si="24"/>
        <v>Dorothy Nelson</v>
      </c>
      <c r="AC160" s="18" t="str">
        <f t="shared" si="25"/>
        <v>DN</v>
      </c>
      <c r="AD160" s="18" t="str">
        <f t="shared" si="26"/>
        <v>dnelson@gmail.com</v>
      </c>
    </row>
    <row r="161" spans="1:30" x14ac:dyDescent="0.3">
      <c r="A161" s="41" t="s">
        <v>302</v>
      </c>
      <c r="B161" s="42">
        <v>45635</v>
      </c>
      <c r="C161" s="41" t="s">
        <v>108</v>
      </c>
      <c r="D161" s="41" t="s">
        <v>109</v>
      </c>
      <c r="E161" s="41" t="s">
        <v>17</v>
      </c>
      <c r="F161" s="41" t="s">
        <v>18</v>
      </c>
      <c r="G161" s="41" t="s">
        <v>19</v>
      </c>
      <c r="H161" s="41">
        <v>2</v>
      </c>
      <c r="I161" s="41">
        <v>249.99</v>
      </c>
      <c r="J161" s="41" t="s">
        <v>26</v>
      </c>
      <c r="K161" s="41" t="s">
        <v>21</v>
      </c>
      <c r="L161" s="41" t="s">
        <v>27</v>
      </c>
      <c r="M161" s="42">
        <v>44396</v>
      </c>
      <c r="N161" s="41">
        <f t="shared" si="18"/>
        <v>499.98</v>
      </c>
      <c r="O161" s="40"/>
      <c r="P161" s="40"/>
      <c r="Q161" s="40"/>
      <c r="R161" s="40"/>
      <c r="S161" s="40"/>
      <c r="T161" s="40"/>
      <c r="U161" s="18">
        <f t="shared" si="19"/>
        <v>4189.7700000000004</v>
      </c>
      <c r="V161" s="38" t="str">
        <f t="shared" si="20"/>
        <v>Normal</v>
      </c>
      <c r="W161" s="18">
        <f t="shared" si="21"/>
        <v>26</v>
      </c>
      <c r="X161" s="40"/>
      <c r="Y161" s="40"/>
      <c r="Z161" s="18">
        <f t="shared" si="22"/>
        <v>6</v>
      </c>
      <c r="AA161" s="18" t="str">
        <f t="shared" si="23"/>
        <v>Repeat</v>
      </c>
      <c r="AB161" s="18" t="str">
        <f t="shared" si="24"/>
        <v>Nancy Collins</v>
      </c>
      <c r="AC161" s="18" t="str">
        <f t="shared" si="25"/>
        <v>NC</v>
      </c>
      <c r="AD161" s="18" t="str">
        <f t="shared" si="26"/>
        <v>ncollins@gmail.com</v>
      </c>
    </row>
    <row r="162" spans="1:30" x14ac:dyDescent="0.3">
      <c r="A162" s="41" t="s">
        <v>303</v>
      </c>
      <c r="B162" s="42">
        <v>45635</v>
      </c>
      <c r="C162" s="41" t="s">
        <v>304</v>
      </c>
      <c r="D162" s="41" t="s">
        <v>305</v>
      </c>
      <c r="E162" s="41" t="s">
        <v>31</v>
      </c>
      <c r="F162" s="41" t="s">
        <v>32</v>
      </c>
      <c r="G162" s="41" t="s">
        <v>33</v>
      </c>
      <c r="H162" s="41">
        <v>3</v>
      </c>
      <c r="I162" s="41">
        <v>59.99</v>
      </c>
      <c r="J162" s="41" t="s">
        <v>20</v>
      </c>
      <c r="K162" s="41" t="s">
        <v>21</v>
      </c>
      <c r="L162" s="41" t="s">
        <v>27</v>
      </c>
      <c r="M162" s="42">
        <v>45052</v>
      </c>
      <c r="N162" s="41">
        <f t="shared" si="18"/>
        <v>179.97</v>
      </c>
      <c r="O162" s="40"/>
      <c r="P162" s="40"/>
      <c r="Q162" s="40"/>
      <c r="R162" s="40"/>
      <c r="S162" s="40"/>
      <c r="T162" s="40"/>
      <c r="U162" s="18">
        <f t="shared" si="19"/>
        <v>179.97</v>
      </c>
      <c r="V162" s="38" t="str">
        <f t="shared" si="20"/>
        <v>Normal</v>
      </c>
      <c r="W162" s="18">
        <f t="shared" si="21"/>
        <v>29</v>
      </c>
      <c r="X162" s="40"/>
      <c r="Y162" s="40"/>
      <c r="Z162" s="18">
        <f t="shared" si="22"/>
        <v>1</v>
      </c>
      <c r="AA162" s="18" t="str">
        <f t="shared" si="23"/>
        <v>Unique</v>
      </c>
      <c r="AB162" s="18" t="str">
        <f t="shared" si="24"/>
        <v/>
      </c>
      <c r="AC162" s="18" t="str">
        <f t="shared" si="25"/>
        <v>JJ</v>
      </c>
      <c r="AD162" s="18" t="str">
        <f t="shared" si="26"/>
        <v>jjohnson@gmail.com</v>
      </c>
    </row>
    <row r="163" spans="1:30" x14ac:dyDescent="0.3">
      <c r="A163" s="41" t="s">
        <v>306</v>
      </c>
      <c r="B163" s="42">
        <v>45635</v>
      </c>
      <c r="C163" s="41" t="s">
        <v>141</v>
      </c>
      <c r="D163" s="41" t="s">
        <v>142</v>
      </c>
      <c r="E163" s="41" t="s">
        <v>114</v>
      </c>
      <c r="F163" s="41" t="s">
        <v>115</v>
      </c>
      <c r="G163" s="41" t="s">
        <v>33</v>
      </c>
      <c r="H163" s="41">
        <v>4</v>
      </c>
      <c r="I163" s="41">
        <v>79.989999999999995</v>
      </c>
      <c r="J163" s="41" t="s">
        <v>57</v>
      </c>
      <c r="K163" s="41" t="s">
        <v>63</v>
      </c>
      <c r="L163" s="41" t="s">
        <v>36</v>
      </c>
      <c r="M163" s="42">
        <v>44921</v>
      </c>
      <c r="N163" s="41">
        <f t="shared" si="18"/>
        <v>319.95999999999998</v>
      </c>
      <c r="O163" s="40"/>
      <c r="P163" s="40"/>
      <c r="Q163" s="40"/>
      <c r="R163" s="40"/>
      <c r="S163" s="40"/>
      <c r="T163" s="40"/>
      <c r="U163" s="18">
        <f t="shared" si="19"/>
        <v>4739.8500000000004</v>
      </c>
      <c r="V163" s="38" t="str">
        <f t="shared" si="20"/>
        <v>Normal</v>
      </c>
      <c r="W163" s="18">
        <f t="shared" si="21"/>
        <v>14</v>
      </c>
      <c r="X163" s="40"/>
      <c r="Y163" s="40"/>
      <c r="Z163" s="18">
        <f t="shared" si="22"/>
        <v>4</v>
      </c>
      <c r="AA163" s="18" t="str">
        <f t="shared" si="23"/>
        <v>Repeat</v>
      </c>
      <c r="AB163" s="18" t="str">
        <f t="shared" si="24"/>
        <v>Jennifer Taylor</v>
      </c>
      <c r="AC163" s="18" t="str">
        <f t="shared" si="25"/>
        <v>JT</v>
      </c>
      <c r="AD163" s="18" t="str">
        <f t="shared" si="26"/>
        <v>jtaylor@gmail.com</v>
      </c>
    </row>
    <row r="164" spans="1:30" x14ac:dyDescent="0.3">
      <c r="A164" s="41" t="s">
        <v>307</v>
      </c>
      <c r="B164" s="42">
        <v>45636</v>
      </c>
      <c r="C164" s="41" t="s">
        <v>120</v>
      </c>
      <c r="D164" s="41" t="s">
        <v>121</v>
      </c>
      <c r="E164" s="41" t="s">
        <v>114</v>
      </c>
      <c r="F164" s="41" t="s">
        <v>115</v>
      </c>
      <c r="G164" s="41" t="s">
        <v>33</v>
      </c>
      <c r="H164" s="41">
        <v>3</v>
      </c>
      <c r="I164" s="41">
        <v>79.989999999999995</v>
      </c>
      <c r="J164" s="41" t="s">
        <v>57</v>
      </c>
      <c r="K164" s="41" t="s">
        <v>63</v>
      </c>
      <c r="L164" s="41" t="s">
        <v>36</v>
      </c>
      <c r="M164" s="42">
        <v>44779</v>
      </c>
      <c r="N164" s="41">
        <f t="shared" si="18"/>
        <v>239.96999999999997</v>
      </c>
      <c r="O164" s="40"/>
      <c r="P164" s="40"/>
      <c r="Q164" s="40"/>
      <c r="R164" s="40"/>
      <c r="S164" s="40"/>
      <c r="T164" s="40"/>
      <c r="U164" s="18">
        <f t="shared" si="19"/>
        <v>6459.79</v>
      </c>
      <c r="V164" s="38" t="str">
        <f t="shared" si="20"/>
        <v>Normal</v>
      </c>
      <c r="W164" s="18">
        <f t="shared" si="21"/>
        <v>14</v>
      </c>
      <c r="X164" s="40"/>
      <c r="Y164" s="40"/>
      <c r="Z164" s="18">
        <f t="shared" si="22"/>
        <v>7</v>
      </c>
      <c r="AA164" s="18" t="str">
        <f t="shared" si="23"/>
        <v>Repeat</v>
      </c>
      <c r="AB164" s="18" t="str">
        <f t="shared" si="24"/>
        <v>Helen Roberts</v>
      </c>
      <c r="AC164" s="18" t="str">
        <f t="shared" si="25"/>
        <v>HR</v>
      </c>
      <c r="AD164" s="18" t="str">
        <f t="shared" si="26"/>
        <v>hroberts@gmail.com</v>
      </c>
    </row>
    <row r="165" spans="1:30" x14ac:dyDescent="0.3">
      <c r="A165" s="41" t="s">
        <v>308</v>
      </c>
      <c r="B165" s="42">
        <v>45638</v>
      </c>
      <c r="C165" s="41" t="s">
        <v>72</v>
      </c>
      <c r="D165" s="41" t="s">
        <v>73</v>
      </c>
      <c r="E165" s="41" t="s">
        <v>61</v>
      </c>
      <c r="F165" s="41" t="s">
        <v>62</v>
      </c>
      <c r="G165" s="41" t="s">
        <v>19</v>
      </c>
      <c r="H165" s="41">
        <v>2</v>
      </c>
      <c r="I165" s="41">
        <v>899.99</v>
      </c>
      <c r="J165" s="41" t="s">
        <v>20</v>
      </c>
      <c r="K165" s="41" t="s">
        <v>40</v>
      </c>
      <c r="L165" s="41" t="s">
        <v>22</v>
      </c>
      <c r="M165" s="42">
        <v>44406</v>
      </c>
      <c r="N165" s="41">
        <f t="shared" si="18"/>
        <v>1799.98</v>
      </c>
      <c r="O165" s="40"/>
      <c r="P165" s="40"/>
      <c r="Q165" s="40"/>
      <c r="R165" s="40"/>
      <c r="S165" s="40"/>
      <c r="T165" s="40"/>
      <c r="U165" s="18">
        <f t="shared" si="19"/>
        <v>5949.85</v>
      </c>
      <c r="V165" s="38" t="str">
        <f t="shared" si="20"/>
        <v>Normal</v>
      </c>
      <c r="W165" s="18">
        <f t="shared" si="21"/>
        <v>24</v>
      </c>
      <c r="X165" s="40"/>
      <c r="Y165" s="40"/>
      <c r="Z165" s="18">
        <f t="shared" si="22"/>
        <v>5</v>
      </c>
      <c r="AA165" s="18" t="str">
        <f t="shared" si="23"/>
        <v>Repeat</v>
      </c>
      <c r="AB165" s="18" t="str">
        <f t="shared" si="24"/>
        <v>Peter Richardson</v>
      </c>
      <c r="AC165" s="18" t="str">
        <f t="shared" si="25"/>
        <v>PR</v>
      </c>
      <c r="AD165" s="18" t="str">
        <f t="shared" si="26"/>
        <v>prichardson@gmail.com</v>
      </c>
    </row>
    <row r="166" spans="1:30" x14ac:dyDescent="0.3">
      <c r="A166" s="41" t="s">
        <v>309</v>
      </c>
      <c r="B166" s="42">
        <v>45641</v>
      </c>
      <c r="C166" s="41" t="s">
        <v>182</v>
      </c>
      <c r="D166" s="41" t="s">
        <v>183</v>
      </c>
      <c r="E166" s="41" t="s">
        <v>44</v>
      </c>
      <c r="F166" s="41" t="s">
        <v>45</v>
      </c>
      <c r="G166" s="41" t="s">
        <v>46</v>
      </c>
      <c r="H166" s="41">
        <v>1</v>
      </c>
      <c r="I166" s="41">
        <v>149.99</v>
      </c>
      <c r="J166" s="41" t="s">
        <v>57</v>
      </c>
      <c r="K166" s="41" t="s">
        <v>63</v>
      </c>
      <c r="L166" s="41" t="s">
        <v>36</v>
      </c>
      <c r="M166" s="42">
        <v>45200</v>
      </c>
      <c r="N166" s="41">
        <f t="shared" si="18"/>
        <v>149.99</v>
      </c>
      <c r="O166" s="40"/>
      <c r="P166" s="40"/>
      <c r="Q166" s="40"/>
      <c r="R166" s="40"/>
      <c r="S166" s="40"/>
      <c r="T166" s="40"/>
      <c r="U166" s="18">
        <f t="shared" si="19"/>
        <v>1809.84</v>
      </c>
      <c r="V166" s="38" t="str">
        <f t="shared" si="20"/>
        <v>Normal</v>
      </c>
      <c r="W166" s="18">
        <f t="shared" si="21"/>
        <v>35</v>
      </c>
      <c r="X166" s="40"/>
      <c r="Y166" s="40"/>
      <c r="Z166" s="18">
        <f t="shared" si="22"/>
        <v>6</v>
      </c>
      <c r="AA166" s="18" t="str">
        <f t="shared" si="23"/>
        <v>Repeat</v>
      </c>
      <c r="AB166" s="18" t="str">
        <f t="shared" si="24"/>
        <v>David Martinez</v>
      </c>
      <c r="AC166" s="18" t="str">
        <f t="shared" si="25"/>
        <v>DM</v>
      </c>
      <c r="AD166" s="18" t="str">
        <f t="shared" si="26"/>
        <v>dmartinez@gmail.com</v>
      </c>
    </row>
    <row r="167" spans="1:30" x14ac:dyDescent="0.3">
      <c r="A167" s="41" t="s">
        <v>310</v>
      </c>
      <c r="B167" s="42">
        <v>45641</v>
      </c>
      <c r="C167" s="41" t="s">
        <v>138</v>
      </c>
      <c r="D167" s="41" t="s">
        <v>139</v>
      </c>
      <c r="E167" s="41" t="s">
        <v>105</v>
      </c>
      <c r="F167" s="41" t="s">
        <v>106</v>
      </c>
      <c r="G167" s="41" t="s">
        <v>46</v>
      </c>
      <c r="H167" s="41">
        <v>2</v>
      </c>
      <c r="I167" s="41">
        <v>299.99</v>
      </c>
      <c r="J167" s="41" t="s">
        <v>20</v>
      </c>
      <c r="K167" s="41" t="s">
        <v>63</v>
      </c>
      <c r="L167" s="41" t="s">
        <v>27</v>
      </c>
      <c r="M167" s="42">
        <v>44724</v>
      </c>
      <c r="N167" s="41">
        <f t="shared" si="18"/>
        <v>599.98</v>
      </c>
      <c r="O167" s="40"/>
      <c r="P167" s="40"/>
      <c r="Q167" s="40"/>
      <c r="R167" s="40"/>
      <c r="S167" s="40"/>
      <c r="T167" s="40"/>
      <c r="U167" s="18">
        <f t="shared" si="19"/>
        <v>2649.83</v>
      </c>
      <c r="V167" s="38" t="str">
        <f t="shared" si="20"/>
        <v>Normal</v>
      </c>
      <c r="W167" s="18">
        <f t="shared" si="21"/>
        <v>26</v>
      </c>
      <c r="X167" s="40"/>
      <c r="Y167" s="40"/>
      <c r="Z167" s="18">
        <f t="shared" si="22"/>
        <v>6</v>
      </c>
      <c r="AA167" s="18" t="str">
        <f t="shared" si="23"/>
        <v>Repeat</v>
      </c>
      <c r="AB167" s="18" t="str">
        <f t="shared" si="24"/>
        <v>Steven Turner</v>
      </c>
      <c r="AC167" s="18" t="str">
        <f t="shared" si="25"/>
        <v>ST</v>
      </c>
      <c r="AD167" s="18" t="str">
        <f t="shared" si="26"/>
        <v>sturner@gmail.com</v>
      </c>
    </row>
    <row r="168" spans="1:30" x14ac:dyDescent="0.3">
      <c r="A168" s="41" t="s">
        <v>311</v>
      </c>
      <c r="B168" s="42">
        <v>45644</v>
      </c>
      <c r="C168" s="41" t="s">
        <v>132</v>
      </c>
      <c r="D168" s="41" t="s">
        <v>133</v>
      </c>
      <c r="E168" s="41" t="s">
        <v>31</v>
      </c>
      <c r="F168" s="41" t="s">
        <v>32</v>
      </c>
      <c r="G168" s="41" t="s">
        <v>33</v>
      </c>
      <c r="H168" s="41">
        <v>2</v>
      </c>
      <c r="I168" s="41">
        <v>59.99</v>
      </c>
      <c r="J168" s="41" t="s">
        <v>20</v>
      </c>
      <c r="K168" s="41" t="s">
        <v>50</v>
      </c>
      <c r="L168" s="41" t="s">
        <v>22</v>
      </c>
      <c r="M168" s="42">
        <v>45191</v>
      </c>
      <c r="N168" s="41">
        <f t="shared" si="18"/>
        <v>119.98</v>
      </c>
      <c r="O168" s="40"/>
      <c r="P168" s="40"/>
      <c r="Q168" s="40"/>
      <c r="R168" s="40"/>
      <c r="S168" s="40"/>
      <c r="T168" s="40"/>
      <c r="U168" s="18">
        <f t="shared" si="19"/>
        <v>1229.8800000000001</v>
      </c>
      <c r="V168" s="38" t="str">
        <f t="shared" si="20"/>
        <v>Normal</v>
      </c>
      <c r="W168" s="18">
        <f t="shared" si="21"/>
        <v>29</v>
      </c>
      <c r="X168" s="40"/>
      <c r="Y168" s="40"/>
      <c r="Z168" s="18">
        <f t="shared" si="22"/>
        <v>5</v>
      </c>
      <c r="AA168" s="18" t="str">
        <f t="shared" si="23"/>
        <v>Repeat</v>
      </c>
      <c r="AB168" s="18" t="str">
        <f t="shared" si="24"/>
        <v>Emma Wilson</v>
      </c>
      <c r="AC168" s="18" t="str">
        <f t="shared" si="25"/>
        <v>EW</v>
      </c>
      <c r="AD168" s="18" t="str">
        <f t="shared" si="26"/>
        <v>ewilson@gmail.com</v>
      </c>
    </row>
    <row r="169" spans="1:30" x14ac:dyDescent="0.3">
      <c r="A169" s="41" t="s">
        <v>312</v>
      </c>
      <c r="B169" s="42">
        <v>45645</v>
      </c>
      <c r="C169" s="41" t="s">
        <v>182</v>
      </c>
      <c r="D169" s="41" t="s">
        <v>183</v>
      </c>
      <c r="E169" s="41" t="s">
        <v>117</v>
      </c>
      <c r="F169" s="41" t="s">
        <v>118</v>
      </c>
      <c r="G169" s="41" t="s">
        <v>19</v>
      </c>
      <c r="H169" s="41">
        <v>1</v>
      </c>
      <c r="I169" s="41">
        <v>89.99</v>
      </c>
      <c r="J169" s="41" t="s">
        <v>57</v>
      </c>
      <c r="K169" s="41" t="s">
        <v>21</v>
      </c>
      <c r="L169" s="41" t="s">
        <v>36</v>
      </c>
      <c r="M169" s="42">
        <v>44760</v>
      </c>
      <c r="N169" s="41">
        <f t="shared" si="18"/>
        <v>89.99</v>
      </c>
      <c r="O169" s="40"/>
      <c r="P169" s="40"/>
      <c r="Q169" s="40"/>
      <c r="R169" s="40"/>
      <c r="S169" s="40"/>
      <c r="T169" s="40"/>
      <c r="U169" s="18">
        <f t="shared" si="19"/>
        <v>1809.84</v>
      </c>
      <c r="V169" s="38" t="str">
        <f t="shared" si="20"/>
        <v>Normal</v>
      </c>
      <c r="W169" s="18">
        <f t="shared" si="21"/>
        <v>34</v>
      </c>
      <c r="X169" s="40"/>
      <c r="Y169" s="40"/>
      <c r="Z169" s="18">
        <f t="shared" si="22"/>
        <v>6</v>
      </c>
      <c r="AA169" s="18" t="str">
        <f t="shared" si="23"/>
        <v>Repeat</v>
      </c>
      <c r="AB169" s="18" t="str">
        <f t="shared" si="24"/>
        <v>David Martinez</v>
      </c>
      <c r="AC169" s="18" t="str">
        <f t="shared" si="25"/>
        <v>DM</v>
      </c>
      <c r="AD169" s="18" t="str">
        <f t="shared" si="26"/>
        <v>dmartinez@gmail.com</v>
      </c>
    </row>
    <row r="170" spans="1:30" x14ac:dyDescent="0.3">
      <c r="A170" s="41" t="s">
        <v>313</v>
      </c>
      <c r="B170" s="42">
        <v>45645</v>
      </c>
      <c r="C170" s="41" t="s">
        <v>147</v>
      </c>
      <c r="D170" s="41" t="s">
        <v>148</v>
      </c>
      <c r="E170" s="41" t="s">
        <v>61</v>
      </c>
      <c r="F170" s="41" t="s">
        <v>62</v>
      </c>
      <c r="G170" s="41" t="s">
        <v>19</v>
      </c>
      <c r="H170" s="41">
        <v>5</v>
      </c>
      <c r="I170" s="41">
        <v>899.99</v>
      </c>
      <c r="J170" s="41" t="s">
        <v>57</v>
      </c>
      <c r="K170" s="41" t="s">
        <v>63</v>
      </c>
      <c r="L170" s="41" t="s">
        <v>36</v>
      </c>
      <c r="M170" s="42">
        <v>44625</v>
      </c>
      <c r="N170" s="41">
        <f t="shared" si="18"/>
        <v>4499.95</v>
      </c>
      <c r="O170" s="40"/>
      <c r="P170" s="40"/>
      <c r="Q170" s="40"/>
      <c r="R170" s="40"/>
      <c r="S170" s="40"/>
      <c r="T170" s="40"/>
      <c r="U170" s="18">
        <f t="shared" si="19"/>
        <v>7309.7999999999993</v>
      </c>
      <c r="V170" s="38" t="str">
        <f t="shared" si="20"/>
        <v>Normal</v>
      </c>
      <c r="W170" s="18">
        <f t="shared" si="21"/>
        <v>24</v>
      </c>
      <c r="X170" s="40"/>
      <c r="Y170" s="40"/>
      <c r="Z170" s="18">
        <f t="shared" si="22"/>
        <v>7</v>
      </c>
      <c r="AA170" s="18" t="str">
        <f t="shared" si="23"/>
        <v>Repeat</v>
      </c>
      <c r="AB170" s="18" t="str">
        <f t="shared" si="24"/>
        <v>Daniel King</v>
      </c>
      <c r="AC170" s="18" t="str">
        <f t="shared" si="25"/>
        <v>DK</v>
      </c>
      <c r="AD170" s="18" t="str">
        <f t="shared" si="26"/>
        <v>dking@gmail.com</v>
      </c>
    </row>
    <row r="171" spans="1:30" x14ac:dyDescent="0.3">
      <c r="A171" s="41" t="s">
        <v>314</v>
      </c>
      <c r="B171" s="42">
        <v>45646</v>
      </c>
      <c r="C171" s="41" t="s">
        <v>42</v>
      </c>
      <c r="D171" s="41" t="s">
        <v>43</v>
      </c>
      <c r="E171" s="41" t="s">
        <v>44</v>
      </c>
      <c r="F171" s="41" t="s">
        <v>45</v>
      </c>
      <c r="G171" s="41" t="s">
        <v>46</v>
      </c>
      <c r="H171" s="41">
        <v>2</v>
      </c>
      <c r="I171" s="41">
        <v>149.99</v>
      </c>
      <c r="J171" s="41" t="s">
        <v>20</v>
      </c>
      <c r="K171" s="41" t="s">
        <v>35</v>
      </c>
      <c r="L171" s="41" t="s">
        <v>22</v>
      </c>
      <c r="M171" s="42">
        <v>45239</v>
      </c>
      <c r="N171" s="41">
        <f t="shared" si="18"/>
        <v>299.98</v>
      </c>
      <c r="O171" s="40"/>
      <c r="P171" s="40"/>
      <c r="Q171" s="40"/>
      <c r="R171" s="40"/>
      <c r="S171" s="40"/>
      <c r="T171" s="40"/>
      <c r="U171" s="18">
        <f t="shared" si="19"/>
        <v>6169.7400000000007</v>
      </c>
      <c r="V171" s="38" t="str">
        <f t="shared" si="20"/>
        <v>Normal</v>
      </c>
      <c r="W171" s="18">
        <f t="shared" si="21"/>
        <v>35</v>
      </c>
      <c r="X171" s="40"/>
      <c r="Y171" s="40"/>
      <c r="Z171" s="18">
        <f t="shared" si="22"/>
        <v>9</v>
      </c>
      <c r="AA171" s="18" t="str">
        <f t="shared" si="23"/>
        <v>Repeat</v>
      </c>
      <c r="AB171" s="18" t="str">
        <f t="shared" si="24"/>
        <v>Michael Brown</v>
      </c>
      <c r="AC171" s="18" t="str">
        <f t="shared" si="25"/>
        <v>MB</v>
      </c>
      <c r="AD171" s="18" t="str">
        <f t="shared" si="26"/>
        <v>mbrown@gmail.com</v>
      </c>
    </row>
    <row r="172" spans="1:30" x14ac:dyDescent="0.3">
      <c r="A172" s="41" t="s">
        <v>315</v>
      </c>
      <c r="B172" s="42">
        <v>45648</v>
      </c>
      <c r="C172" s="41" t="s">
        <v>112</v>
      </c>
      <c r="D172" s="41" t="s">
        <v>113</v>
      </c>
      <c r="E172" s="41" t="s">
        <v>52</v>
      </c>
      <c r="F172" s="41" t="s">
        <v>53</v>
      </c>
      <c r="G172" s="41" t="s">
        <v>19</v>
      </c>
      <c r="H172" s="41">
        <v>2</v>
      </c>
      <c r="I172" s="41">
        <v>149.99</v>
      </c>
      <c r="J172" s="41" t="s">
        <v>57</v>
      </c>
      <c r="K172" s="41" t="s">
        <v>50</v>
      </c>
      <c r="L172" s="41" t="s">
        <v>27</v>
      </c>
      <c r="M172" s="42">
        <v>45280</v>
      </c>
      <c r="N172" s="41">
        <f t="shared" si="18"/>
        <v>299.98</v>
      </c>
      <c r="O172" s="40"/>
      <c r="P172" s="40"/>
      <c r="Q172" s="40"/>
      <c r="R172" s="40"/>
      <c r="S172" s="40"/>
      <c r="T172" s="40"/>
      <c r="U172" s="18">
        <f t="shared" si="19"/>
        <v>1289.9000000000001</v>
      </c>
      <c r="V172" s="38" t="str">
        <f t="shared" si="20"/>
        <v>Normal</v>
      </c>
      <c r="W172" s="18">
        <f t="shared" si="21"/>
        <v>16</v>
      </c>
      <c r="X172" s="40"/>
      <c r="Y172" s="40"/>
      <c r="Z172" s="18">
        <f t="shared" si="22"/>
        <v>4</v>
      </c>
      <c r="AA172" s="18" t="str">
        <f t="shared" si="23"/>
        <v>Repeat</v>
      </c>
      <c r="AB172" s="18" t="str">
        <f t="shared" si="24"/>
        <v>Linda Martin</v>
      </c>
      <c r="AC172" s="18" t="str">
        <f t="shared" si="25"/>
        <v>LM</v>
      </c>
      <c r="AD172" s="18" t="str">
        <f t="shared" si="26"/>
        <v>lmartin@gmail.com</v>
      </c>
    </row>
    <row r="173" spans="1:30" x14ac:dyDescent="0.3">
      <c r="A173" s="41" t="s">
        <v>316</v>
      </c>
      <c r="B173" s="42">
        <v>45648</v>
      </c>
      <c r="C173" s="41" t="s">
        <v>182</v>
      </c>
      <c r="D173" s="41" t="s">
        <v>183</v>
      </c>
      <c r="E173" s="41" t="s">
        <v>44</v>
      </c>
      <c r="F173" s="41" t="s">
        <v>45</v>
      </c>
      <c r="G173" s="41" t="s">
        <v>46</v>
      </c>
      <c r="H173" s="41">
        <v>3</v>
      </c>
      <c r="I173" s="41">
        <v>149.99</v>
      </c>
      <c r="J173" s="41" t="s">
        <v>57</v>
      </c>
      <c r="K173" s="41" t="s">
        <v>40</v>
      </c>
      <c r="L173" s="41" t="s">
        <v>36</v>
      </c>
      <c r="M173" s="42">
        <v>44522</v>
      </c>
      <c r="N173" s="41">
        <f t="shared" si="18"/>
        <v>449.97</v>
      </c>
      <c r="O173" s="40"/>
      <c r="P173" s="40"/>
      <c r="Q173" s="40"/>
      <c r="R173" s="40"/>
      <c r="S173" s="40"/>
      <c r="T173" s="40"/>
      <c r="U173" s="18">
        <f t="shared" si="19"/>
        <v>1809.84</v>
      </c>
      <c r="V173" s="38" t="str">
        <f t="shared" si="20"/>
        <v>Normal</v>
      </c>
      <c r="W173" s="18">
        <f t="shared" si="21"/>
        <v>35</v>
      </c>
      <c r="X173" s="40"/>
      <c r="Y173" s="40"/>
      <c r="Z173" s="18">
        <f t="shared" si="22"/>
        <v>6</v>
      </c>
      <c r="AA173" s="18" t="str">
        <f t="shared" si="23"/>
        <v>Repeat</v>
      </c>
      <c r="AB173" s="18" t="str">
        <f t="shared" si="24"/>
        <v>David Martinez</v>
      </c>
      <c r="AC173" s="18" t="str">
        <f t="shared" si="25"/>
        <v>DM</v>
      </c>
      <c r="AD173" s="18" t="str">
        <f t="shared" si="26"/>
        <v>dmartinez@gmail.com</v>
      </c>
    </row>
    <row r="174" spans="1:30" x14ac:dyDescent="0.3">
      <c r="A174" s="41" t="s">
        <v>317</v>
      </c>
      <c r="B174" s="42">
        <v>45649</v>
      </c>
      <c r="C174" s="41" t="s">
        <v>29</v>
      </c>
      <c r="D174" s="41" t="s">
        <v>30</v>
      </c>
      <c r="E174" s="41" t="s">
        <v>105</v>
      </c>
      <c r="F174" s="41" t="s">
        <v>106</v>
      </c>
      <c r="G174" s="41" t="s">
        <v>46</v>
      </c>
      <c r="H174" s="41">
        <v>2</v>
      </c>
      <c r="I174" s="41">
        <v>299.99</v>
      </c>
      <c r="J174" s="41" t="s">
        <v>34</v>
      </c>
      <c r="K174" s="41" t="s">
        <v>35</v>
      </c>
      <c r="L174" s="41" t="s">
        <v>22</v>
      </c>
      <c r="M174" s="42">
        <v>44721</v>
      </c>
      <c r="N174" s="41">
        <f t="shared" si="18"/>
        <v>599.98</v>
      </c>
      <c r="O174" s="40"/>
      <c r="P174" s="40"/>
      <c r="Q174" s="40"/>
      <c r="R174" s="40"/>
      <c r="S174" s="40"/>
      <c r="T174" s="40"/>
      <c r="U174" s="18">
        <f t="shared" si="19"/>
        <v>3259.87</v>
      </c>
      <c r="V174" s="38" t="str">
        <f t="shared" si="20"/>
        <v>Normal</v>
      </c>
      <c r="W174" s="18">
        <f t="shared" si="21"/>
        <v>26</v>
      </c>
      <c r="X174" s="40"/>
      <c r="Y174" s="40"/>
      <c r="Z174" s="18">
        <f t="shared" si="22"/>
        <v>6</v>
      </c>
      <c r="AA174" s="18" t="str">
        <f t="shared" si="23"/>
        <v>Repeat</v>
      </c>
      <c r="AB174" s="18" t="str">
        <f t="shared" si="24"/>
        <v>Kevin Scott</v>
      </c>
      <c r="AC174" s="18" t="str">
        <f t="shared" si="25"/>
        <v>KS</v>
      </c>
      <c r="AD174" s="18" t="str">
        <f t="shared" si="26"/>
        <v>kscott@gmail.com</v>
      </c>
    </row>
    <row r="175" spans="1:30" x14ac:dyDescent="0.3">
      <c r="A175" s="41" t="s">
        <v>318</v>
      </c>
      <c r="B175" s="42">
        <v>45654</v>
      </c>
      <c r="C175" s="41" t="s">
        <v>42</v>
      </c>
      <c r="D175" s="41" t="s">
        <v>43</v>
      </c>
      <c r="E175" s="41" t="s">
        <v>105</v>
      </c>
      <c r="F175" s="41" t="s">
        <v>106</v>
      </c>
      <c r="G175" s="41" t="s">
        <v>46</v>
      </c>
      <c r="H175" s="41">
        <v>2</v>
      </c>
      <c r="I175" s="41">
        <v>299.99</v>
      </c>
      <c r="J175" s="41" t="s">
        <v>20</v>
      </c>
      <c r="K175" s="41" t="s">
        <v>50</v>
      </c>
      <c r="L175" s="41" t="s">
        <v>22</v>
      </c>
      <c r="M175" s="42">
        <v>44771</v>
      </c>
      <c r="N175" s="41">
        <f t="shared" si="18"/>
        <v>599.98</v>
      </c>
      <c r="O175" s="40"/>
      <c r="P175" s="40"/>
      <c r="Q175" s="40"/>
      <c r="R175" s="40"/>
      <c r="S175" s="40"/>
      <c r="T175" s="40"/>
      <c r="U175" s="18">
        <f t="shared" si="19"/>
        <v>6169.7400000000007</v>
      </c>
      <c r="V175" s="38" t="str">
        <f t="shared" si="20"/>
        <v>Normal</v>
      </c>
      <c r="W175" s="18">
        <f t="shared" si="21"/>
        <v>26</v>
      </c>
      <c r="X175" s="40"/>
      <c r="Y175" s="40"/>
      <c r="Z175" s="18">
        <f t="shared" si="22"/>
        <v>9</v>
      </c>
      <c r="AA175" s="18" t="str">
        <f t="shared" si="23"/>
        <v>Repeat</v>
      </c>
      <c r="AB175" s="18" t="str">
        <f t="shared" si="24"/>
        <v>Michael Brown</v>
      </c>
      <c r="AC175" s="18" t="str">
        <f t="shared" si="25"/>
        <v>MB</v>
      </c>
      <c r="AD175" s="18" t="str">
        <f t="shared" si="26"/>
        <v>mbrown@gmail.com</v>
      </c>
    </row>
    <row r="176" spans="1:30" x14ac:dyDescent="0.3">
      <c r="A176" s="41" t="s">
        <v>319</v>
      </c>
      <c r="B176" s="42">
        <v>45654</v>
      </c>
      <c r="C176" s="41" t="s">
        <v>120</v>
      </c>
      <c r="D176" s="41" t="s">
        <v>121</v>
      </c>
      <c r="E176" s="41" t="s">
        <v>126</v>
      </c>
      <c r="F176" s="41" t="s">
        <v>127</v>
      </c>
      <c r="G176" s="41" t="s">
        <v>46</v>
      </c>
      <c r="H176" s="41">
        <v>4</v>
      </c>
      <c r="I176" s="41">
        <v>199.99</v>
      </c>
      <c r="J176" s="41" t="s">
        <v>26</v>
      </c>
      <c r="K176" s="41" t="s">
        <v>21</v>
      </c>
      <c r="L176" s="41" t="s">
        <v>22</v>
      </c>
      <c r="M176" s="42">
        <v>44523</v>
      </c>
      <c r="N176" s="41">
        <f t="shared" si="18"/>
        <v>799.96</v>
      </c>
      <c r="O176" s="40"/>
      <c r="P176" s="40"/>
      <c r="Q176" s="40"/>
      <c r="R176" s="40"/>
      <c r="S176" s="40"/>
      <c r="T176" s="40"/>
      <c r="U176" s="18">
        <f t="shared" si="19"/>
        <v>6459.79</v>
      </c>
      <c r="V176" s="38" t="str">
        <f t="shared" si="20"/>
        <v>Normal</v>
      </c>
      <c r="W176" s="18">
        <f t="shared" si="21"/>
        <v>15</v>
      </c>
      <c r="X176" s="40"/>
      <c r="Y176" s="40"/>
      <c r="Z176" s="18">
        <f t="shared" si="22"/>
        <v>7</v>
      </c>
      <c r="AA176" s="18" t="str">
        <f t="shared" si="23"/>
        <v>Repeat</v>
      </c>
      <c r="AB176" s="18" t="str">
        <f t="shared" si="24"/>
        <v>Helen Roberts</v>
      </c>
      <c r="AC176" s="18" t="str">
        <f t="shared" si="25"/>
        <v>HR</v>
      </c>
      <c r="AD176" s="18" t="str">
        <f t="shared" si="26"/>
        <v>hroberts@gmail.com</v>
      </c>
    </row>
    <row r="177" spans="1:30" x14ac:dyDescent="0.3">
      <c r="A177" s="41" t="s">
        <v>320</v>
      </c>
      <c r="B177" s="42">
        <v>45655</v>
      </c>
      <c r="C177" s="41" t="s">
        <v>59</v>
      </c>
      <c r="D177" s="41" t="s">
        <v>60</v>
      </c>
      <c r="E177" s="41" t="s">
        <v>117</v>
      </c>
      <c r="F177" s="41" t="s">
        <v>118</v>
      </c>
      <c r="G177" s="41" t="s">
        <v>19</v>
      </c>
      <c r="H177" s="41">
        <v>1</v>
      </c>
      <c r="I177" s="41">
        <v>89.99</v>
      </c>
      <c r="J177" s="41" t="s">
        <v>26</v>
      </c>
      <c r="K177" s="41" t="s">
        <v>35</v>
      </c>
      <c r="L177" s="41" t="s">
        <v>27</v>
      </c>
      <c r="M177" s="42">
        <v>44591</v>
      </c>
      <c r="N177" s="41">
        <f t="shared" si="18"/>
        <v>89.99</v>
      </c>
      <c r="O177" s="40"/>
      <c r="P177" s="40"/>
      <c r="Q177" s="40"/>
      <c r="R177" s="40"/>
      <c r="S177" s="40"/>
      <c r="T177" s="40"/>
      <c r="U177" s="18">
        <f t="shared" si="19"/>
        <v>3509.8999999999996</v>
      </c>
      <c r="V177" s="38" t="str">
        <f t="shared" si="20"/>
        <v>Normal</v>
      </c>
      <c r="W177" s="18">
        <f t="shared" si="21"/>
        <v>34</v>
      </c>
      <c r="X177" s="40"/>
      <c r="Y177" s="40"/>
      <c r="Z177" s="18">
        <f t="shared" si="22"/>
        <v>5</v>
      </c>
      <c r="AA177" s="18" t="str">
        <f t="shared" si="23"/>
        <v>Repeat</v>
      </c>
      <c r="AB177" s="18" t="str">
        <f t="shared" si="24"/>
        <v>Robert Thomas</v>
      </c>
      <c r="AC177" s="18" t="str">
        <f t="shared" si="25"/>
        <v>RT</v>
      </c>
      <c r="AD177" s="18" t="str">
        <f t="shared" si="26"/>
        <v>rthomas@gmail.com</v>
      </c>
    </row>
    <row r="178" spans="1:30" x14ac:dyDescent="0.3">
      <c r="A178" s="41" t="s">
        <v>321</v>
      </c>
      <c r="B178" s="42">
        <v>45655</v>
      </c>
      <c r="C178" s="41" t="s">
        <v>108</v>
      </c>
      <c r="D178" s="41" t="s">
        <v>109</v>
      </c>
      <c r="E178" s="41" t="s">
        <v>44</v>
      </c>
      <c r="F178" s="41" t="s">
        <v>45</v>
      </c>
      <c r="G178" s="41" t="s">
        <v>46</v>
      </c>
      <c r="H178" s="41">
        <v>5</v>
      </c>
      <c r="I178" s="41">
        <v>149.99</v>
      </c>
      <c r="J178" s="41" t="s">
        <v>20</v>
      </c>
      <c r="K178" s="41" t="s">
        <v>21</v>
      </c>
      <c r="L178" s="41" t="s">
        <v>27</v>
      </c>
      <c r="M178" s="42">
        <v>45347</v>
      </c>
      <c r="N178" s="41">
        <f t="shared" si="18"/>
        <v>749.95</v>
      </c>
      <c r="O178" s="40"/>
      <c r="P178" s="40"/>
      <c r="Q178" s="40"/>
      <c r="R178" s="40"/>
      <c r="S178" s="40"/>
      <c r="T178" s="40"/>
      <c r="U178" s="18">
        <f t="shared" si="19"/>
        <v>4189.7700000000004</v>
      </c>
      <c r="V178" s="38" t="str">
        <f t="shared" si="20"/>
        <v>Normal</v>
      </c>
      <c r="W178" s="18">
        <f t="shared" si="21"/>
        <v>35</v>
      </c>
      <c r="X178" s="40"/>
      <c r="Y178" s="40"/>
      <c r="Z178" s="18">
        <f t="shared" si="22"/>
        <v>6</v>
      </c>
      <c r="AA178" s="18" t="str">
        <f t="shared" si="23"/>
        <v>Repeat</v>
      </c>
      <c r="AB178" s="18" t="str">
        <f t="shared" si="24"/>
        <v>Nancy Collins</v>
      </c>
      <c r="AC178" s="18" t="str">
        <f t="shared" si="25"/>
        <v>NC</v>
      </c>
      <c r="AD178" s="18" t="str">
        <f t="shared" si="26"/>
        <v>ncollins@gmail.com</v>
      </c>
    </row>
    <row r="179" spans="1:30" x14ac:dyDescent="0.3">
      <c r="A179" s="41" t="s">
        <v>322</v>
      </c>
      <c r="B179" s="42">
        <v>45657</v>
      </c>
      <c r="C179" s="41" t="s">
        <v>86</v>
      </c>
      <c r="D179" s="41" t="s">
        <v>87</v>
      </c>
      <c r="E179" s="41" t="s">
        <v>61</v>
      </c>
      <c r="F179" s="41" t="s">
        <v>62</v>
      </c>
      <c r="G179" s="41" t="s">
        <v>19</v>
      </c>
      <c r="H179" s="41">
        <v>1</v>
      </c>
      <c r="I179" s="41">
        <v>899.99</v>
      </c>
      <c r="J179" s="41" t="s">
        <v>34</v>
      </c>
      <c r="K179" s="41" t="s">
        <v>40</v>
      </c>
      <c r="L179" s="41" t="s">
        <v>27</v>
      </c>
      <c r="M179" s="42">
        <v>45050</v>
      </c>
      <c r="N179" s="41">
        <f t="shared" si="18"/>
        <v>899.99</v>
      </c>
      <c r="O179" s="40"/>
      <c r="P179" s="40"/>
      <c r="Q179" s="40"/>
      <c r="R179" s="40"/>
      <c r="S179" s="40"/>
      <c r="T179" s="40"/>
      <c r="U179" s="18">
        <f t="shared" si="19"/>
        <v>15659.65</v>
      </c>
      <c r="V179" s="38" t="str">
        <f t="shared" si="20"/>
        <v>High Value</v>
      </c>
      <c r="W179" s="18">
        <f t="shared" si="21"/>
        <v>24</v>
      </c>
      <c r="X179" s="40"/>
      <c r="Y179" s="40"/>
      <c r="Z179" s="18">
        <f t="shared" si="22"/>
        <v>12</v>
      </c>
      <c r="AA179" s="18" t="str">
        <f t="shared" si="23"/>
        <v>Repeat</v>
      </c>
      <c r="AB179" s="18" t="str">
        <f t="shared" si="24"/>
        <v>Mark Carter</v>
      </c>
      <c r="AC179" s="18" t="str">
        <f t="shared" si="25"/>
        <v>MC</v>
      </c>
      <c r="AD179" s="18" t="str">
        <f t="shared" si="26"/>
        <v>mcarter@gmail.com</v>
      </c>
    </row>
    <row r="180" spans="1:30" x14ac:dyDescent="0.3">
      <c r="A180" s="41" t="s">
        <v>323</v>
      </c>
      <c r="B180" s="42">
        <v>45660</v>
      </c>
      <c r="C180" s="41" t="s">
        <v>147</v>
      </c>
      <c r="D180" s="41" t="s">
        <v>148</v>
      </c>
      <c r="E180" s="41" t="s">
        <v>117</v>
      </c>
      <c r="F180" s="41" t="s">
        <v>118</v>
      </c>
      <c r="G180" s="41" t="s">
        <v>19</v>
      </c>
      <c r="H180" s="41">
        <v>2</v>
      </c>
      <c r="I180" s="41">
        <v>89.99</v>
      </c>
      <c r="J180" s="41" t="s">
        <v>26</v>
      </c>
      <c r="K180" s="41" t="s">
        <v>35</v>
      </c>
      <c r="L180" s="41" t="s">
        <v>27</v>
      </c>
      <c r="M180" s="42">
        <v>44564</v>
      </c>
      <c r="N180" s="41">
        <f t="shared" si="18"/>
        <v>179.98</v>
      </c>
      <c r="O180" s="40"/>
      <c r="P180" s="40"/>
      <c r="Q180" s="40"/>
      <c r="R180" s="40"/>
      <c r="S180" s="40"/>
      <c r="T180" s="40"/>
      <c r="U180" s="18">
        <f t="shared" si="19"/>
        <v>7309.7999999999993</v>
      </c>
      <c r="V180" s="38" t="str">
        <f t="shared" si="20"/>
        <v>Normal</v>
      </c>
      <c r="W180" s="18">
        <f t="shared" si="21"/>
        <v>34</v>
      </c>
      <c r="X180" s="40"/>
      <c r="Y180" s="40"/>
      <c r="Z180" s="18">
        <f t="shared" si="22"/>
        <v>7</v>
      </c>
      <c r="AA180" s="18" t="str">
        <f t="shared" si="23"/>
        <v>Repeat</v>
      </c>
      <c r="AB180" s="18" t="str">
        <f t="shared" si="24"/>
        <v>Daniel King</v>
      </c>
      <c r="AC180" s="18" t="str">
        <f t="shared" si="25"/>
        <v>DK</v>
      </c>
      <c r="AD180" s="18" t="str">
        <f t="shared" si="26"/>
        <v>dking@gmail.com</v>
      </c>
    </row>
    <row r="181" spans="1:30" x14ac:dyDescent="0.3">
      <c r="A181" s="41" t="s">
        <v>324</v>
      </c>
      <c r="B181" s="42">
        <v>45661</v>
      </c>
      <c r="C181" s="41" t="s">
        <v>325</v>
      </c>
      <c r="D181" s="41" t="s">
        <v>326</v>
      </c>
      <c r="E181" s="41" t="s">
        <v>61</v>
      </c>
      <c r="F181" s="41" t="s">
        <v>62</v>
      </c>
      <c r="G181" s="41" t="s">
        <v>19</v>
      </c>
      <c r="H181" s="41">
        <v>1</v>
      </c>
      <c r="I181" s="41">
        <v>899.99</v>
      </c>
      <c r="J181" s="41" t="s">
        <v>34</v>
      </c>
      <c r="K181" s="41" t="s">
        <v>40</v>
      </c>
      <c r="L181" s="41" t="s">
        <v>36</v>
      </c>
      <c r="M181" s="42">
        <v>44752</v>
      </c>
      <c r="N181" s="41">
        <f t="shared" si="18"/>
        <v>899.99</v>
      </c>
      <c r="O181" s="40"/>
      <c r="P181" s="40"/>
      <c r="Q181" s="40"/>
      <c r="R181" s="40"/>
      <c r="S181" s="40"/>
      <c r="T181" s="40"/>
      <c r="U181" s="18">
        <f t="shared" si="19"/>
        <v>1559.94</v>
      </c>
      <c r="V181" s="38" t="str">
        <f t="shared" si="20"/>
        <v>Normal</v>
      </c>
      <c r="W181" s="18">
        <f t="shared" si="21"/>
        <v>24</v>
      </c>
      <c r="X181" s="40"/>
      <c r="Y181" s="40"/>
      <c r="Z181" s="18">
        <f t="shared" si="22"/>
        <v>3</v>
      </c>
      <c r="AA181" s="18" t="str">
        <f t="shared" si="23"/>
        <v>Repeat</v>
      </c>
      <c r="AB181" s="18" t="str">
        <f t="shared" si="24"/>
        <v>Arthur Edwards</v>
      </c>
      <c r="AC181" s="18" t="str">
        <f t="shared" si="25"/>
        <v>AE</v>
      </c>
      <c r="AD181" s="18" t="str">
        <f t="shared" si="26"/>
        <v>aedwards@gmail.com</v>
      </c>
    </row>
    <row r="182" spans="1:30" x14ac:dyDescent="0.3">
      <c r="A182" s="41" t="s">
        <v>327</v>
      </c>
      <c r="B182" s="42">
        <v>45663</v>
      </c>
      <c r="C182" s="41" t="s">
        <v>129</v>
      </c>
      <c r="D182" s="41" t="s">
        <v>130</v>
      </c>
      <c r="E182" s="41" t="s">
        <v>52</v>
      </c>
      <c r="F182" s="41" t="s">
        <v>53</v>
      </c>
      <c r="G182" s="41" t="s">
        <v>19</v>
      </c>
      <c r="H182" s="41">
        <v>5</v>
      </c>
      <c r="I182" s="41">
        <v>149.99</v>
      </c>
      <c r="J182" s="41" t="s">
        <v>34</v>
      </c>
      <c r="K182" s="41" t="s">
        <v>63</v>
      </c>
      <c r="L182" s="41" t="s">
        <v>27</v>
      </c>
      <c r="M182" s="42">
        <v>44824</v>
      </c>
      <c r="N182" s="41">
        <f t="shared" si="18"/>
        <v>749.95</v>
      </c>
      <c r="O182" s="40"/>
      <c r="P182" s="40"/>
      <c r="Q182" s="40"/>
      <c r="R182" s="40"/>
      <c r="S182" s="40"/>
      <c r="T182" s="40"/>
      <c r="U182" s="18">
        <f t="shared" si="19"/>
        <v>2039.8000000000002</v>
      </c>
      <c r="V182" s="38" t="str">
        <f t="shared" si="20"/>
        <v>Normal</v>
      </c>
      <c r="W182" s="18">
        <f t="shared" si="21"/>
        <v>16</v>
      </c>
      <c r="X182" s="40"/>
      <c r="Y182" s="40"/>
      <c r="Z182" s="18">
        <f t="shared" si="22"/>
        <v>5</v>
      </c>
      <c r="AA182" s="18" t="str">
        <f t="shared" si="23"/>
        <v>Repeat</v>
      </c>
      <c r="AB182" s="18" t="str">
        <f t="shared" si="24"/>
        <v>Lisa Anderson</v>
      </c>
      <c r="AC182" s="18" t="str">
        <f t="shared" si="25"/>
        <v>LA</v>
      </c>
      <c r="AD182" s="18" t="str">
        <f t="shared" si="26"/>
        <v>landerson@gmail.com</v>
      </c>
    </row>
    <row r="183" spans="1:30" x14ac:dyDescent="0.3">
      <c r="A183" s="41" t="s">
        <v>328</v>
      </c>
      <c r="B183" s="42">
        <v>45663</v>
      </c>
      <c r="C183" s="41" t="s">
        <v>42</v>
      </c>
      <c r="D183" s="41" t="s">
        <v>43</v>
      </c>
      <c r="E183" s="41" t="s">
        <v>105</v>
      </c>
      <c r="F183" s="41" t="s">
        <v>106</v>
      </c>
      <c r="G183" s="41" t="s">
        <v>46</v>
      </c>
      <c r="H183" s="41">
        <v>3</v>
      </c>
      <c r="I183" s="41">
        <v>299.99</v>
      </c>
      <c r="J183" s="41" t="s">
        <v>20</v>
      </c>
      <c r="K183" s="41" t="s">
        <v>35</v>
      </c>
      <c r="L183" s="41" t="s">
        <v>36</v>
      </c>
      <c r="M183" s="42">
        <v>44422</v>
      </c>
      <c r="N183" s="41">
        <f t="shared" si="18"/>
        <v>899.97</v>
      </c>
      <c r="O183" s="40"/>
      <c r="P183" s="40"/>
      <c r="Q183" s="40"/>
      <c r="R183" s="40"/>
      <c r="S183" s="40"/>
      <c r="T183" s="40"/>
      <c r="U183" s="18">
        <f t="shared" si="19"/>
        <v>6169.7400000000007</v>
      </c>
      <c r="V183" s="38" t="str">
        <f t="shared" si="20"/>
        <v>Normal</v>
      </c>
      <c r="W183" s="18">
        <f t="shared" si="21"/>
        <v>26</v>
      </c>
      <c r="X183" s="40"/>
      <c r="Y183" s="40"/>
      <c r="Z183" s="18">
        <f t="shared" si="22"/>
        <v>9</v>
      </c>
      <c r="AA183" s="18" t="str">
        <f t="shared" si="23"/>
        <v>Repeat</v>
      </c>
      <c r="AB183" s="18" t="str">
        <f t="shared" si="24"/>
        <v>Michael Brown</v>
      </c>
      <c r="AC183" s="18" t="str">
        <f t="shared" si="25"/>
        <v>MB</v>
      </c>
      <c r="AD183" s="18" t="str">
        <f t="shared" si="26"/>
        <v>mbrown@gmail.com</v>
      </c>
    </row>
    <row r="184" spans="1:30" x14ac:dyDescent="0.3">
      <c r="A184" s="41" t="s">
        <v>329</v>
      </c>
      <c r="B184" s="42">
        <v>45666</v>
      </c>
      <c r="C184" s="41" t="s">
        <v>65</v>
      </c>
      <c r="D184" s="41" t="s">
        <v>66</v>
      </c>
      <c r="E184" s="41" t="s">
        <v>80</v>
      </c>
      <c r="F184" s="41" t="s">
        <v>81</v>
      </c>
      <c r="G184" s="41" t="s">
        <v>19</v>
      </c>
      <c r="H184" s="41">
        <v>3</v>
      </c>
      <c r="I184" s="41">
        <v>699.99</v>
      </c>
      <c r="J184" s="41" t="s">
        <v>26</v>
      </c>
      <c r="K184" s="41" t="s">
        <v>21</v>
      </c>
      <c r="L184" s="41" t="s">
        <v>27</v>
      </c>
      <c r="M184" s="42">
        <v>45105</v>
      </c>
      <c r="N184" s="41">
        <f t="shared" si="18"/>
        <v>2099.9700000000003</v>
      </c>
      <c r="O184" s="40"/>
      <c r="P184" s="40"/>
      <c r="Q184" s="40"/>
      <c r="R184" s="40"/>
      <c r="S184" s="40"/>
      <c r="T184" s="40"/>
      <c r="U184" s="18">
        <f t="shared" si="19"/>
        <v>8009.7699999999995</v>
      </c>
      <c r="V184" s="38" t="str">
        <f t="shared" si="20"/>
        <v>Normal</v>
      </c>
      <c r="W184" s="18">
        <f t="shared" si="21"/>
        <v>31</v>
      </c>
      <c r="X184" s="40"/>
      <c r="Y184" s="40"/>
      <c r="Z184" s="18">
        <f t="shared" si="22"/>
        <v>8</v>
      </c>
      <c r="AA184" s="18" t="str">
        <f t="shared" si="23"/>
        <v>Repeat</v>
      </c>
      <c r="AB184" s="18" t="str">
        <f t="shared" si="24"/>
        <v>Karen Hill</v>
      </c>
      <c r="AC184" s="18" t="str">
        <f t="shared" si="25"/>
        <v>KH</v>
      </c>
      <c r="AD184" s="18" t="str">
        <f t="shared" si="26"/>
        <v>khill@gmail.com</v>
      </c>
    </row>
    <row r="185" spans="1:30" x14ac:dyDescent="0.3">
      <c r="A185" s="41" t="s">
        <v>330</v>
      </c>
      <c r="B185" s="42">
        <v>45667</v>
      </c>
      <c r="C185" s="41" t="s">
        <v>108</v>
      </c>
      <c r="D185" s="41" t="s">
        <v>109</v>
      </c>
      <c r="E185" s="41" t="s">
        <v>126</v>
      </c>
      <c r="F185" s="41" t="s">
        <v>127</v>
      </c>
      <c r="G185" s="41" t="s">
        <v>46</v>
      </c>
      <c r="H185" s="41">
        <v>5</v>
      </c>
      <c r="I185" s="41">
        <v>199.99</v>
      </c>
      <c r="J185" s="41" t="s">
        <v>34</v>
      </c>
      <c r="K185" s="41" t="s">
        <v>21</v>
      </c>
      <c r="L185" s="41" t="s">
        <v>36</v>
      </c>
      <c r="M185" s="42">
        <v>44633</v>
      </c>
      <c r="N185" s="41">
        <f t="shared" si="18"/>
        <v>999.95</v>
      </c>
      <c r="O185" s="40"/>
      <c r="P185" s="40"/>
      <c r="Q185" s="40"/>
      <c r="R185" s="40"/>
      <c r="S185" s="40"/>
      <c r="T185" s="40"/>
      <c r="U185" s="18">
        <f t="shared" si="19"/>
        <v>4189.7700000000004</v>
      </c>
      <c r="V185" s="38" t="str">
        <f t="shared" si="20"/>
        <v>Normal</v>
      </c>
      <c r="W185" s="18">
        <f t="shared" si="21"/>
        <v>15</v>
      </c>
      <c r="X185" s="40"/>
      <c r="Y185" s="40"/>
      <c r="Z185" s="18">
        <f t="shared" si="22"/>
        <v>6</v>
      </c>
      <c r="AA185" s="18" t="str">
        <f t="shared" si="23"/>
        <v>Repeat</v>
      </c>
      <c r="AB185" s="18" t="str">
        <f t="shared" si="24"/>
        <v>Nancy Collins</v>
      </c>
      <c r="AC185" s="18" t="str">
        <f t="shared" si="25"/>
        <v>NC</v>
      </c>
      <c r="AD185" s="18" t="str">
        <f t="shared" si="26"/>
        <v>ncollins@gmail.com</v>
      </c>
    </row>
    <row r="186" spans="1:30" x14ac:dyDescent="0.3">
      <c r="A186" s="41" t="s">
        <v>331</v>
      </c>
      <c r="B186" s="42">
        <v>45667</v>
      </c>
      <c r="C186" s="41" t="s">
        <v>93</v>
      </c>
      <c r="D186" s="41" t="s">
        <v>94</v>
      </c>
      <c r="E186" s="41" t="s">
        <v>17</v>
      </c>
      <c r="F186" s="41" t="s">
        <v>18</v>
      </c>
      <c r="G186" s="41" t="s">
        <v>19</v>
      </c>
      <c r="H186" s="41">
        <v>5</v>
      </c>
      <c r="I186" s="41">
        <v>249.99</v>
      </c>
      <c r="J186" s="41" t="s">
        <v>26</v>
      </c>
      <c r="K186" s="41" t="s">
        <v>35</v>
      </c>
      <c r="L186" s="41" t="s">
        <v>22</v>
      </c>
      <c r="M186" s="42">
        <v>45330</v>
      </c>
      <c r="N186" s="41">
        <f t="shared" si="18"/>
        <v>1249.95</v>
      </c>
      <c r="O186" s="40"/>
      <c r="P186" s="40"/>
      <c r="Q186" s="40"/>
      <c r="R186" s="40"/>
      <c r="S186" s="40"/>
      <c r="T186" s="40"/>
      <c r="U186" s="18">
        <f t="shared" si="19"/>
        <v>4789.7900000000009</v>
      </c>
      <c r="V186" s="38" t="str">
        <f t="shared" si="20"/>
        <v>Normal</v>
      </c>
      <c r="W186" s="18">
        <f t="shared" si="21"/>
        <v>26</v>
      </c>
      <c r="X186" s="40"/>
      <c r="Y186" s="40"/>
      <c r="Z186" s="18">
        <f t="shared" si="22"/>
        <v>6</v>
      </c>
      <c r="AA186" s="18" t="str">
        <f t="shared" si="23"/>
        <v>Repeat</v>
      </c>
      <c r="AB186" s="18" t="str">
        <f t="shared" si="24"/>
        <v>Virginia Sanders</v>
      </c>
      <c r="AC186" s="18" t="str">
        <f t="shared" si="25"/>
        <v>VS</v>
      </c>
      <c r="AD186" s="18" t="str">
        <f t="shared" si="26"/>
        <v>vsanders@gmail.com</v>
      </c>
    </row>
    <row r="187" spans="1:30" x14ac:dyDescent="0.3">
      <c r="A187" s="41" t="s">
        <v>332</v>
      </c>
      <c r="B187" s="42">
        <v>45668</v>
      </c>
      <c r="C187" s="41" t="s">
        <v>138</v>
      </c>
      <c r="D187" s="41" t="s">
        <v>139</v>
      </c>
      <c r="E187" s="41" t="s">
        <v>52</v>
      </c>
      <c r="F187" s="41" t="s">
        <v>53</v>
      </c>
      <c r="G187" s="41" t="s">
        <v>19</v>
      </c>
      <c r="H187" s="41">
        <v>4</v>
      </c>
      <c r="I187" s="41">
        <v>149.99</v>
      </c>
      <c r="J187" s="41" t="s">
        <v>57</v>
      </c>
      <c r="K187" s="41" t="s">
        <v>63</v>
      </c>
      <c r="L187" s="41" t="s">
        <v>36</v>
      </c>
      <c r="M187" s="42">
        <v>44536</v>
      </c>
      <c r="N187" s="41">
        <f t="shared" si="18"/>
        <v>599.96</v>
      </c>
      <c r="O187" s="40"/>
      <c r="P187" s="40"/>
      <c r="Q187" s="40"/>
      <c r="R187" s="40"/>
      <c r="S187" s="40"/>
      <c r="T187" s="40"/>
      <c r="U187" s="18">
        <f t="shared" si="19"/>
        <v>2649.83</v>
      </c>
      <c r="V187" s="38" t="str">
        <f t="shared" si="20"/>
        <v>Normal</v>
      </c>
      <c r="W187" s="18">
        <f t="shared" si="21"/>
        <v>16</v>
      </c>
      <c r="X187" s="40"/>
      <c r="Y187" s="40"/>
      <c r="Z187" s="18">
        <f t="shared" si="22"/>
        <v>6</v>
      </c>
      <c r="AA187" s="18" t="str">
        <f t="shared" si="23"/>
        <v>Repeat</v>
      </c>
      <c r="AB187" s="18" t="str">
        <f t="shared" si="24"/>
        <v>Steven Turner</v>
      </c>
      <c r="AC187" s="18" t="str">
        <f t="shared" si="25"/>
        <v>ST</v>
      </c>
      <c r="AD187" s="18" t="str">
        <f t="shared" si="26"/>
        <v>sturner@gmail.com</v>
      </c>
    </row>
    <row r="188" spans="1:30" x14ac:dyDescent="0.3">
      <c r="A188" s="41" t="s">
        <v>333</v>
      </c>
      <c r="B188" s="42">
        <v>45668</v>
      </c>
      <c r="C188" s="41" t="s">
        <v>78</v>
      </c>
      <c r="D188" s="41" t="s">
        <v>79</v>
      </c>
      <c r="E188" s="41" t="s">
        <v>80</v>
      </c>
      <c r="F188" s="41" t="s">
        <v>81</v>
      </c>
      <c r="G188" s="41" t="s">
        <v>19</v>
      </c>
      <c r="H188" s="41">
        <v>3</v>
      </c>
      <c r="I188" s="41">
        <v>699.99</v>
      </c>
      <c r="J188" s="41" t="s">
        <v>20</v>
      </c>
      <c r="K188" s="41" t="s">
        <v>40</v>
      </c>
      <c r="L188" s="41" t="s">
        <v>27</v>
      </c>
      <c r="M188" s="42">
        <v>44602</v>
      </c>
      <c r="N188" s="41">
        <f t="shared" si="18"/>
        <v>2099.9700000000003</v>
      </c>
      <c r="O188" s="40"/>
      <c r="P188" s="40"/>
      <c r="Q188" s="40"/>
      <c r="R188" s="40"/>
      <c r="S188" s="40"/>
      <c r="T188" s="40"/>
      <c r="U188" s="18">
        <f t="shared" si="19"/>
        <v>4199.9400000000005</v>
      </c>
      <c r="V188" s="38" t="str">
        <f t="shared" si="20"/>
        <v>Normal</v>
      </c>
      <c r="W188" s="18">
        <f t="shared" si="21"/>
        <v>31</v>
      </c>
      <c r="X188" s="40"/>
      <c r="Y188" s="40"/>
      <c r="Z188" s="18">
        <f t="shared" si="22"/>
        <v>2</v>
      </c>
      <c r="AA188" s="18" t="str">
        <f t="shared" si="23"/>
        <v>Repeat</v>
      </c>
      <c r="AB188" s="18" t="str">
        <f t="shared" si="24"/>
        <v>Michelle Rogers</v>
      </c>
      <c r="AC188" s="18" t="str">
        <f t="shared" si="25"/>
        <v>MR</v>
      </c>
      <c r="AD188" s="18" t="str">
        <f t="shared" si="26"/>
        <v>mrogers@gmail.com</v>
      </c>
    </row>
    <row r="189" spans="1:30" x14ac:dyDescent="0.3">
      <c r="A189" s="41" t="s">
        <v>334</v>
      </c>
      <c r="B189" s="42">
        <v>45670</v>
      </c>
      <c r="C189" s="41" t="s">
        <v>293</v>
      </c>
      <c r="D189" s="41" t="s">
        <v>294</v>
      </c>
      <c r="E189" s="41" t="s">
        <v>114</v>
      </c>
      <c r="F189" s="41" t="s">
        <v>115</v>
      </c>
      <c r="G189" s="41" t="s">
        <v>33</v>
      </c>
      <c r="H189" s="41">
        <v>1</v>
      </c>
      <c r="I189" s="41">
        <v>79.989999999999995</v>
      </c>
      <c r="J189" s="41" t="s">
        <v>26</v>
      </c>
      <c r="K189" s="41" t="s">
        <v>35</v>
      </c>
      <c r="L189" s="41" t="s">
        <v>22</v>
      </c>
      <c r="M189" s="42">
        <v>45322</v>
      </c>
      <c r="N189" s="41">
        <f t="shared" si="18"/>
        <v>79.989999999999995</v>
      </c>
      <c r="O189" s="40"/>
      <c r="P189" s="40"/>
      <c r="Q189" s="40"/>
      <c r="R189" s="40"/>
      <c r="S189" s="40"/>
      <c r="T189" s="40"/>
      <c r="U189" s="18">
        <f t="shared" si="19"/>
        <v>4829.8900000000003</v>
      </c>
      <c r="V189" s="38" t="str">
        <f t="shared" si="20"/>
        <v>Normal</v>
      </c>
      <c r="W189" s="18">
        <f t="shared" si="21"/>
        <v>14</v>
      </c>
      <c r="X189" s="40"/>
      <c r="Y189" s="40"/>
      <c r="Z189" s="18">
        <f t="shared" si="22"/>
        <v>4</v>
      </c>
      <c r="AA189" s="18" t="str">
        <f t="shared" si="23"/>
        <v>Repeat</v>
      </c>
      <c r="AB189" s="18" t="str">
        <f t="shared" si="24"/>
        <v>Douglas Watson</v>
      </c>
      <c r="AC189" s="18" t="str">
        <f t="shared" si="25"/>
        <v>DW</v>
      </c>
      <c r="AD189" s="18" t="str">
        <f t="shared" si="26"/>
        <v>dwatson@gmail.com</v>
      </c>
    </row>
    <row r="190" spans="1:30" x14ac:dyDescent="0.3">
      <c r="A190" s="41" t="s">
        <v>335</v>
      </c>
      <c r="B190" s="42">
        <v>45670</v>
      </c>
      <c r="C190" s="41" t="s">
        <v>86</v>
      </c>
      <c r="D190" s="41" t="s">
        <v>87</v>
      </c>
      <c r="E190" s="41" t="s">
        <v>105</v>
      </c>
      <c r="F190" s="41" t="s">
        <v>106</v>
      </c>
      <c r="G190" s="41" t="s">
        <v>46</v>
      </c>
      <c r="H190" s="41">
        <v>1</v>
      </c>
      <c r="I190" s="41">
        <v>299.99</v>
      </c>
      <c r="J190" s="41" t="s">
        <v>26</v>
      </c>
      <c r="K190" s="41" t="s">
        <v>40</v>
      </c>
      <c r="L190" s="41" t="s">
        <v>22</v>
      </c>
      <c r="M190" s="42">
        <v>44436</v>
      </c>
      <c r="N190" s="41">
        <f t="shared" si="18"/>
        <v>299.99</v>
      </c>
      <c r="O190" s="40"/>
      <c r="P190" s="40"/>
      <c r="Q190" s="40"/>
      <c r="R190" s="40"/>
      <c r="S190" s="40"/>
      <c r="T190" s="40"/>
      <c r="U190" s="18">
        <f t="shared" si="19"/>
        <v>15659.65</v>
      </c>
      <c r="V190" s="38" t="str">
        <f t="shared" si="20"/>
        <v>High Value</v>
      </c>
      <c r="W190" s="18">
        <f t="shared" si="21"/>
        <v>26</v>
      </c>
      <c r="X190" s="40"/>
      <c r="Y190" s="40"/>
      <c r="Z190" s="18">
        <f t="shared" si="22"/>
        <v>12</v>
      </c>
      <c r="AA190" s="18" t="str">
        <f t="shared" si="23"/>
        <v>Repeat</v>
      </c>
      <c r="AB190" s="18" t="str">
        <f t="shared" si="24"/>
        <v>Mark Carter</v>
      </c>
      <c r="AC190" s="18" t="str">
        <f t="shared" si="25"/>
        <v>MC</v>
      </c>
      <c r="AD190" s="18" t="str">
        <f t="shared" si="26"/>
        <v>mcarter@gmail.com</v>
      </c>
    </row>
    <row r="191" spans="1:30" x14ac:dyDescent="0.3">
      <c r="A191" s="41" t="s">
        <v>336</v>
      </c>
      <c r="B191" s="42">
        <v>45671</v>
      </c>
      <c r="C191" s="41" t="s">
        <v>158</v>
      </c>
      <c r="D191" s="41" t="s">
        <v>159</v>
      </c>
      <c r="E191" s="41" t="s">
        <v>17</v>
      </c>
      <c r="F191" s="41" t="s">
        <v>18</v>
      </c>
      <c r="G191" s="41" t="s">
        <v>19</v>
      </c>
      <c r="H191" s="41">
        <v>4</v>
      </c>
      <c r="I191" s="41">
        <v>249.99</v>
      </c>
      <c r="J191" s="41" t="s">
        <v>26</v>
      </c>
      <c r="K191" s="41" t="s">
        <v>40</v>
      </c>
      <c r="L191" s="41" t="s">
        <v>27</v>
      </c>
      <c r="M191" s="42">
        <v>44460</v>
      </c>
      <c r="N191" s="41">
        <f t="shared" si="18"/>
        <v>999.96</v>
      </c>
      <c r="O191" s="40"/>
      <c r="P191" s="40"/>
      <c r="Q191" s="40"/>
      <c r="R191" s="40"/>
      <c r="S191" s="40"/>
      <c r="T191" s="40"/>
      <c r="U191" s="18">
        <f t="shared" si="19"/>
        <v>5649.84</v>
      </c>
      <c r="V191" s="38" t="str">
        <f t="shared" si="20"/>
        <v>Normal</v>
      </c>
      <c r="W191" s="18">
        <f t="shared" si="21"/>
        <v>26</v>
      </c>
      <c r="X191" s="40"/>
      <c r="Y191" s="40"/>
      <c r="Z191" s="18">
        <f t="shared" si="22"/>
        <v>5</v>
      </c>
      <c r="AA191" s="18" t="str">
        <f t="shared" si="23"/>
        <v>Repeat</v>
      </c>
      <c r="AB191" s="18" t="str">
        <f t="shared" si="24"/>
        <v>Betty Campbell</v>
      </c>
      <c r="AC191" s="18" t="str">
        <f t="shared" si="25"/>
        <v>BC</v>
      </c>
      <c r="AD191" s="18" t="str">
        <f t="shared" si="26"/>
        <v>bcampbell@gmail.com</v>
      </c>
    </row>
    <row r="192" spans="1:30" x14ac:dyDescent="0.3">
      <c r="A192" s="41" t="s">
        <v>337</v>
      </c>
      <c r="B192" s="42">
        <v>45671</v>
      </c>
      <c r="C192" s="41" t="s">
        <v>120</v>
      </c>
      <c r="D192" s="41" t="s">
        <v>121</v>
      </c>
      <c r="E192" s="41" t="s">
        <v>52</v>
      </c>
      <c r="F192" s="41" t="s">
        <v>53</v>
      </c>
      <c r="G192" s="41" t="s">
        <v>19</v>
      </c>
      <c r="H192" s="41">
        <v>2</v>
      </c>
      <c r="I192" s="41">
        <v>149.99</v>
      </c>
      <c r="J192" s="41" t="s">
        <v>20</v>
      </c>
      <c r="K192" s="41" t="s">
        <v>40</v>
      </c>
      <c r="L192" s="41" t="s">
        <v>36</v>
      </c>
      <c r="M192" s="42">
        <v>44913</v>
      </c>
      <c r="N192" s="41">
        <f t="shared" si="18"/>
        <v>299.98</v>
      </c>
      <c r="O192" s="40"/>
      <c r="P192" s="40"/>
      <c r="Q192" s="40"/>
      <c r="R192" s="40"/>
      <c r="S192" s="40"/>
      <c r="T192" s="40"/>
      <c r="U192" s="18">
        <f t="shared" si="19"/>
        <v>6459.79</v>
      </c>
      <c r="V192" s="38" t="str">
        <f t="shared" si="20"/>
        <v>Normal</v>
      </c>
      <c r="W192" s="18">
        <f t="shared" si="21"/>
        <v>16</v>
      </c>
      <c r="X192" s="40"/>
      <c r="Y192" s="40"/>
      <c r="Z192" s="18">
        <f t="shared" si="22"/>
        <v>7</v>
      </c>
      <c r="AA192" s="18" t="str">
        <f t="shared" si="23"/>
        <v>Repeat</v>
      </c>
      <c r="AB192" s="18" t="str">
        <f t="shared" si="24"/>
        <v>Helen Roberts</v>
      </c>
      <c r="AC192" s="18" t="str">
        <f t="shared" si="25"/>
        <v>HR</v>
      </c>
      <c r="AD192" s="18" t="str">
        <f t="shared" si="26"/>
        <v>hroberts@gmail.com</v>
      </c>
    </row>
    <row r="193" spans="1:30" x14ac:dyDescent="0.3">
      <c r="A193" s="41" t="s">
        <v>338</v>
      </c>
      <c r="B193" s="42">
        <v>45671</v>
      </c>
      <c r="C193" s="41" t="s">
        <v>234</v>
      </c>
      <c r="D193" s="41" t="s">
        <v>235</v>
      </c>
      <c r="E193" s="41" t="s">
        <v>105</v>
      </c>
      <c r="F193" s="41" t="s">
        <v>106</v>
      </c>
      <c r="G193" s="41" t="s">
        <v>46</v>
      </c>
      <c r="H193" s="41">
        <v>3</v>
      </c>
      <c r="I193" s="41">
        <v>299.99</v>
      </c>
      <c r="J193" s="41" t="s">
        <v>26</v>
      </c>
      <c r="K193" s="41" t="s">
        <v>35</v>
      </c>
      <c r="L193" s="41" t="s">
        <v>22</v>
      </c>
      <c r="M193" s="42">
        <v>45204</v>
      </c>
      <c r="N193" s="41">
        <f t="shared" si="18"/>
        <v>899.97</v>
      </c>
      <c r="O193" s="40"/>
      <c r="P193" s="40"/>
      <c r="Q193" s="40"/>
      <c r="R193" s="40"/>
      <c r="S193" s="40"/>
      <c r="T193" s="40"/>
      <c r="U193" s="18">
        <f t="shared" si="19"/>
        <v>6349.8300000000008</v>
      </c>
      <c r="V193" s="38" t="str">
        <f t="shared" si="20"/>
        <v>Normal</v>
      </c>
      <c r="W193" s="18">
        <f t="shared" si="21"/>
        <v>26</v>
      </c>
      <c r="X193" s="40"/>
      <c r="Y193" s="40"/>
      <c r="Z193" s="18">
        <f t="shared" si="22"/>
        <v>5</v>
      </c>
      <c r="AA193" s="18" t="str">
        <f t="shared" si="23"/>
        <v>Repeat</v>
      </c>
      <c r="AB193" s="18" t="str">
        <f t="shared" si="24"/>
        <v>Sandra Phillips</v>
      </c>
      <c r="AC193" s="18" t="str">
        <f t="shared" si="25"/>
        <v>SP</v>
      </c>
      <c r="AD193" s="18" t="str">
        <f t="shared" si="26"/>
        <v>sphillips@gmail.com</v>
      </c>
    </row>
    <row r="194" spans="1:30" x14ac:dyDescent="0.3">
      <c r="A194" s="41" t="s">
        <v>339</v>
      </c>
      <c r="B194" s="42">
        <v>45673</v>
      </c>
      <c r="C194" s="41" t="s">
        <v>226</v>
      </c>
      <c r="D194" s="41" t="s">
        <v>227</v>
      </c>
      <c r="E194" s="41" t="s">
        <v>126</v>
      </c>
      <c r="F194" s="41" t="s">
        <v>127</v>
      </c>
      <c r="G194" s="41" t="s">
        <v>46</v>
      </c>
      <c r="H194" s="41">
        <v>4</v>
      </c>
      <c r="I194" s="41">
        <v>199.99</v>
      </c>
      <c r="J194" s="41" t="s">
        <v>57</v>
      </c>
      <c r="K194" s="41" t="s">
        <v>35</v>
      </c>
      <c r="L194" s="41" t="s">
        <v>36</v>
      </c>
      <c r="M194" s="42">
        <v>44544</v>
      </c>
      <c r="N194" s="41">
        <f t="shared" si="18"/>
        <v>799.96</v>
      </c>
      <c r="O194" s="40"/>
      <c r="P194" s="40"/>
      <c r="Q194" s="40"/>
      <c r="R194" s="40"/>
      <c r="S194" s="40"/>
      <c r="T194" s="40"/>
      <c r="U194" s="18">
        <f t="shared" si="19"/>
        <v>6989.7699999999986</v>
      </c>
      <c r="V194" s="38" t="str">
        <f t="shared" si="20"/>
        <v>Normal</v>
      </c>
      <c r="W194" s="18">
        <f t="shared" si="21"/>
        <v>15</v>
      </c>
      <c r="X194" s="40"/>
      <c r="Y194" s="40"/>
      <c r="Z194" s="18">
        <f t="shared" si="22"/>
        <v>8</v>
      </c>
      <c r="AA194" s="18" t="str">
        <f t="shared" si="23"/>
        <v>Repeat</v>
      </c>
      <c r="AB194" s="18" t="str">
        <f t="shared" si="24"/>
        <v>Lawrence Reed</v>
      </c>
      <c r="AC194" s="18" t="str">
        <f t="shared" si="25"/>
        <v>LR</v>
      </c>
      <c r="AD194" s="18" t="str">
        <f t="shared" si="26"/>
        <v>lreed@gmail.com</v>
      </c>
    </row>
    <row r="195" spans="1:30" x14ac:dyDescent="0.3">
      <c r="A195" s="41" t="s">
        <v>340</v>
      </c>
      <c r="B195" s="42">
        <v>45673</v>
      </c>
      <c r="C195" s="41" t="s">
        <v>211</v>
      </c>
      <c r="D195" s="41" t="s">
        <v>212</v>
      </c>
      <c r="E195" s="41" t="s">
        <v>105</v>
      </c>
      <c r="F195" s="41" t="s">
        <v>106</v>
      </c>
      <c r="G195" s="41" t="s">
        <v>46</v>
      </c>
      <c r="H195" s="41">
        <v>5</v>
      </c>
      <c r="I195" s="41">
        <v>299.99</v>
      </c>
      <c r="J195" s="41" t="s">
        <v>57</v>
      </c>
      <c r="K195" s="41" t="s">
        <v>21</v>
      </c>
      <c r="L195" s="41" t="s">
        <v>22</v>
      </c>
      <c r="M195" s="42">
        <v>44431</v>
      </c>
      <c r="N195" s="41">
        <f t="shared" ref="N195:N251" si="27">H195*I195</f>
        <v>1499.95</v>
      </c>
      <c r="O195" s="40"/>
      <c r="P195" s="40"/>
      <c r="Q195" s="40"/>
      <c r="R195" s="40"/>
      <c r="S195" s="40"/>
      <c r="T195" s="40"/>
      <c r="U195" s="18">
        <f t="shared" ref="U195:U206" si="28">SUMIFS($N:$N,$D:$D,D195)</f>
        <v>3649.8599999999997</v>
      </c>
      <c r="V195" s="38" t="str">
        <f t="shared" ref="V195:V251" si="29">IF(U195&gt;10000,"High Value","Normal")</f>
        <v>Normal</v>
      </c>
      <c r="W195" s="18">
        <f t="shared" ref="W195:W251" si="30">COUNTIF($E$2:$E$500, E195)</f>
        <v>26</v>
      </c>
      <c r="X195" s="40"/>
      <c r="Y195" s="40"/>
      <c r="Z195" s="18">
        <f t="shared" ref="Z195:Z251" si="31">COUNTIF($D:$D, D195)</f>
        <v>4</v>
      </c>
      <c r="AA195" s="18" t="str">
        <f t="shared" ref="AA195:AA251" si="32">IF(Z195&gt;1,"Repeat","Unique")</f>
        <v>Repeat</v>
      </c>
      <c r="AB195" s="18" t="str">
        <f t="shared" ref="AB195:AB251" si="33">IF($AA195="Repeat",D195,"")</f>
        <v>Elizabeth Hall</v>
      </c>
      <c r="AC195" s="18" t="str">
        <f t="shared" ref="AC195:AC251" si="34">LEFT(D195,1) &amp; MID(D195,FIND(" ",D195)+1,1)</f>
        <v>EH</v>
      </c>
      <c r="AD195" s="18" t="str">
        <f t="shared" ref="AD195:AD251" si="35">LOWER(LEFT(D195,1) &amp; MID(D195,FIND(" ",D195)+1,100) &amp; "@gmail.com")</f>
        <v>ehall@gmail.com</v>
      </c>
    </row>
    <row r="196" spans="1:30" x14ac:dyDescent="0.3">
      <c r="A196" s="41" t="s">
        <v>341</v>
      </c>
      <c r="B196" s="42">
        <v>45673</v>
      </c>
      <c r="C196" s="41" t="s">
        <v>59</v>
      </c>
      <c r="D196" s="41" t="s">
        <v>60</v>
      </c>
      <c r="E196" s="41" t="s">
        <v>44</v>
      </c>
      <c r="F196" s="41" t="s">
        <v>45</v>
      </c>
      <c r="G196" s="41" t="s">
        <v>46</v>
      </c>
      <c r="H196" s="41">
        <v>3</v>
      </c>
      <c r="I196" s="41">
        <v>149.99</v>
      </c>
      <c r="J196" s="41" t="s">
        <v>26</v>
      </c>
      <c r="K196" s="41" t="s">
        <v>63</v>
      </c>
      <c r="L196" s="41" t="s">
        <v>36</v>
      </c>
      <c r="M196" s="42">
        <v>44395</v>
      </c>
      <c r="N196" s="41">
        <f t="shared" si="27"/>
        <v>449.97</v>
      </c>
      <c r="O196" s="40"/>
      <c r="P196" s="40"/>
      <c r="Q196" s="40"/>
      <c r="R196" s="40"/>
      <c r="S196" s="40"/>
      <c r="T196" s="40"/>
      <c r="U196" s="18">
        <f t="shared" si="28"/>
        <v>3509.8999999999996</v>
      </c>
      <c r="V196" s="38" t="str">
        <f t="shared" si="29"/>
        <v>Normal</v>
      </c>
      <c r="W196" s="18">
        <f t="shared" si="30"/>
        <v>35</v>
      </c>
      <c r="X196" s="40"/>
      <c r="Y196" s="40"/>
      <c r="Z196" s="18">
        <f t="shared" si="31"/>
        <v>5</v>
      </c>
      <c r="AA196" s="18" t="str">
        <f t="shared" si="32"/>
        <v>Repeat</v>
      </c>
      <c r="AB196" s="18" t="str">
        <f t="shared" si="33"/>
        <v>Robert Thomas</v>
      </c>
      <c r="AC196" s="18" t="str">
        <f t="shared" si="34"/>
        <v>RT</v>
      </c>
      <c r="AD196" s="18" t="str">
        <f t="shared" si="35"/>
        <v>rthomas@gmail.com</v>
      </c>
    </row>
    <row r="197" spans="1:30" x14ac:dyDescent="0.3">
      <c r="A197" s="41" t="s">
        <v>342</v>
      </c>
      <c r="B197" s="42">
        <v>45676</v>
      </c>
      <c r="C197" s="41" t="s">
        <v>129</v>
      </c>
      <c r="D197" s="41" t="s">
        <v>130</v>
      </c>
      <c r="E197" s="41" t="s">
        <v>31</v>
      </c>
      <c r="F197" s="41" t="s">
        <v>32</v>
      </c>
      <c r="G197" s="41" t="s">
        <v>33</v>
      </c>
      <c r="H197" s="41">
        <v>5</v>
      </c>
      <c r="I197" s="41">
        <v>59.99</v>
      </c>
      <c r="J197" s="41" t="s">
        <v>57</v>
      </c>
      <c r="K197" s="41" t="s">
        <v>63</v>
      </c>
      <c r="L197" s="41" t="s">
        <v>22</v>
      </c>
      <c r="M197" s="42">
        <v>44642</v>
      </c>
      <c r="N197" s="41">
        <f t="shared" si="27"/>
        <v>299.95</v>
      </c>
      <c r="O197" s="40"/>
      <c r="P197" s="40"/>
      <c r="Q197" s="40"/>
      <c r="R197" s="40"/>
      <c r="S197" s="40"/>
      <c r="T197" s="40"/>
      <c r="U197" s="18">
        <f t="shared" si="28"/>
        <v>2039.8000000000002</v>
      </c>
      <c r="V197" s="38" t="str">
        <f t="shared" si="29"/>
        <v>Normal</v>
      </c>
      <c r="W197" s="18">
        <f t="shared" si="30"/>
        <v>29</v>
      </c>
      <c r="X197" s="40"/>
      <c r="Y197" s="40"/>
      <c r="Z197" s="18">
        <f t="shared" si="31"/>
        <v>5</v>
      </c>
      <c r="AA197" s="18" t="str">
        <f t="shared" si="32"/>
        <v>Repeat</v>
      </c>
      <c r="AB197" s="18" t="str">
        <f t="shared" si="33"/>
        <v>Lisa Anderson</v>
      </c>
      <c r="AC197" s="18" t="str">
        <f t="shared" si="34"/>
        <v>LA</v>
      </c>
      <c r="AD197" s="18" t="str">
        <f t="shared" si="35"/>
        <v>landerson@gmail.com</v>
      </c>
    </row>
    <row r="198" spans="1:30" x14ac:dyDescent="0.3">
      <c r="A198" s="41" t="s">
        <v>343</v>
      </c>
      <c r="B198" s="42">
        <v>45682</v>
      </c>
      <c r="C198" s="41" t="s">
        <v>68</v>
      </c>
      <c r="D198" s="41" t="s">
        <v>69</v>
      </c>
      <c r="E198" s="41" t="s">
        <v>31</v>
      </c>
      <c r="F198" s="41" t="s">
        <v>32</v>
      </c>
      <c r="G198" s="41" t="s">
        <v>33</v>
      </c>
      <c r="H198" s="41">
        <v>4</v>
      </c>
      <c r="I198" s="41">
        <v>59.99</v>
      </c>
      <c r="J198" s="41" t="s">
        <v>57</v>
      </c>
      <c r="K198" s="41" t="s">
        <v>63</v>
      </c>
      <c r="L198" s="41" t="s">
        <v>36</v>
      </c>
      <c r="M198" s="42">
        <v>44564</v>
      </c>
      <c r="N198" s="41">
        <f t="shared" si="27"/>
        <v>239.96</v>
      </c>
      <c r="O198" s="40"/>
      <c r="P198" s="40"/>
      <c r="Q198" s="40"/>
      <c r="R198" s="40"/>
      <c r="S198" s="40"/>
      <c r="T198" s="40"/>
      <c r="U198" s="18">
        <f t="shared" si="28"/>
        <v>1979.89</v>
      </c>
      <c r="V198" s="38" t="str">
        <f t="shared" si="29"/>
        <v>Normal</v>
      </c>
      <c r="W198" s="18">
        <f t="shared" si="30"/>
        <v>29</v>
      </c>
      <c r="X198" s="40"/>
      <c r="Y198" s="40"/>
      <c r="Z198" s="18">
        <f t="shared" si="31"/>
        <v>4</v>
      </c>
      <c r="AA198" s="18" t="str">
        <f t="shared" si="32"/>
        <v>Repeat</v>
      </c>
      <c r="AB198" s="18" t="str">
        <f t="shared" si="33"/>
        <v>Susan Green</v>
      </c>
      <c r="AC198" s="18" t="str">
        <f t="shared" si="34"/>
        <v>SG</v>
      </c>
      <c r="AD198" s="18" t="str">
        <f t="shared" si="35"/>
        <v>sgreen@gmail.com</v>
      </c>
    </row>
    <row r="199" spans="1:30" x14ac:dyDescent="0.3">
      <c r="A199" s="41" t="s">
        <v>344</v>
      </c>
      <c r="B199" s="42">
        <v>45683</v>
      </c>
      <c r="C199" s="41" t="s">
        <v>48</v>
      </c>
      <c r="D199" s="41" t="s">
        <v>49</v>
      </c>
      <c r="E199" s="41" t="s">
        <v>17</v>
      </c>
      <c r="F199" s="41" t="s">
        <v>18</v>
      </c>
      <c r="G199" s="41" t="s">
        <v>19</v>
      </c>
      <c r="H199" s="41">
        <v>4</v>
      </c>
      <c r="I199" s="41">
        <v>249.99</v>
      </c>
      <c r="J199" s="41" t="s">
        <v>57</v>
      </c>
      <c r="K199" s="41" t="s">
        <v>21</v>
      </c>
      <c r="L199" s="41" t="s">
        <v>27</v>
      </c>
      <c r="M199" s="42">
        <v>45217</v>
      </c>
      <c r="N199" s="41">
        <f t="shared" si="27"/>
        <v>999.96</v>
      </c>
      <c r="O199" s="40"/>
      <c r="P199" s="40"/>
      <c r="Q199" s="40"/>
      <c r="R199" s="40"/>
      <c r="S199" s="40"/>
      <c r="T199" s="40"/>
      <c r="U199" s="18">
        <f t="shared" si="28"/>
        <v>8269.7900000000009</v>
      </c>
      <c r="V199" s="38" t="str">
        <f t="shared" si="29"/>
        <v>Normal</v>
      </c>
      <c r="W199" s="18">
        <f t="shared" si="30"/>
        <v>26</v>
      </c>
      <c r="X199" s="40"/>
      <c r="Y199" s="40"/>
      <c r="Z199" s="18">
        <f t="shared" si="31"/>
        <v>6</v>
      </c>
      <c r="AA199" s="18" t="str">
        <f t="shared" si="32"/>
        <v>Repeat</v>
      </c>
      <c r="AB199" s="18" t="str">
        <f t="shared" si="33"/>
        <v>Dorothy Nelson</v>
      </c>
      <c r="AC199" s="18" t="str">
        <f t="shared" si="34"/>
        <v>DN</v>
      </c>
      <c r="AD199" s="18" t="str">
        <f t="shared" si="35"/>
        <v>dnelson@gmail.com</v>
      </c>
    </row>
    <row r="200" spans="1:30" x14ac:dyDescent="0.3">
      <c r="A200" s="41" t="s">
        <v>345</v>
      </c>
      <c r="B200" s="42">
        <v>45686</v>
      </c>
      <c r="C200" s="41" t="s">
        <v>252</v>
      </c>
      <c r="D200" s="41" t="s">
        <v>253</v>
      </c>
      <c r="E200" s="41" t="s">
        <v>61</v>
      </c>
      <c r="F200" s="41" t="s">
        <v>62</v>
      </c>
      <c r="G200" s="41" t="s">
        <v>19</v>
      </c>
      <c r="H200" s="41">
        <v>4</v>
      </c>
      <c r="I200" s="41">
        <v>899.99</v>
      </c>
      <c r="J200" s="41" t="s">
        <v>34</v>
      </c>
      <c r="K200" s="41" t="s">
        <v>21</v>
      </c>
      <c r="L200" s="41" t="s">
        <v>22</v>
      </c>
      <c r="M200" s="42">
        <v>44734</v>
      </c>
      <c r="N200" s="41">
        <f t="shared" si="27"/>
        <v>3599.96</v>
      </c>
      <c r="O200" s="40"/>
      <c r="P200" s="40"/>
      <c r="Q200" s="40"/>
      <c r="R200" s="40"/>
      <c r="S200" s="40"/>
      <c r="T200" s="40"/>
      <c r="U200" s="18">
        <f t="shared" si="28"/>
        <v>4749.91</v>
      </c>
      <c r="V200" s="38" t="str">
        <f t="shared" si="29"/>
        <v>Normal</v>
      </c>
      <c r="W200" s="18">
        <f t="shared" si="30"/>
        <v>24</v>
      </c>
      <c r="X200" s="40"/>
      <c r="Y200" s="40"/>
      <c r="Z200" s="18">
        <f t="shared" si="31"/>
        <v>3</v>
      </c>
      <c r="AA200" s="18" t="str">
        <f t="shared" si="32"/>
        <v>Repeat</v>
      </c>
      <c r="AB200" s="18" t="str">
        <f t="shared" si="33"/>
        <v>William White</v>
      </c>
      <c r="AC200" s="18" t="str">
        <f t="shared" si="34"/>
        <v>WW</v>
      </c>
      <c r="AD200" s="18" t="str">
        <f t="shared" si="35"/>
        <v>wwhite@gmail.com</v>
      </c>
    </row>
    <row r="201" spans="1:30" x14ac:dyDescent="0.3">
      <c r="A201" s="41" t="s">
        <v>346</v>
      </c>
      <c r="B201" s="42">
        <v>45686</v>
      </c>
      <c r="C201" s="41" t="s">
        <v>86</v>
      </c>
      <c r="D201" s="41" t="s">
        <v>87</v>
      </c>
      <c r="E201" s="41" t="s">
        <v>105</v>
      </c>
      <c r="F201" s="41" t="s">
        <v>106</v>
      </c>
      <c r="G201" s="41" t="s">
        <v>46</v>
      </c>
      <c r="H201" s="41">
        <v>3</v>
      </c>
      <c r="I201" s="41">
        <v>299.99</v>
      </c>
      <c r="J201" s="41" t="s">
        <v>57</v>
      </c>
      <c r="K201" s="41" t="s">
        <v>50</v>
      </c>
      <c r="L201" s="41" t="s">
        <v>36</v>
      </c>
      <c r="M201" s="42">
        <v>44952</v>
      </c>
      <c r="N201" s="41">
        <f t="shared" si="27"/>
        <v>899.97</v>
      </c>
      <c r="O201" s="40"/>
      <c r="P201" s="40"/>
      <c r="Q201" s="40"/>
      <c r="R201" s="40"/>
      <c r="S201" s="40"/>
      <c r="T201" s="40"/>
      <c r="U201" s="18">
        <f t="shared" si="28"/>
        <v>15659.65</v>
      </c>
      <c r="V201" s="38" t="str">
        <f t="shared" si="29"/>
        <v>High Value</v>
      </c>
      <c r="W201" s="18">
        <f t="shared" si="30"/>
        <v>26</v>
      </c>
      <c r="X201" s="40"/>
      <c r="Y201" s="40"/>
      <c r="Z201" s="18">
        <f t="shared" si="31"/>
        <v>12</v>
      </c>
      <c r="AA201" s="18" t="str">
        <f t="shared" si="32"/>
        <v>Repeat</v>
      </c>
      <c r="AB201" s="18" t="str">
        <f t="shared" si="33"/>
        <v>Mark Carter</v>
      </c>
      <c r="AC201" s="18" t="str">
        <f t="shared" si="34"/>
        <v>MC</v>
      </c>
      <c r="AD201" s="18" t="str">
        <f t="shared" si="35"/>
        <v>mcarter@gmail.com</v>
      </c>
    </row>
    <row r="202" spans="1:30" x14ac:dyDescent="0.3">
      <c r="A202" s="41" t="s">
        <v>347</v>
      </c>
      <c r="B202" s="42">
        <v>45686</v>
      </c>
      <c r="C202" s="41" t="s">
        <v>293</v>
      </c>
      <c r="D202" s="41" t="s">
        <v>294</v>
      </c>
      <c r="E202" s="41" t="s">
        <v>80</v>
      </c>
      <c r="F202" s="41" t="s">
        <v>81</v>
      </c>
      <c r="G202" s="41" t="s">
        <v>19</v>
      </c>
      <c r="H202" s="41">
        <v>2</v>
      </c>
      <c r="I202" s="41">
        <v>699.99</v>
      </c>
      <c r="J202" s="41" t="s">
        <v>57</v>
      </c>
      <c r="K202" s="41" t="s">
        <v>21</v>
      </c>
      <c r="L202" s="41" t="s">
        <v>27</v>
      </c>
      <c r="M202" s="42">
        <v>44681</v>
      </c>
      <c r="N202" s="41">
        <f t="shared" si="27"/>
        <v>1399.98</v>
      </c>
      <c r="O202" s="40"/>
      <c r="P202" s="40"/>
      <c r="Q202" s="40"/>
      <c r="R202" s="40"/>
      <c r="S202" s="40"/>
      <c r="T202" s="40"/>
      <c r="U202" s="18">
        <f t="shared" si="28"/>
        <v>4829.8900000000003</v>
      </c>
      <c r="V202" s="38" t="str">
        <f t="shared" si="29"/>
        <v>Normal</v>
      </c>
      <c r="W202" s="18">
        <f t="shared" si="30"/>
        <v>31</v>
      </c>
      <c r="X202" s="40"/>
      <c r="Y202" s="40"/>
      <c r="Z202" s="18">
        <f t="shared" si="31"/>
        <v>4</v>
      </c>
      <c r="AA202" s="18" t="str">
        <f t="shared" si="32"/>
        <v>Repeat</v>
      </c>
      <c r="AB202" s="18" t="str">
        <f t="shared" si="33"/>
        <v>Douglas Watson</v>
      </c>
      <c r="AC202" s="18" t="str">
        <f t="shared" si="34"/>
        <v>DW</v>
      </c>
      <c r="AD202" s="18" t="str">
        <f t="shared" si="35"/>
        <v>dwatson@gmail.com</v>
      </c>
    </row>
    <row r="203" spans="1:30" x14ac:dyDescent="0.3">
      <c r="A203" s="41" t="s">
        <v>348</v>
      </c>
      <c r="B203" s="42">
        <v>45688</v>
      </c>
      <c r="C203" s="41" t="s">
        <v>65</v>
      </c>
      <c r="D203" s="41" t="s">
        <v>66</v>
      </c>
      <c r="E203" s="41" t="s">
        <v>80</v>
      </c>
      <c r="F203" s="41" t="s">
        <v>81</v>
      </c>
      <c r="G203" s="41" t="s">
        <v>19</v>
      </c>
      <c r="H203" s="41">
        <v>4</v>
      </c>
      <c r="I203" s="41">
        <v>699.99</v>
      </c>
      <c r="J203" s="41" t="s">
        <v>57</v>
      </c>
      <c r="K203" s="41" t="s">
        <v>50</v>
      </c>
      <c r="L203" s="41" t="s">
        <v>27</v>
      </c>
      <c r="M203" s="42">
        <v>44692</v>
      </c>
      <c r="N203" s="41">
        <f t="shared" si="27"/>
        <v>2799.96</v>
      </c>
      <c r="O203" s="40"/>
      <c r="P203" s="40"/>
      <c r="Q203" s="40"/>
      <c r="R203" s="40"/>
      <c r="S203" s="40"/>
      <c r="T203" s="40"/>
      <c r="U203" s="18">
        <f t="shared" si="28"/>
        <v>8009.7699999999995</v>
      </c>
      <c r="V203" s="38" t="str">
        <f t="shared" si="29"/>
        <v>Normal</v>
      </c>
      <c r="W203" s="18">
        <f t="shared" si="30"/>
        <v>31</v>
      </c>
      <c r="X203" s="40"/>
      <c r="Y203" s="40"/>
      <c r="Z203" s="18">
        <f t="shared" si="31"/>
        <v>8</v>
      </c>
      <c r="AA203" s="18" t="str">
        <f t="shared" si="32"/>
        <v>Repeat</v>
      </c>
      <c r="AB203" s="18" t="str">
        <f t="shared" si="33"/>
        <v>Karen Hill</v>
      </c>
      <c r="AC203" s="18" t="str">
        <f t="shared" si="34"/>
        <v>KH</v>
      </c>
      <c r="AD203" s="18" t="str">
        <f t="shared" si="35"/>
        <v>khill@gmail.com</v>
      </c>
    </row>
    <row r="204" spans="1:30" x14ac:dyDescent="0.3">
      <c r="A204" s="41" t="s">
        <v>349</v>
      </c>
      <c r="B204" s="42">
        <v>45688</v>
      </c>
      <c r="C204" s="41" t="s">
        <v>123</v>
      </c>
      <c r="D204" s="41" t="s">
        <v>124</v>
      </c>
      <c r="E204" s="41" t="s">
        <v>117</v>
      </c>
      <c r="F204" s="41" t="s">
        <v>118</v>
      </c>
      <c r="G204" s="41" t="s">
        <v>19</v>
      </c>
      <c r="H204" s="41">
        <v>2</v>
      </c>
      <c r="I204" s="41">
        <v>89.99</v>
      </c>
      <c r="J204" s="41" t="s">
        <v>57</v>
      </c>
      <c r="K204" s="41" t="s">
        <v>35</v>
      </c>
      <c r="L204" s="41" t="s">
        <v>22</v>
      </c>
      <c r="M204" s="42">
        <v>44777</v>
      </c>
      <c r="N204" s="41">
        <f t="shared" si="27"/>
        <v>179.98</v>
      </c>
      <c r="O204" s="40"/>
      <c r="P204" s="40"/>
      <c r="Q204" s="40"/>
      <c r="R204" s="40"/>
      <c r="S204" s="40"/>
      <c r="T204" s="40"/>
      <c r="U204" s="18">
        <f t="shared" si="28"/>
        <v>11919.77</v>
      </c>
      <c r="V204" s="38" t="str">
        <f t="shared" si="29"/>
        <v>High Value</v>
      </c>
      <c r="W204" s="18">
        <f t="shared" si="30"/>
        <v>34</v>
      </c>
      <c r="X204" s="40"/>
      <c r="Y204" s="40"/>
      <c r="Z204" s="18">
        <f t="shared" si="31"/>
        <v>6</v>
      </c>
      <c r="AA204" s="18" t="str">
        <f t="shared" si="32"/>
        <v>Repeat</v>
      </c>
      <c r="AB204" s="18" t="str">
        <f t="shared" si="33"/>
        <v>Edward Mitchell</v>
      </c>
      <c r="AC204" s="18" t="str">
        <f t="shared" si="34"/>
        <v>EM</v>
      </c>
      <c r="AD204" s="18" t="str">
        <f t="shared" si="35"/>
        <v>emitchell@gmail.com</v>
      </c>
    </row>
    <row r="205" spans="1:30" x14ac:dyDescent="0.3">
      <c r="A205" s="41" t="s">
        <v>350</v>
      </c>
      <c r="B205" s="42">
        <v>45688</v>
      </c>
      <c r="C205" s="41" t="s">
        <v>42</v>
      </c>
      <c r="D205" s="41" t="s">
        <v>43</v>
      </c>
      <c r="E205" s="41" t="s">
        <v>117</v>
      </c>
      <c r="F205" s="41" t="s">
        <v>118</v>
      </c>
      <c r="G205" s="41" t="s">
        <v>19</v>
      </c>
      <c r="H205" s="41">
        <v>3</v>
      </c>
      <c r="I205" s="41">
        <v>89.99</v>
      </c>
      <c r="J205" s="41" t="s">
        <v>57</v>
      </c>
      <c r="K205" s="41" t="s">
        <v>35</v>
      </c>
      <c r="L205" s="41" t="s">
        <v>27</v>
      </c>
      <c r="M205" s="42">
        <v>45307</v>
      </c>
      <c r="N205" s="41">
        <f t="shared" si="27"/>
        <v>269.96999999999997</v>
      </c>
      <c r="O205" s="40"/>
      <c r="P205" s="40"/>
      <c r="Q205" s="40"/>
      <c r="R205" s="40"/>
      <c r="S205" s="40"/>
      <c r="T205" s="40"/>
      <c r="U205" s="18">
        <f t="shared" si="28"/>
        <v>6169.7400000000007</v>
      </c>
      <c r="V205" s="38" t="str">
        <f t="shared" si="29"/>
        <v>Normal</v>
      </c>
      <c r="W205" s="18">
        <f t="shared" si="30"/>
        <v>34</v>
      </c>
      <c r="X205" s="40"/>
      <c r="Y205" s="40"/>
      <c r="Z205" s="18">
        <f t="shared" si="31"/>
        <v>9</v>
      </c>
      <c r="AA205" s="18" t="str">
        <f t="shared" si="32"/>
        <v>Repeat</v>
      </c>
      <c r="AB205" s="18" t="str">
        <f t="shared" si="33"/>
        <v>Michael Brown</v>
      </c>
      <c r="AC205" s="18" t="str">
        <f t="shared" si="34"/>
        <v>MB</v>
      </c>
      <c r="AD205" s="18" t="str">
        <f t="shared" si="35"/>
        <v>mbrown@gmail.com</v>
      </c>
    </row>
    <row r="206" spans="1:30" x14ac:dyDescent="0.3">
      <c r="A206" s="41" t="s">
        <v>351</v>
      </c>
      <c r="B206" s="42">
        <v>45692</v>
      </c>
      <c r="C206" s="41" t="s">
        <v>325</v>
      </c>
      <c r="D206" s="41" t="s">
        <v>326</v>
      </c>
      <c r="E206" s="41" t="s">
        <v>31</v>
      </c>
      <c r="F206" s="41" t="s">
        <v>32</v>
      </c>
      <c r="G206" s="41" t="s">
        <v>33</v>
      </c>
      <c r="H206" s="41">
        <v>1</v>
      </c>
      <c r="I206" s="41">
        <v>59.99</v>
      </c>
      <c r="J206" s="41" t="s">
        <v>57</v>
      </c>
      <c r="K206" s="41" t="s">
        <v>21</v>
      </c>
      <c r="L206" s="41" t="s">
        <v>36</v>
      </c>
      <c r="M206" s="42">
        <v>45045</v>
      </c>
      <c r="N206" s="41">
        <f t="shared" si="27"/>
        <v>59.99</v>
      </c>
      <c r="O206" s="40"/>
      <c r="P206" s="40"/>
      <c r="Q206" s="40"/>
      <c r="R206" s="40"/>
      <c r="S206" s="40"/>
      <c r="T206" s="40"/>
      <c r="U206" s="18">
        <f t="shared" si="28"/>
        <v>1559.94</v>
      </c>
      <c r="V206" s="38" t="str">
        <f t="shared" si="29"/>
        <v>Normal</v>
      </c>
      <c r="W206" s="18">
        <f t="shared" si="30"/>
        <v>29</v>
      </c>
      <c r="X206" s="40"/>
      <c r="Y206" s="40"/>
      <c r="Z206" s="18">
        <f t="shared" si="31"/>
        <v>3</v>
      </c>
      <c r="AA206" s="18" t="str">
        <f t="shared" si="32"/>
        <v>Repeat</v>
      </c>
      <c r="AB206" s="18" t="str">
        <f t="shared" si="33"/>
        <v>Arthur Edwards</v>
      </c>
      <c r="AC206" s="18" t="str">
        <f t="shared" si="34"/>
        <v>AE</v>
      </c>
      <c r="AD206" s="18" t="str">
        <f t="shared" si="35"/>
        <v>aedwards@gmail.com</v>
      </c>
    </row>
    <row r="207" spans="1:30" x14ac:dyDescent="0.3">
      <c r="A207" s="41" t="s">
        <v>352</v>
      </c>
      <c r="B207" s="42">
        <v>45695</v>
      </c>
      <c r="C207" s="41" t="s">
        <v>246</v>
      </c>
      <c r="D207" s="41" t="s">
        <v>247</v>
      </c>
      <c r="E207" s="41" t="s">
        <v>44</v>
      </c>
      <c r="F207" s="41" t="s">
        <v>45</v>
      </c>
      <c r="G207" s="41" t="s">
        <v>46</v>
      </c>
      <c r="H207" s="41">
        <v>3</v>
      </c>
      <c r="I207" s="41">
        <v>149.99</v>
      </c>
      <c r="J207" s="41" t="s">
        <v>57</v>
      </c>
      <c r="K207" s="41" t="s">
        <v>40</v>
      </c>
      <c r="L207" s="41" t="s">
        <v>27</v>
      </c>
      <c r="M207" s="42">
        <v>44564</v>
      </c>
      <c r="N207" s="41">
        <f t="shared" si="27"/>
        <v>449.97</v>
      </c>
      <c r="O207" s="40"/>
      <c r="P207" s="40"/>
      <c r="Q207" s="40"/>
      <c r="R207" s="40"/>
      <c r="S207" s="40"/>
      <c r="T207" s="40"/>
      <c r="U207" s="18">
        <f>SUMIFS($N:$N,$D:$D,D207)</f>
        <v>1749.92</v>
      </c>
      <c r="V207" s="38" t="str">
        <f t="shared" si="29"/>
        <v>Normal</v>
      </c>
      <c r="W207" s="18">
        <f t="shared" si="30"/>
        <v>35</v>
      </c>
      <c r="X207" s="40"/>
      <c r="Y207" s="40"/>
      <c r="Z207" s="18">
        <f t="shared" si="31"/>
        <v>3</v>
      </c>
      <c r="AA207" s="18" t="str">
        <f t="shared" si="32"/>
        <v>Repeat</v>
      </c>
      <c r="AB207" s="18" t="str">
        <f t="shared" si="33"/>
        <v>Ruth Brooks</v>
      </c>
      <c r="AC207" s="18" t="str">
        <f t="shared" si="34"/>
        <v>RB</v>
      </c>
      <c r="AD207" s="18" t="str">
        <f t="shared" si="35"/>
        <v>rbrooks@gmail.com</v>
      </c>
    </row>
    <row r="208" spans="1:30" x14ac:dyDescent="0.3">
      <c r="A208" s="41" t="s">
        <v>353</v>
      </c>
      <c r="B208" s="42">
        <v>45695</v>
      </c>
      <c r="C208" s="41" t="s">
        <v>93</v>
      </c>
      <c r="D208" s="41" t="s">
        <v>94</v>
      </c>
      <c r="E208" s="41" t="s">
        <v>105</v>
      </c>
      <c r="F208" s="41" t="s">
        <v>106</v>
      </c>
      <c r="G208" s="41" t="s">
        <v>46</v>
      </c>
      <c r="H208" s="41">
        <v>5</v>
      </c>
      <c r="I208" s="41">
        <v>299.99</v>
      </c>
      <c r="J208" s="41" t="s">
        <v>26</v>
      </c>
      <c r="K208" s="41" t="s">
        <v>35</v>
      </c>
      <c r="L208" s="41" t="s">
        <v>22</v>
      </c>
      <c r="M208" s="42">
        <v>44959</v>
      </c>
      <c r="N208" s="41">
        <f t="shared" si="27"/>
        <v>1499.95</v>
      </c>
      <c r="O208" s="40"/>
      <c r="P208" s="40"/>
      <c r="Q208" s="40"/>
      <c r="R208" s="40"/>
      <c r="S208" s="40"/>
      <c r="T208" s="40"/>
      <c r="U208" s="18">
        <f t="shared" ref="U208:U251" si="36">SUMIFS($N:$N,$D:$D,D208)</f>
        <v>4789.7900000000009</v>
      </c>
      <c r="V208" s="38" t="str">
        <f t="shared" si="29"/>
        <v>Normal</v>
      </c>
      <c r="W208" s="18">
        <f t="shared" si="30"/>
        <v>26</v>
      </c>
      <c r="X208" s="40"/>
      <c r="Y208" s="40"/>
      <c r="Z208" s="18">
        <f t="shared" si="31"/>
        <v>6</v>
      </c>
      <c r="AA208" s="18" t="str">
        <f t="shared" si="32"/>
        <v>Repeat</v>
      </c>
      <c r="AB208" s="18" t="str">
        <f t="shared" si="33"/>
        <v>Virginia Sanders</v>
      </c>
      <c r="AC208" s="18" t="str">
        <f t="shared" si="34"/>
        <v>VS</v>
      </c>
      <c r="AD208" s="18" t="str">
        <f t="shared" si="35"/>
        <v>vsanders@gmail.com</v>
      </c>
    </row>
    <row r="209" spans="1:30" x14ac:dyDescent="0.3">
      <c r="A209" s="41" t="s">
        <v>354</v>
      </c>
      <c r="B209" s="42">
        <v>45696</v>
      </c>
      <c r="C209" s="41" t="s">
        <v>150</v>
      </c>
      <c r="D209" s="41" t="s">
        <v>151</v>
      </c>
      <c r="E209" s="41" t="s">
        <v>31</v>
      </c>
      <c r="F209" s="41" t="s">
        <v>32</v>
      </c>
      <c r="G209" s="41" t="s">
        <v>33</v>
      </c>
      <c r="H209" s="41">
        <v>5</v>
      </c>
      <c r="I209" s="41">
        <v>59.99</v>
      </c>
      <c r="J209" s="41" t="s">
        <v>57</v>
      </c>
      <c r="K209" s="41" t="s">
        <v>21</v>
      </c>
      <c r="L209" s="41" t="s">
        <v>36</v>
      </c>
      <c r="M209" s="42">
        <v>45177</v>
      </c>
      <c r="N209" s="41">
        <f t="shared" si="27"/>
        <v>299.95</v>
      </c>
      <c r="O209" s="40"/>
      <c r="P209" s="40"/>
      <c r="Q209" s="40"/>
      <c r="R209" s="40"/>
      <c r="S209" s="40"/>
      <c r="T209" s="40"/>
      <c r="U209" s="18">
        <f t="shared" si="36"/>
        <v>5619.87</v>
      </c>
      <c r="V209" s="38" t="str">
        <f t="shared" si="29"/>
        <v>Normal</v>
      </c>
      <c r="W209" s="18">
        <f t="shared" si="30"/>
        <v>29</v>
      </c>
      <c r="X209" s="40"/>
      <c r="Y209" s="40"/>
      <c r="Z209" s="18">
        <f t="shared" si="31"/>
        <v>6</v>
      </c>
      <c r="AA209" s="18" t="str">
        <f t="shared" si="32"/>
        <v>Repeat</v>
      </c>
      <c r="AB209" s="18" t="str">
        <f t="shared" si="33"/>
        <v>Sharon Butler</v>
      </c>
      <c r="AC209" s="18" t="str">
        <f t="shared" si="34"/>
        <v>SB</v>
      </c>
      <c r="AD209" s="18" t="str">
        <f t="shared" si="35"/>
        <v>sbutler@gmail.com</v>
      </c>
    </row>
    <row r="210" spans="1:30" x14ac:dyDescent="0.3">
      <c r="A210" s="41" t="s">
        <v>355</v>
      </c>
      <c r="B210" s="42">
        <v>45701</v>
      </c>
      <c r="C210" s="41" t="s">
        <v>108</v>
      </c>
      <c r="D210" s="41" t="s">
        <v>109</v>
      </c>
      <c r="E210" s="41" t="s">
        <v>114</v>
      </c>
      <c r="F210" s="41" t="s">
        <v>115</v>
      </c>
      <c r="G210" s="41" t="s">
        <v>33</v>
      </c>
      <c r="H210" s="41">
        <v>3</v>
      </c>
      <c r="I210" s="41">
        <v>79.989999999999995</v>
      </c>
      <c r="J210" s="41" t="s">
        <v>20</v>
      </c>
      <c r="K210" s="41" t="s">
        <v>63</v>
      </c>
      <c r="L210" s="41" t="s">
        <v>27</v>
      </c>
      <c r="M210" s="42">
        <v>44436</v>
      </c>
      <c r="N210" s="41">
        <f t="shared" si="27"/>
        <v>239.96999999999997</v>
      </c>
      <c r="O210" s="40"/>
      <c r="P210" s="40"/>
      <c r="Q210" s="40"/>
      <c r="R210" s="40"/>
      <c r="S210" s="40"/>
      <c r="T210" s="40"/>
      <c r="U210" s="18">
        <f t="shared" si="36"/>
        <v>4189.7700000000004</v>
      </c>
      <c r="V210" s="38" t="str">
        <f t="shared" si="29"/>
        <v>Normal</v>
      </c>
      <c r="W210" s="18">
        <f t="shared" si="30"/>
        <v>14</v>
      </c>
      <c r="X210" s="40"/>
      <c r="Y210" s="40"/>
      <c r="Z210" s="18">
        <f t="shared" si="31"/>
        <v>6</v>
      </c>
      <c r="AA210" s="18" t="str">
        <f t="shared" si="32"/>
        <v>Repeat</v>
      </c>
      <c r="AB210" s="18" t="str">
        <f t="shared" si="33"/>
        <v>Nancy Collins</v>
      </c>
      <c r="AC210" s="18" t="str">
        <f t="shared" si="34"/>
        <v>NC</v>
      </c>
      <c r="AD210" s="18" t="str">
        <f t="shared" si="35"/>
        <v>ncollins@gmail.com</v>
      </c>
    </row>
    <row r="211" spans="1:30" x14ac:dyDescent="0.3">
      <c r="A211" s="41" t="s">
        <v>356</v>
      </c>
      <c r="B211" s="42">
        <v>45704</v>
      </c>
      <c r="C211" s="41" t="s">
        <v>29</v>
      </c>
      <c r="D211" s="41" t="s">
        <v>30</v>
      </c>
      <c r="E211" s="41" t="s">
        <v>126</v>
      </c>
      <c r="F211" s="41" t="s">
        <v>127</v>
      </c>
      <c r="G211" s="41" t="s">
        <v>46</v>
      </c>
      <c r="H211" s="41">
        <v>3</v>
      </c>
      <c r="I211" s="41">
        <v>199.99</v>
      </c>
      <c r="J211" s="41" t="s">
        <v>20</v>
      </c>
      <c r="K211" s="41" t="s">
        <v>21</v>
      </c>
      <c r="L211" s="41" t="s">
        <v>22</v>
      </c>
      <c r="M211" s="42">
        <v>44735</v>
      </c>
      <c r="N211" s="41">
        <f t="shared" si="27"/>
        <v>599.97</v>
      </c>
      <c r="O211" s="40"/>
      <c r="P211" s="40"/>
      <c r="Q211" s="40"/>
      <c r="R211" s="40"/>
      <c r="S211" s="40"/>
      <c r="T211" s="40"/>
      <c r="U211" s="18">
        <f t="shared" si="36"/>
        <v>3259.87</v>
      </c>
      <c r="V211" s="38" t="str">
        <f t="shared" si="29"/>
        <v>Normal</v>
      </c>
      <c r="W211" s="18">
        <f t="shared" si="30"/>
        <v>15</v>
      </c>
      <c r="X211" s="40"/>
      <c r="Y211" s="40"/>
      <c r="Z211" s="18">
        <f t="shared" si="31"/>
        <v>6</v>
      </c>
      <c r="AA211" s="18" t="str">
        <f t="shared" si="32"/>
        <v>Repeat</v>
      </c>
      <c r="AB211" s="18" t="str">
        <f t="shared" si="33"/>
        <v>Kevin Scott</v>
      </c>
      <c r="AC211" s="18" t="str">
        <f t="shared" si="34"/>
        <v>KS</v>
      </c>
      <c r="AD211" s="18" t="str">
        <f t="shared" si="35"/>
        <v>kscott@gmail.com</v>
      </c>
    </row>
    <row r="212" spans="1:30" x14ac:dyDescent="0.3">
      <c r="A212" s="41" t="s">
        <v>357</v>
      </c>
      <c r="B212" s="42">
        <v>45704</v>
      </c>
      <c r="C212" s="41" t="s">
        <v>15</v>
      </c>
      <c r="D212" s="41" t="s">
        <v>16</v>
      </c>
      <c r="E212" s="41" t="s">
        <v>117</v>
      </c>
      <c r="F212" s="41" t="s">
        <v>118</v>
      </c>
      <c r="G212" s="41" t="s">
        <v>19</v>
      </c>
      <c r="H212" s="41">
        <v>2</v>
      </c>
      <c r="I212" s="41">
        <v>89.99</v>
      </c>
      <c r="J212" s="41" t="s">
        <v>34</v>
      </c>
      <c r="K212" s="41" t="s">
        <v>21</v>
      </c>
      <c r="L212" s="41" t="s">
        <v>22</v>
      </c>
      <c r="M212" s="42">
        <v>45257</v>
      </c>
      <c r="N212" s="41">
        <f t="shared" si="27"/>
        <v>179.98</v>
      </c>
      <c r="O212" s="40"/>
      <c r="P212" s="40"/>
      <c r="Q212" s="40"/>
      <c r="R212" s="40"/>
      <c r="S212" s="40"/>
      <c r="T212" s="40"/>
      <c r="U212" s="18">
        <f t="shared" si="36"/>
        <v>13809.790000000006</v>
      </c>
      <c r="V212" s="38" t="str">
        <f t="shared" si="29"/>
        <v>High Value</v>
      </c>
      <c r="W212" s="18">
        <f t="shared" si="30"/>
        <v>34</v>
      </c>
      <c r="X212" s="40"/>
      <c r="Y212" s="40"/>
      <c r="Z212" s="18">
        <f t="shared" si="31"/>
        <v>8</v>
      </c>
      <c r="AA212" s="18" t="str">
        <f t="shared" si="32"/>
        <v>Repeat</v>
      </c>
      <c r="AB212" s="18" t="str">
        <f t="shared" si="33"/>
        <v>Paul Baker</v>
      </c>
      <c r="AC212" s="18" t="str">
        <f t="shared" si="34"/>
        <v>PB</v>
      </c>
      <c r="AD212" s="18" t="str">
        <f t="shared" si="35"/>
        <v>pbaker@gmail.com</v>
      </c>
    </row>
    <row r="213" spans="1:30" x14ac:dyDescent="0.3">
      <c r="A213" s="41" t="s">
        <v>358</v>
      </c>
      <c r="B213" s="42">
        <v>45705</v>
      </c>
      <c r="C213" s="41" t="s">
        <v>259</v>
      </c>
      <c r="D213" s="41" t="s">
        <v>260</v>
      </c>
      <c r="E213" s="41" t="s">
        <v>44</v>
      </c>
      <c r="F213" s="41" t="s">
        <v>45</v>
      </c>
      <c r="G213" s="41" t="s">
        <v>46</v>
      </c>
      <c r="H213" s="41">
        <v>2</v>
      </c>
      <c r="I213" s="41">
        <v>149.99</v>
      </c>
      <c r="J213" s="41" t="s">
        <v>20</v>
      </c>
      <c r="K213" s="41" t="s">
        <v>35</v>
      </c>
      <c r="L213" s="41" t="s">
        <v>27</v>
      </c>
      <c r="M213" s="42">
        <v>44728</v>
      </c>
      <c r="N213" s="41">
        <f t="shared" si="27"/>
        <v>299.98</v>
      </c>
      <c r="O213" s="40"/>
      <c r="P213" s="40"/>
      <c r="Q213" s="40"/>
      <c r="R213" s="40"/>
      <c r="S213" s="40"/>
      <c r="T213" s="40"/>
      <c r="U213" s="18">
        <f t="shared" si="36"/>
        <v>739.93000000000006</v>
      </c>
      <c r="V213" s="38" t="str">
        <f t="shared" si="29"/>
        <v>Normal</v>
      </c>
      <c r="W213" s="18">
        <f t="shared" si="30"/>
        <v>35</v>
      </c>
      <c r="X213" s="40"/>
      <c r="Y213" s="40"/>
      <c r="Z213" s="18">
        <f t="shared" si="31"/>
        <v>3</v>
      </c>
      <c r="AA213" s="18" t="str">
        <f t="shared" si="32"/>
        <v>Repeat</v>
      </c>
      <c r="AB213" s="18" t="str">
        <f t="shared" si="33"/>
        <v>Richard Lee</v>
      </c>
      <c r="AC213" s="18" t="str">
        <f t="shared" si="34"/>
        <v>RL</v>
      </c>
      <c r="AD213" s="18" t="str">
        <f t="shared" si="35"/>
        <v>rlee@gmail.com</v>
      </c>
    </row>
    <row r="214" spans="1:30" x14ac:dyDescent="0.3">
      <c r="A214" s="41" t="s">
        <v>359</v>
      </c>
      <c r="B214" s="42">
        <v>45707</v>
      </c>
      <c r="C214" s="41" t="s">
        <v>123</v>
      </c>
      <c r="D214" s="41" t="s">
        <v>124</v>
      </c>
      <c r="E214" s="41" t="s">
        <v>80</v>
      </c>
      <c r="F214" s="41" t="s">
        <v>81</v>
      </c>
      <c r="G214" s="41" t="s">
        <v>19</v>
      </c>
      <c r="H214" s="41">
        <v>5</v>
      </c>
      <c r="I214" s="41">
        <v>699.99</v>
      </c>
      <c r="J214" s="41" t="s">
        <v>34</v>
      </c>
      <c r="K214" s="41" t="s">
        <v>35</v>
      </c>
      <c r="L214" s="41" t="s">
        <v>27</v>
      </c>
      <c r="M214" s="42">
        <v>45352</v>
      </c>
      <c r="N214" s="41">
        <f t="shared" si="27"/>
        <v>3499.95</v>
      </c>
      <c r="O214" s="40"/>
      <c r="P214" s="40"/>
      <c r="Q214" s="40"/>
      <c r="R214" s="40"/>
      <c r="S214" s="40"/>
      <c r="T214" s="40"/>
      <c r="U214" s="18">
        <f t="shared" si="36"/>
        <v>11919.77</v>
      </c>
      <c r="V214" s="38" t="str">
        <f t="shared" si="29"/>
        <v>High Value</v>
      </c>
      <c r="W214" s="18">
        <f t="shared" si="30"/>
        <v>31</v>
      </c>
      <c r="X214" s="40"/>
      <c r="Y214" s="40"/>
      <c r="Z214" s="18">
        <f t="shared" si="31"/>
        <v>6</v>
      </c>
      <c r="AA214" s="18" t="str">
        <f t="shared" si="32"/>
        <v>Repeat</v>
      </c>
      <c r="AB214" s="18" t="str">
        <f t="shared" si="33"/>
        <v>Edward Mitchell</v>
      </c>
      <c r="AC214" s="18" t="str">
        <f t="shared" si="34"/>
        <v>EM</v>
      </c>
      <c r="AD214" s="18" t="str">
        <f t="shared" si="35"/>
        <v>emitchell@gmail.com</v>
      </c>
    </row>
    <row r="215" spans="1:30" x14ac:dyDescent="0.3">
      <c r="A215" s="41" t="s">
        <v>360</v>
      </c>
      <c r="B215" s="42">
        <v>45707</v>
      </c>
      <c r="C215" s="41" t="s">
        <v>42</v>
      </c>
      <c r="D215" s="41" t="s">
        <v>43</v>
      </c>
      <c r="E215" s="41" t="s">
        <v>44</v>
      </c>
      <c r="F215" s="41" t="s">
        <v>45</v>
      </c>
      <c r="G215" s="41" t="s">
        <v>46</v>
      </c>
      <c r="H215" s="41">
        <v>3</v>
      </c>
      <c r="I215" s="41">
        <v>149.99</v>
      </c>
      <c r="J215" s="41" t="s">
        <v>34</v>
      </c>
      <c r="K215" s="41" t="s">
        <v>21</v>
      </c>
      <c r="L215" s="41" t="s">
        <v>36</v>
      </c>
      <c r="M215" s="42">
        <v>44633</v>
      </c>
      <c r="N215" s="41">
        <f t="shared" si="27"/>
        <v>449.97</v>
      </c>
      <c r="O215" s="40"/>
      <c r="P215" s="40"/>
      <c r="Q215" s="40"/>
      <c r="R215" s="40"/>
      <c r="S215" s="40"/>
      <c r="T215" s="40"/>
      <c r="U215" s="18">
        <f t="shared" si="36"/>
        <v>6169.7400000000007</v>
      </c>
      <c r="V215" s="38" t="str">
        <f t="shared" si="29"/>
        <v>Normal</v>
      </c>
      <c r="W215" s="18">
        <f t="shared" si="30"/>
        <v>35</v>
      </c>
      <c r="X215" s="40"/>
      <c r="Y215" s="40"/>
      <c r="Z215" s="18">
        <f t="shared" si="31"/>
        <v>9</v>
      </c>
      <c r="AA215" s="18" t="str">
        <f t="shared" si="32"/>
        <v>Repeat</v>
      </c>
      <c r="AB215" s="18" t="str">
        <f t="shared" si="33"/>
        <v>Michael Brown</v>
      </c>
      <c r="AC215" s="18" t="str">
        <f t="shared" si="34"/>
        <v>MB</v>
      </c>
      <c r="AD215" s="18" t="str">
        <f t="shared" si="35"/>
        <v>mbrown@gmail.com</v>
      </c>
    </row>
    <row r="216" spans="1:30" x14ac:dyDescent="0.3">
      <c r="A216" s="41" t="s">
        <v>361</v>
      </c>
      <c r="B216" s="42">
        <v>45708</v>
      </c>
      <c r="C216" s="41" t="s">
        <v>96</v>
      </c>
      <c r="D216" s="41" t="s">
        <v>97</v>
      </c>
      <c r="E216" s="41" t="s">
        <v>61</v>
      </c>
      <c r="F216" s="41" t="s">
        <v>62</v>
      </c>
      <c r="G216" s="41" t="s">
        <v>19</v>
      </c>
      <c r="H216" s="41">
        <v>3</v>
      </c>
      <c r="I216" s="41">
        <v>899.99</v>
      </c>
      <c r="J216" s="41" t="s">
        <v>20</v>
      </c>
      <c r="K216" s="41" t="s">
        <v>63</v>
      </c>
      <c r="L216" s="41" t="s">
        <v>36</v>
      </c>
      <c r="M216" s="42">
        <v>44613</v>
      </c>
      <c r="N216" s="41">
        <f t="shared" si="27"/>
        <v>2699.9700000000003</v>
      </c>
      <c r="O216" s="40"/>
      <c r="P216" s="40"/>
      <c r="Q216" s="40"/>
      <c r="R216" s="40"/>
      <c r="S216" s="40"/>
      <c r="T216" s="40"/>
      <c r="U216" s="18">
        <f t="shared" si="36"/>
        <v>10649.8</v>
      </c>
      <c r="V216" s="38" t="str">
        <f t="shared" si="29"/>
        <v>High Value</v>
      </c>
      <c r="W216" s="18">
        <f t="shared" si="30"/>
        <v>24</v>
      </c>
      <c r="X216" s="40"/>
      <c r="Y216" s="40"/>
      <c r="Z216" s="18">
        <f t="shared" si="31"/>
        <v>5</v>
      </c>
      <c r="AA216" s="18" t="str">
        <f t="shared" si="32"/>
        <v>Repeat</v>
      </c>
      <c r="AB216" s="18" t="str">
        <f t="shared" si="33"/>
        <v>Barbara Young</v>
      </c>
      <c r="AC216" s="18" t="str">
        <f t="shared" si="34"/>
        <v>BY</v>
      </c>
      <c r="AD216" s="18" t="str">
        <f t="shared" si="35"/>
        <v>byoung@gmail.com</v>
      </c>
    </row>
    <row r="217" spans="1:30" x14ac:dyDescent="0.3">
      <c r="A217" s="41" t="s">
        <v>362</v>
      </c>
      <c r="B217" s="42">
        <v>45708</v>
      </c>
      <c r="C217" s="41" t="s">
        <v>192</v>
      </c>
      <c r="D217" s="41" t="s">
        <v>193</v>
      </c>
      <c r="E217" s="41" t="s">
        <v>126</v>
      </c>
      <c r="F217" s="41" t="s">
        <v>127</v>
      </c>
      <c r="G217" s="41" t="s">
        <v>46</v>
      </c>
      <c r="H217" s="41">
        <v>3</v>
      </c>
      <c r="I217" s="41">
        <v>199.99</v>
      </c>
      <c r="J217" s="41" t="s">
        <v>20</v>
      </c>
      <c r="K217" s="41" t="s">
        <v>50</v>
      </c>
      <c r="L217" s="41" t="s">
        <v>27</v>
      </c>
      <c r="M217" s="42">
        <v>44823</v>
      </c>
      <c r="N217" s="41">
        <f t="shared" si="27"/>
        <v>599.97</v>
      </c>
      <c r="O217" s="40"/>
      <c r="P217" s="40"/>
      <c r="Q217" s="40"/>
      <c r="R217" s="40"/>
      <c r="S217" s="40"/>
      <c r="T217" s="40"/>
      <c r="U217" s="18">
        <f t="shared" si="36"/>
        <v>1479.91</v>
      </c>
      <c r="V217" s="38" t="str">
        <f t="shared" si="29"/>
        <v>Normal</v>
      </c>
      <c r="W217" s="18">
        <f t="shared" si="30"/>
        <v>15</v>
      </c>
      <c r="X217" s="40"/>
      <c r="Y217" s="40"/>
      <c r="Z217" s="18">
        <f t="shared" si="31"/>
        <v>5</v>
      </c>
      <c r="AA217" s="18" t="str">
        <f t="shared" si="32"/>
        <v>Repeat</v>
      </c>
      <c r="AB217" s="18" t="str">
        <f t="shared" si="33"/>
        <v>Frank Torres</v>
      </c>
      <c r="AC217" s="18" t="str">
        <f t="shared" si="34"/>
        <v>FT</v>
      </c>
      <c r="AD217" s="18" t="str">
        <f t="shared" si="35"/>
        <v>ftorres@gmail.com</v>
      </c>
    </row>
    <row r="218" spans="1:30" x14ac:dyDescent="0.3">
      <c r="A218" s="41" t="s">
        <v>363</v>
      </c>
      <c r="B218" s="42">
        <v>45710</v>
      </c>
      <c r="C218" s="41" t="s">
        <v>55</v>
      </c>
      <c r="D218" s="41" t="s">
        <v>56</v>
      </c>
      <c r="E218" s="41" t="s">
        <v>105</v>
      </c>
      <c r="F218" s="41" t="s">
        <v>106</v>
      </c>
      <c r="G218" s="41" t="s">
        <v>46</v>
      </c>
      <c r="H218" s="41">
        <v>5</v>
      </c>
      <c r="I218" s="41">
        <v>299.99</v>
      </c>
      <c r="J218" s="41" t="s">
        <v>20</v>
      </c>
      <c r="K218" s="41" t="s">
        <v>50</v>
      </c>
      <c r="L218" s="41" t="s">
        <v>36</v>
      </c>
      <c r="M218" s="42">
        <v>45142</v>
      </c>
      <c r="N218" s="41">
        <f t="shared" si="27"/>
        <v>1499.95</v>
      </c>
      <c r="O218" s="40"/>
      <c r="P218" s="40"/>
      <c r="Q218" s="40"/>
      <c r="R218" s="40"/>
      <c r="S218" s="40"/>
      <c r="T218" s="40"/>
      <c r="U218" s="18">
        <f t="shared" si="36"/>
        <v>5089.7300000000005</v>
      </c>
      <c r="V218" s="38" t="str">
        <f t="shared" si="29"/>
        <v>Normal</v>
      </c>
      <c r="W218" s="18">
        <f t="shared" si="30"/>
        <v>26</v>
      </c>
      <c r="X218" s="40"/>
      <c r="Y218" s="40"/>
      <c r="Z218" s="18">
        <f t="shared" si="31"/>
        <v>9</v>
      </c>
      <c r="AA218" s="18" t="str">
        <f t="shared" si="32"/>
        <v>Repeat</v>
      </c>
      <c r="AB218" s="18" t="str">
        <f t="shared" si="33"/>
        <v>Charles Allen</v>
      </c>
      <c r="AC218" s="18" t="str">
        <f t="shared" si="34"/>
        <v>CA</v>
      </c>
      <c r="AD218" s="18" t="str">
        <f t="shared" si="35"/>
        <v>callen@gmail.com</v>
      </c>
    </row>
    <row r="219" spans="1:30" x14ac:dyDescent="0.3">
      <c r="A219" s="41" t="s">
        <v>364</v>
      </c>
      <c r="B219" s="42">
        <v>45710</v>
      </c>
      <c r="C219" s="41" t="s">
        <v>150</v>
      </c>
      <c r="D219" s="41" t="s">
        <v>151</v>
      </c>
      <c r="E219" s="41" t="s">
        <v>80</v>
      </c>
      <c r="F219" s="41" t="s">
        <v>81</v>
      </c>
      <c r="G219" s="41" t="s">
        <v>19</v>
      </c>
      <c r="H219" s="41">
        <v>1</v>
      </c>
      <c r="I219" s="41">
        <v>699.99</v>
      </c>
      <c r="J219" s="41" t="s">
        <v>34</v>
      </c>
      <c r="K219" s="41" t="s">
        <v>50</v>
      </c>
      <c r="L219" s="41" t="s">
        <v>22</v>
      </c>
      <c r="M219" s="42">
        <v>44934</v>
      </c>
      <c r="N219" s="41">
        <f t="shared" si="27"/>
        <v>699.99</v>
      </c>
      <c r="O219" s="40"/>
      <c r="P219" s="40"/>
      <c r="Q219" s="40"/>
      <c r="R219" s="40"/>
      <c r="S219" s="40"/>
      <c r="T219" s="40"/>
      <c r="U219" s="18">
        <f t="shared" si="36"/>
        <v>5619.87</v>
      </c>
      <c r="V219" s="38" t="str">
        <f t="shared" si="29"/>
        <v>Normal</v>
      </c>
      <c r="W219" s="18">
        <f t="shared" si="30"/>
        <v>31</v>
      </c>
      <c r="X219" s="40"/>
      <c r="Y219" s="40"/>
      <c r="Z219" s="18">
        <f t="shared" si="31"/>
        <v>6</v>
      </c>
      <c r="AA219" s="18" t="str">
        <f t="shared" si="32"/>
        <v>Repeat</v>
      </c>
      <c r="AB219" s="18" t="str">
        <f t="shared" si="33"/>
        <v>Sharon Butler</v>
      </c>
      <c r="AC219" s="18" t="str">
        <f t="shared" si="34"/>
        <v>SB</v>
      </c>
      <c r="AD219" s="18" t="str">
        <f t="shared" si="35"/>
        <v>sbutler@gmail.com</v>
      </c>
    </row>
    <row r="220" spans="1:30" x14ac:dyDescent="0.3">
      <c r="A220" s="41" t="s">
        <v>365</v>
      </c>
      <c r="B220" s="42">
        <v>45711</v>
      </c>
      <c r="C220" s="41" t="s">
        <v>246</v>
      </c>
      <c r="D220" s="41" t="s">
        <v>247</v>
      </c>
      <c r="E220" s="41" t="s">
        <v>80</v>
      </c>
      <c r="F220" s="41" t="s">
        <v>81</v>
      </c>
      <c r="G220" s="41" t="s">
        <v>19</v>
      </c>
      <c r="H220" s="41">
        <v>1</v>
      </c>
      <c r="I220" s="41">
        <v>699.99</v>
      </c>
      <c r="J220" s="41" t="s">
        <v>20</v>
      </c>
      <c r="K220" s="41" t="s">
        <v>40</v>
      </c>
      <c r="L220" s="41" t="s">
        <v>27</v>
      </c>
      <c r="M220" s="42">
        <v>44583</v>
      </c>
      <c r="N220" s="41">
        <f t="shared" si="27"/>
        <v>699.99</v>
      </c>
      <c r="O220" s="40"/>
      <c r="P220" s="40"/>
      <c r="Q220" s="40"/>
      <c r="R220" s="40"/>
      <c r="S220" s="40"/>
      <c r="T220" s="40"/>
      <c r="U220" s="18">
        <f t="shared" si="36"/>
        <v>1749.92</v>
      </c>
      <c r="V220" s="38" t="str">
        <f t="shared" si="29"/>
        <v>Normal</v>
      </c>
      <c r="W220" s="18">
        <f t="shared" si="30"/>
        <v>31</v>
      </c>
      <c r="X220" s="40"/>
      <c r="Y220" s="40"/>
      <c r="Z220" s="18">
        <f t="shared" si="31"/>
        <v>3</v>
      </c>
      <c r="AA220" s="18" t="str">
        <f t="shared" si="32"/>
        <v>Repeat</v>
      </c>
      <c r="AB220" s="18" t="str">
        <f t="shared" si="33"/>
        <v>Ruth Brooks</v>
      </c>
      <c r="AC220" s="18" t="str">
        <f t="shared" si="34"/>
        <v>RB</v>
      </c>
      <c r="AD220" s="18" t="str">
        <f t="shared" si="35"/>
        <v>rbrooks@gmail.com</v>
      </c>
    </row>
    <row r="221" spans="1:30" x14ac:dyDescent="0.3">
      <c r="A221" s="41" t="s">
        <v>366</v>
      </c>
      <c r="B221" s="42">
        <v>45711</v>
      </c>
      <c r="C221" s="41" t="s">
        <v>325</v>
      </c>
      <c r="D221" s="41" t="s">
        <v>326</v>
      </c>
      <c r="E221" s="41" t="s">
        <v>44</v>
      </c>
      <c r="F221" s="41" t="s">
        <v>45</v>
      </c>
      <c r="G221" s="41" t="s">
        <v>46</v>
      </c>
      <c r="H221" s="41">
        <v>4</v>
      </c>
      <c r="I221" s="41">
        <v>149.99</v>
      </c>
      <c r="J221" s="41" t="s">
        <v>34</v>
      </c>
      <c r="K221" s="41" t="s">
        <v>40</v>
      </c>
      <c r="L221" s="41" t="s">
        <v>27</v>
      </c>
      <c r="M221" s="42">
        <v>44412</v>
      </c>
      <c r="N221" s="41">
        <f t="shared" si="27"/>
        <v>599.96</v>
      </c>
      <c r="O221" s="40"/>
      <c r="P221" s="40"/>
      <c r="Q221" s="40"/>
      <c r="R221" s="40"/>
      <c r="S221" s="40"/>
      <c r="T221" s="40"/>
      <c r="U221" s="18">
        <f t="shared" si="36"/>
        <v>1559.94</v>
      </c>
      <c r="V221" s="38" t="str">
        <f t="shared" si="29"/>
        <v>Normal</v>
      </c>
      <c r="W221" s="18">
        <f t="shared" si="30"/>
        <v>35</v>
      </c>
      <c r="X221" s="40"/>
      <c r="Y221" s="40"/>
      <c r="Z221" s="18">
        <f t="shared" si="31"/>
        <v>3</v>
      </c>
      <c r="AA221" s="18" t="str">
        <f t="shared" si="32"/>
        <v>Repeat</v>
      </c>
      <c r="AB221" s="18" t="str">
        <f t="shared" si="33"/>
        <v>Arthur Edwards</v>
      </c>
      <c r="AC221" s="18" t="str">
        <f t="shared" si="34"/>
        <v>AE</v>
      </c>
      <c r="AD221" s="18" t="str">
        <f t="shared" si="35"/>
        <v>aedwards@gmail.com</v>
      </c>
    </row>
    <row r="222" spans="1:30" x14ac:dyDescent="0.3">
      <c r="A222" s="41" t="s">
        <v>367</v>
      </c>
      <c r="B222" s="42">
        <v>45711</v>
      </c>
      <c r="C222" s="41" t="s">
        <v>211</v>
      </c>
      <c r="D222" s="41" t="s">
        <v>212</v>
      </c>
      <c r="E222" s="41" t="s">
        <v>117</v>
      </c>
      <c r="F222" s="41" t="s">
        <v>118</v>
      </c>
      <c r="G222" s="41" t="s">
        <v>19</v>
      </c>
      <c r="H222" s="41">
        <v>5</v>
      </c>
      <c r="I222" s="41">
        <v>89.99</v>
      </c>
      <c r="J222" s="41" t="s">
        <v>34</v>
      </c>
      <c r="K222" s="41" t="s">
        <v>50</v>
      </c>
      <c r="L222" s="41" t="s">
        <v>27</v>
      </c>
      <c r="M222" s="42">
        <v>45140</v>
      </c>
      <c r="N222" s="41">
        <f t="shared" si="27"/>
        <v>449.95</v>
      </c>
      <c r="O222" s="40"/>
      <c r="P222" s="40"/>
      <c r="Q222" s="40"/>
      <c r="R222" s="40"/>
      <c r="S222" s="40"/>
      <c r="T222" s="40"/>
      <c r="U222" s="18">
        <f t="shared" si="36"/>
        <v>3649.8599999999997</v>
      </c>
      <c r="V222" s="38" t="str">
        <f t="shared" si="29"/>
        <v>Normal</v>
      </c>
      <c r="W222" s="18">
        <f t="shared" si="30"/>
        <v>34</v>
      </c>
      <c r="X222" s="40"/>
      <c r="Y222" s="40"/>
      <c r="Z222" s="18">
        <f t="shared" si="31"/>
        <v>4</v>
      </c>
      <c r="AA222" s="18" t="str">
        <f t="shared" si="32"/>
        <v>Repeat</v>
      </c>
      <c r="AB222" s="18" t="str">
        <f t="shared" si="33"/>
        <v>Elizabeth Hall</v>
      </c>
      <c r="AC222" s="18" t="str">
        <f t="shared" si="34"/>
        <v>EH</v>
      </c>
      <c r="AD222" s="18" t="str">
        <f t="shared" si="35"/>
        <v>ehall@gmail.com</v>
      </c>
    </row>
    <row r="223" spans="1:30" x14ac:dyDescent="0.3">
      <c r="A223" s="41" t="s">
        <v>368</v>
      </c>
      <c r="B223" s="42">
        <v>45712</v>
      </c>
      <c r="C223" s="41" t="s">
        <v>138</v>
      </c>
      <c r="D223" s="41" t="s">
        <v>139</v>
      </c>
      <c r="E223" s="41" t="s">
        <v>126</v>
      </c>
      <c r="F223" s="41" t="s">
        <v>127</v>
      </c>
      <c r="G223" s="41" t="s">
        <v>46</v>
      </c>
      <c r="H223" s="41">
        <v>2</v>
      </c>
      <c r="I223" s="41">
        <v>199.99</v>
      </c>
      <c r="J223" s="41" t="s">
        <v>20</v>
      </c>
      <c r="K223" s="41" t="s">
        <v>21</v>
      </c>
      <c r="L223" s="41" t="s">
        <v>27</v>
      </c>
      <c r="M223" s="42">
        <v>44573</v>
      </c>
      <c r="N223" s="41">
        <f t="shared" si="27"/>
        <v>399.98</v>
      </c>
      <c r="O223" s="40"/>
      <c r="P223" s="40"/>
      <c r="Q223" s="40"/>
      <c r="R223" s="40"/>
      <c r="S223" s="40"/>
      <c r="T223" s="40"/>
      <c r="U223" s="18">
        <f t="shared" si="36"/>
        <v>2649.83</v>
      </c>
      <c r="V223" s="38" t="str">
        <f t="shared" si="29"/>
        <v>Normal</v>
      </c>
      <c r="W223" s="18">
        <f t="shared" si="30"/>
        <v>15</v>
      </c>
      <c r="X223" s="40"/>
      <c r="Y223" s="40"/>
      <c r="Z223" s="18">
        <f t="shared" si="31"/>
        <v>6</v>
      </c>
      <c r="AA223" s="18" t="str">
        <f t="shared" si="32"/>
        <v>Repeat</v>
      </c>
      <c r="AB223" s="18" t="str">
        <f t="shared" si="33"/>
        <v>Steven Turner</v>
      </c>
      <c r="AC223" s="18" t="str">
        <f t="shared" si="34"/>
        <v>ST</v>
      </c>
      <c r="AD223" s="18" t="str">
        <f t="shared" si="35"/>
        <v>sturner@gmail.com</v>
      </c>
    </row>
    <row r="224" spans="1:30" x14ac:dyDescent="0.3">
      <c r="A224" s="41" t="s">
        <v>369</v>
      </c>
      <c r="B224" s="42">
        <v>45715</v>
      </c>
      <c r="C224" s="41" t="s">
        <v>259</v>
      </c>
      <c r="D224" s="41" t="s">
        <v>260</v>
      </c>
      <c r="E224" s="41" t="s">
        <v>31</v>
      </c>
      <c r="F224" s="41" t="s">
        <v>32</v>
      </c>
      <c r="G224" s="41" t="s">
        <v>33</v>
      </c>
      <c r="H224" s="41">
        <v>4</v>
      </c>
      <c r="I224" s="41">
        <v>59.99</v>
      </c>
      <c r="J224" s="41" t="s">
        <v>20</v>
      </c>
      <c r="K224" s="41" t="s">
        <v>50</v>
      </c>
      <c r="L224" s="41" t="s">
        <v>36</v>
      </c>
      <c r="M224" s="42">
        <v>45070</v>
      </c>
      <c r="N224" s="41">
        <f t="shared" si="27"/>
        <v>239.96</v>
      </c>
      <c r="O224" s="40"/>
      <c r="P224" s="40"/>
      <c r="Q224" s="40"/>
      <c r="R224" s="40"/>
      <c r="S224" s="40"/>
      <c r="T224" s="40"/>
      <c r="U224" s="18">
        <f t="shared" si="36"/>
        <v>739.93000000000006</v>
      </c>
      <c r="V224" s="38" t="str">
        <f t="shared" si="29"/>
        <v>Normal</v>
      </c>
      <c r="W224" s="18">
        <f t="shared" si="30"/>
        <v>29</v>
      </c>
      <c r="X224" s="40"/>
      <c r="Y224" s="40"/>
      <c r="Z224" s="18">
        <f t="shared" si="31"/>
        <v>3</v>
      </c>
      <c r="AA224" s="18" t="str">
        <f t="shared" si="32"/>
        <v>Repeat</v>
      </c>
      <c r="AB224" s="18" t="str">
        <f t="shared" si="33"/>
        <v>Richard Lee</v>
      </c>
      <c r="AC224" s="18" t="str">
        <f t="shared" si="34"/>
        <v>RL</v>
      </c>
      <c r="AD224" s="18" t="str">
        <f t="shared" si="35"/>
        <v>rlee@gmail.com</v>
      </c>
    </row>
    <row r="225" spans="1:30" x14ac:dyDescent="0.3">
      <c r="A225" s="41" t="s">
        <v>370</v>
      </c>
      <c r="B225" s="42">
        <v>45715</v>
      </c>
      <c r="C225" s="41" t="s">
        <v>93</v>
      </c>
      <c r="D225" s="41" t="s">
        <v>94</v>
      </c>
      <c r="E225" s="41" t="s">
        <v>105</v>
      </c>
      <c r="F225" s="41" t="s">
        <v>106</v>
      </c>
      <c r="G225" s="41" t="s">
        <v>46</v>
      </c>
      <c r="H225" s="41">
        <v>2</v>
      </c>
      <c r="I225" s="41">
        <v>299.99</v>
      </c>
      <c r="J225" s="41" t="s">
        <v>34</v>
      </c>
      <c r="K225" s="41" t="s">
        <v>35</v>
      </c>
      <c r="L225" s="41" t="s">
        <v>22</v>
      </c>
      <c r="M225" s="42">
        <v>44576</v>
      </c>
      <c r="N225" s="41">
        <f t="shared" si="27"/>
        <v>599.98</v>
      </c>
      <c r="O225" s="40"/>
      <c r="P225" s="40"/>
      <c r="Q225" s="40"/>
      <c r="R225" s="40"/>
      <c r="S225" s="40"/>
      <c r="T225" s="40"/>
      <c r="U225" s="18">
        <f t="shared" si="36"/>
        <v>4789.7900000000009</v>
      </c>
      <c r="V225" s="38" t="str">
        <f t="shared" si="29"/>
        <v>Normal</v>
      </c>
      <c r="W225" s="18">
        <f t="shared" si="30"/>
        <v>26</v>
      </c>
      <c r="X225" s="40"/>
      <c r="Y225" s="40"/>
      <c r="Z225" s="18">
        <f t="shared" si="31"/>
        <v>6</v>
      </c>
      <c r="AA225" s="18" t="str">
        <f t="shared" si="32"/>
        <v>Repeat</v>
      </c>
      <c r="AB225" s="18" t="str">
        <f t="shared" si="33"/>
        <v>Virginia Sanders</v>
      </c>
      <c r="AC225" s="18" t="str">
        <f t="shared" si="34"/>
        <v>VS</v>
      </c>
      <c r="AD225" s="18" t="str">
        <f t="shared" si="35"/>
        <v>vsanders@gmail.com</v>
      </c>
    </row>
    <row r="226" spans="1:30" x14ac:dyDescent="0.3">
      <c r="A226" s="41" t="s">
        <v>371</v>
      </c>
      <c r="B226" s="42">
        <v>45718</v>
      </c>
      <c r="C226" s="41" t="s">
        <v>55</v>
      </c>
      <c r="D226" s="41" t="s">
        <v>56</v>
      </c>
      <c r="E226" s="41" t="s">
        <v>44</v>
      </c>
      <c r="F226" s="41" t="s">
        <v>45</v>
      </c>
      <c r="G226" s="41" t="s">
        <v>46</v>
      </c>
      <c r="H226" s="41">
        <v>2</v>
      </c>
      <c r="I226" s="41">
        <v>149.99</v>
      </c>
      <c r="J226" s="41" t="s">
        <v>20</v>
      </c>
      <c r="K226" s="41" t="s">
        <v>21</v>
      </c>
      <c r="L226" s="41" t="s">
        <v>22</v>
      </c>
      <c r="M226" s="42">
        <v>45068</v>
      </c>
      <c r="N226" s="41">
        <f t="shared" si="27"/>
        <v>299.98</v>
      </c>
      <c r="O226" s="40"/>
      <c r="P226" s="40"/>
      <c r="Q226" s="40"/>
      <c r="R226" s="40"/>
      <c r="S226" s="40"/>
      <c r="T226" s="40"/>
      <c r="U226" s="18">
        <f t="shared" si="36"/>
        <v>5089.7300000000005</v>
      </c>
      <c r="V226" s="38" t="str">
        <f t="shared" si="29"/>
        <v>Normal</v>
      </c>
      <c r="W226" s="18">
        <f t="shared" si="30"/>
        <v>35</v>
      </c>
      <c r="X226" s="40"/>
      <c r="Y226" s="40"/>
      <c r="Z226" s="18">
        <f t="shared" si="31"/>
        <v>9</v>
      </c>
      <c r="AA226" s="18" t="str">
        <f t="shared" si="32"/>
        <v>Repeat</v>
      </c>
      <c r="AB226" s="18" t="str">
        <f t="shared" si="33"/>
        <v>Charles Allen</v>
      </c>
      <c r="AC226" s="18" t="str">
        <f t="shared" si="34"/>
        <v>CA</v>
      </c>
      <c r="AD226" s="18" t="str">
        <f t="shared" si="35"/>
        <v>callen@gmail.com</v>
      </c>
    </row>
    <row r="227" spans="1:30" x14ac:dyDescent="0.3">
      <c r="A227" s="41" t="s">
        <v>372</v>
      </c>
      <c r="B227" s="42">
        <v>45720</v>
      </c>
      <c r="C227" s="41" t="s">
        <v>226</v>
      </c>
      <c r="D227" s="41" t="s">
        <v>227</v>
      </c>
      <c r="E227" s="41" t="s">
        <v>80</v>
      </c>
      <c r="F227" s="41" t="s">
        <v>81</v>
      </c>
      <c r="G227" s="41" t="s">
        <v>19</v>
      </c>
      <c r="H227" s="41">
        <v>5</v>
      </c>
      <c r="I227" s="41">
        <v>699.99</v>
      </c>
      <c r="J227" s="41" t="s">
        <v>57</v>
      </c>
      <c r="K227" s="41" t="s">
        <v>63</v>
      </c>
      <c r="L227" s="41" t="s">
        <v>27</v>
      </c>
      <c r="M227" s="42">
        <v>45161</v>
      </c>
      <c r="N227" s="41">
        <f t="shared" si="27"/>
        <v>3499.95</v>
      </c>
      <c r="O227" s="40"/>
      <c r="P227" s="40"/>
      <c r="Q227" s="40"/>
      <c r="R227" s="40"/>
      <c r="S227" s="40"/>
      <c r="T227" s="40"/>
      <c r="U227" s="18">
        <f t="shared" si="36"/>
        <v>6989.7699999999986</v>
      </c>
      <c r="V227" s="38" t="str">
        <f t="shared" si="29"/>
        <v>Normal</v>
      </c>
      <c r="W227" s="18">
        <f t="shared" si="30"/>
        <v>31</v>
      </c>
      <c r="X227" s="40"/>
      <c r="Y227" s="40"/>
      <c r="Z227" s="18">
        <f t="shared" si="31"/>
        <v>8</v>
      </c>
      <c r="AA227" s="18" t="str">
        <f t="shared" si="32"/>
        <v>Repeat</v>
      </c>
      <c r="AB227" s="18" t="str">
        <f t="shared" si="33"/>
        <v>Lawrence Reed</v>
      </c>
      <c r="AC227" s="18" t="str">
        <f t="shared" si="34"/>
        <v>LR</v>
      </c>
      <c r="AD227" s="18" t="str">
        <f t="shared" si="35"/>
        <v>lreed@gmail.com</v>
      </c>
    </row>
    <row r="228" spans="1:30" x14ac:dyDescent="0.3">
      <c r="A228" s="41" t="s">
        <v>373</v>
      </c>
      <c r="B228" s="42">
        <v>45721</v>
      </c>
      <c r="C228" s="41" t="s">
        <v>75</v>
      </c>
      <c r="D228" s="41" t="s">
        <v>76</v>
      </c>
      <c r="E228" s="41" t="s">
        <v>31</v>
      </c>
      <c r="F228" s="41" t="s">
        <v>32</v>
      </c>
      <c r="G228" s="41" t="s">
        <v>33</v>
      </c>
      <c r="H228" s="41">
        <v>5</v>
      </c>
      <c r="I228" s="41">
        <v>59.99</v>
      </c>
      <c r="J228" s="41" t="s">
        <v>20</v>
      </c>
      <c r="K228" s="41" t="s">
        <v>50</v>
      </c>
      <c r="L228" s="41" t="s">
        <v>27</v>
      </c>
      <c r="M228" s="42">
        <v>45291</v>
      </c>
      <c r="N228" s="41">
        <f t="shared" si="27"/>
        <v>299.95</v>
      </c>
      <c r="O228" s="40"/>
      <c r="P228" s="40"/>
      <c r="Q228" s="40"/>
      <c r="R228" s="40"/>
      <c r="S228" s="40"/>
      <c r="T228" s="40"/>
      <c r="U228" s="18">
        <f t="shared" si="36"/>
        <v>479.91999999999996</v>
      </c>
      <c r="V228" s="38" t="str">
        <f t="shared" si="29"/>
        <v>Normal</v>
      </c>
      <c r="W228" s="18">
        <f t="shared" si="30"/>
        <v>29</v>
      </c>
      <c r="X228" s="40"/>
      <c r="Y228" s="40"/>
      <c r="Z228" s="18">
        <f t="shared" si="31"/>
        <v>2</v>
      </c>
      <c r="AA228" s="18" t="str">
        <f t="shared" si="32"/>
        <v>Repeat</v>
      </c>
      <c r="AB228" s="18" t="str">
        <f t="shared" si="33"/>
        <v>Dennis Gray</v>
      </c>
      <c r="AC228" s="18" t="str">
        <f t="shared" si="34"/>
        <v>DG</v>
      </c>
      <c r="AD228" s="18" t="str">
        <f t="shared" si="35"/>
        <v>dgray@gmail.com</v>
      </c>
    </row>
    <row r="229" spans="1:30" x14ac:dyDescent="0.3">
      <c r="A229" s="41" t="s">
        <v>374</v>
      </c>
      <c r="B229" s="42">
        <v>45723</v>
      </c>
      <c r="C229" s="41" t="s">
        <v>15</v>
      </c>
      <c r="D229" s="41" t="s">
        <v>16</v>
      </c>
      <c r="E229" s="41" t="s">
        <v>117</v>
      </c>
      <c r="F229" s="41" t="s">
        <v>118</v>
      </c>
      <c r="G229" s="41" t="s">
        <v>19</v>
      </c>
      <c r="H229" s="41">
        <v>2</v>
      </c>
      <c r="I229" s="41">
        <v>89.99</v>
      </c>
      <c r="J229" s="41" t="s">
        <v>26</v>
      </c>
      <c r="K229" s="41" t="s">
        <v>50</v>
      </c>
      <c r="L229" s="41" t="s">
        <v>27</v>
      </c>
      <c r="M229" s="42">
        <v>45295</v>
      </c>
      <c r="N229" s="41">
        <f t="shared" si="27"/>
        <v>179.98</v>
      </c>
      <c r="O229" s="40"/>
      <c r="P229" s="40"/>
      <c r="Q229" s="40"/>
      <c r="R229" s="40"/>
      <c r="S229" s="40"/>
      <c r="T229" s="40"/>
      <c r="U229" s="18">
        <f t="shared" si="36"/>
        <v>13809.790000000006</v>
      </c>
      <c r="V229" s="38" t="str">
        <f t="shared" si="29"/>
        <v>High Value</v>
      </c>
      <c r="W229" s="18">
        <f t="shared" si="30"/>
        <v>34</v>
      </c>
      <c r="X229" s="40"/>
      <c r="Y229" s="40"/>
      <c r="Z229" s="18">
        <f t="shared" si="31"/>
        <v>8</v>
      </c>
      <c r="AA229" s="18" t="str">
        <f t="shared" si="32"/>
        <v>Repeat</v>
      </c>
      <c r="AB229" s="18" t="str">
        <f t="shared" si="33"/>
        <v>Paul Baker</v>
      </c>
      <c r="AC229" s="18" t="str">
        <f t="shared" si="34"/>
        <v>PB</v>
      </c>
      <c r="AD229" s="18" t="str">
        <f t="shared" si="35"/>
        <v>pbaker@gmail.com</v>
      </c>
    </row>
    <row r="230" spans="1:30" x14ac:dyDescent="0.3">
      <c r="A230" s="41" t="s">
        <v>375</v>
      </c>
      <c r="B230" s="42">
        <v>45723</v>
      </c>
      <c r="C230" s="41" t="s">
        <v>120</v>
      </c>
      <c r="D230" s="41" t="s">
        <v>121</v>
      </c>
      <c r="E230" s="41" t="s">
        <v>17</v>
      </c>
      <c r="F230" s="41" t="s">
        <v>18</v>
      </c>
      <c r="G230" s="41" t="s">
        <v>19</v>
      </c>
      <c r="H230" s="41">
        <v>5</v>
      </c>
      <c r="I230" s="41">
        <v>249.99</v>
      </c>
      <c r="J230" s="41" t="s">
        <v>20</v>
      </c>
      <c r="K230" s="41" t="s">
        <v>63</v>
      </c>
      <c r="L230" s="41" t="s">
        <v>36</v>
      </c>
      <c r="M230" s="42">
        <v>44540</v>
      </c>
      <c r="N230" s="41">
        <f t="shared" si="27"/>
        <v>1249.95</v>
      </c>
      <c r="O230" s="40"/>
      <c r="P230" s="40"/>
      <c r="Q230" s="40"/>
      <c r="R230" s="40"/>
      <c r="S230" s="40"/>
      <c r="T230" s="40"/>
      <c r="U230" s="18">
        <f t="shared" si="36"/>
        <v>6459.79</v>
      </c>
      <c r="V230" s="38" t="str">
        <f t="shared" si="29"/>
        <v>Normal</v>
      </c>
      <c r="W230" s="18">
        <f t="shared" si="30"/>
        <v>26</v>
      </c>
      <c r="X230" s="40"/>
      <c r="Y230" s="40"/>
      <c r="Z230" s="18">
        <f t="shared" si="31"/>
        <v>7</v>
      </c>
      <c r="AA230" s="18" t="str">
        <f t="shared" si="32"/>
        <v>Repeat</v>
      </c>
      <c r="AB230" s="18" t="str">
        <f t="shared" si="33"/>
        <v>Helen Roberts</v>
      </c>
      <c r="AC230" s="18" t="str">
        <f t="shared" si="34"/>
        <v>HR</v>
      </c>
      <c r="AD230" s="18" t="str">
        <f t="shared" si="35"/>
        <v>hroberts@gmail.com</v>
      </c>
    </row>
    <row r="231" spans="1:30" x14ac:dyDescent="0.3">
      <c r="A231" s="41" t="s">
        <v>376</v>
      </c>
      <c r="B231" s="42">
        <v>45724</v>
      </c>
      <c r="C231" s="41" t="s">
        <v>226</v>
      </c>
      <c r="D231" s="41" t="s">
        <v>227</v>
      </c>
      <c r="E231" s="41" t="s">
        <v>44</v>
      </c>
      <c r="F231" s="41" t="s">
        <v>45</v>
      </c>
      <c r="G231" s="41" t="s">
        <v>46</v>
      </c>
      <c r="H231" s="41">
        <v>2</v>
      </c>
      <c r="I231" s="41">
        <v>149.99</v>
      </c>
      <c r="J231" s="41" t="s">
        <v>34</v>
      </c>
      <c r="K231" s="41" t="s">
        <v>21</v>
      </c>
      <c r="L231" s="41" t="s">
        <v>27</v>
      </c>
      <c r="M231" s="42">
        <v>44632</v>
      </c>
      <c r="N231" s="41">
        <f t="shared" si="27"/>
        <v>299.98</v>
      </c>
      <c r="O231" s="40"/>
      <c r="P231" s="40"/>
      <c r="Q231" s="40"/>
      <c r="R231" s="40"/>
      <c r="S231" s="40"/>
      <c r="T231" s="40"/>
      <c r="U231" s="18">
        <f t="shared" si="36"/>
        <v>6989.7699999999986</v>
      </c>
      <c r="V231" s="38" t="str">
        <f t="shared" si="29"/>
        <v>Normal</v>
      </c>
      <c r="W231" s="18">
        <f t="shared" si="30"/>
        <v>35</v>
      </c>
      <c r="X231" s="40"/>
      <c r="Y231" s="40"/>
      <c r="Z231" s="18">
        <f t="shared" si="31"/>
        <v>8</v>
      </c>
      <c r="AA231" s="18" t="str">
        <f t="shared" si="32"/>
        <v>Repeat</v>
      </c>
      <c r="AB231" s="18" t="str">
        <f t="shared" si="33"/>
        <v>Lawrence Reed</v>
      </c>
      <c r="AC231" s="18" t="str">
        <f t="shared" si="34"/>
        <v>LR</v>
      </c>
      <c r="AD231" s="18" t="str">
        <f t="shared" si="35"/>
        <v>lreed@gmail.com</v>
      </c>
    </row>
    <row r="232" spans="1:30" x14ac:dyDescent="0.3">
      <c r="A232" s="41" t="s">
        <v>377</v>
      </c>
      <c r="B232" s="42">
        <v>45724</v>
      </c>
      <c r="C232" s="41" t="s">
        <v>144</v>
      </c>
      <c r="D232" s="41" t="s">
        <v>145</v>
      </c>
      <c r="E232" s="41" t="s">
        <v>61</v>
      </c>
      <c r="F232" s="41" t="s">
        <v>62</v>
      </c>
      <c r="G232" s="41" t="s">
        <v>19</v>
      </c>
      <c r="H232" s="41">
        <v>5</v>
      </c>
      <c r="I232" s="41">
        <v>899.99</v>
      </c>
      <c r="J232" s="41" t="s">
        <v>34</v>
      </c>
      <c r="K232" s="41" t="s">
        <v>63</v>
      </c>
      <c r="L232" s="41" t="s">
        <v>27</v>
      </c>
      <c r="M232" s="42">
        <v>45389</v>
      </c>
      <c r="N232" s="41">
        <f t="shared" si="27"/>
        <v>4499.95</v>
      </c>
      <c r="O232" s="40"/>
      <c r="P232" s="40"/>
      <c r="Q232" s="40"/>
      <c r="R232" s="40"/>
      <c r="S232" s="40"/>
      <c r="T232" s="40"/>
      <c r="U232" s="18">
        <f t="shared" si="36"/>
        <v>5519.8899999999994</v>
      </c>
      <c r="V232" s="38" t="str">
        <f t="shared" si="29"/>
        <v>Normal</v>
      </c>
      <c r="W232" s="18">
        <f t="shared" si="30"/>
        <v>24</v>
      </c>
      <c r="X232" s="40"/>
      <c r="Y232" s="40"/>
      <c r="Z232" s="18">
        <f t="shared" si="31"/>
        <v>4</v>
      </c>
      <c r="AA232" s="18" t="str">
        <f t="shared" si="32"/>
        <v>Repeat</v>
      </c>
      <c r="AB232" s="18" t="str">
        <f t="shared" si="33"/>
        <v>Harry Morgan</v>
      </c>
      <c r="AC232" s="18" t="str">
        <f t="shared" si="34"/>
        <v>HM</v>
      </c>
      <c r="AD232" s="18" t="str">
        <f t="shared" si="35"/>
        <v>hmorgan@gmail.com</v>
      </c>
    </row>
    <row r="233" spans="1:30" x14ac:dyDescent="0.3">
      <c r="A233" s="41" t="s">
        <v>378</v>
      </c>
      <c r="B233" s="42">
        <v>45724</v>
      </c>
      <c r="C233" s="41" t="s">
        <v>55</v>
      </c>
      <c r="D233" s="41" t="s">
        <v>56</v>
      </c>
      <c r="E233" s="41" t="s">
        <v>44</v>
      </c>
      <c r="F233" s="41" t="s">
        <v>45</v>
      </c>
      <c r="G233" s="41" t="s">
        <v>46</v>
      </c>
      <c r="H233" s="41">
        <v>4</v>
      </c>
      <c r="I233" s="41">
        <v>149.99</v>
      </c>
      <c r="J233" s="41" t="s">
        <v>20</v>
      </c>
      <c r="K233" s="41" t="s">
        <v>21</v>
      </c>
      <c r="L233" s="41" t="s">
        <v>36</v>
      </c>
      <c r="M233" s="42">
        <v>45263</v>
      </c>
      <c r="N233" s="41">
        <f t="shared" si="27"/>
        <v>599.96</v>
      </c>
      <c r="O233" s="40"/>
      <c r="P233" s="40"/>
      <c r="Q233" s="40"/>
      <c r="R233" s="40"/>
      <c r="S233" s="40"/>
      <c r="T233" s="40"/>
      <c r="U233" s="18">
        <f t="shared" si="36"/>
        <v>5089.7300000000005</v>
      </c>
      <c r="V233" s="38" t="str">
        <f t="shared" si="29"/>
        <v>Normal</v>
      </c>
      <c r="W233" s="18">
        <f t="shared" si="30"/>
        <v>35</v>
      </c>
      <c r="X233" s="40"/>
      <c r="Y233" s="40"/>
      <c r="Z233" s="18">
        <f t="shared" si="31"/>
        <v>9</v>
      </c>
      <c r="AA233" s="18" t="str">
        <f t="shared" si="32"/>
        <v>Repeat</v>
      </c>
      <c r="AB233" s="18" t="str">
        <f t="shared" si="33"/>
        <v>Charles Allen</v>
      </c>
      <c r="AC233" s="18" t="str">
        <f t="shared" si="34"/>
        <v>CA</v>
      </c>
      <c r="AD233" s="18" t="str">
        <f t="shared" si="35"/>
        <v>callen@gmail.com</v>
      </c>
    </row>
    <row r="234" spans="1:30" x14ac:dyDescent="0.3">
      <c r="A234" s="41" t="s">
        <v>379</v>
      </c>
      <c r="B234" s="42">
        <v>45726</v>
      </c>
      <c r="C234" s="41" t="s">
        <v>144</v>
      </c>
      <c r="D234" s="41" t="s">
        <v>145</v>
      </c>
      <c r="E234" s="41" t="s">
        <v>17</v>
      </c>
      <c r="F234" s="41" t="s">
        <v>18</v>
      </c>
      <c r="G234" s="41" t="s">
        <v>19</v>
      </c>
      <c r="H234" s="41">
        <v>1</v>
      </c>
      <c r="I234" s="41">
        <v>249.99</v>
      </c>
      <c r="J234" s="41" t="s">
        <v>20</v>
      </c>
      <c r="K234" s="41" t="s">
        <v>40</v>
      </c>
      <c r="L234" s="41" t="s">
        <v>36</v>
      </c>
      <c r="M234" s="42">
        <v>45117</v>
      </c>
      <c r="N234" s="41">
        <f t="shared" si="27"/>
        <v>249.99</v>
      </c>
      <c r="O234" s="40"/>
      <c r="P234" s="40"/>
      <c r="Q234" s="40"/>
      <c r="R234" s="40"/>
      <c r="S234" s="40"/>
      <c r="T234" s="40"/>
      <c r="U234" s="18">
        <f t="shared" si="36"/>
        <v>5519.8899999999994</v>
      </c>
      <c r="V234" s="38" t="str">
        <f t="shared" si="29"/>
        <v>Normal</v>
      </c>
      <c r="W234" s="18">
        <f t="shared" si="30"/>
        <v>26</v>
      </c>
      <c r="X234" s="40"/>
      <c r="Y234" s="40"/>
      <c r="Z234" s="18">
        <f t="shared" si="31"/>
        <v>4</v>
      </c>
      <c r="AA234" s="18" t="str">
        <f t="shared" si="32"/>
        <v>Repeat</v>
      </c>
      <c r="AB234" s="18" t="str">
        <f t="shared" si="33"/>
        <v>Harry Morgan</v>
      </c>
      <c r="AC234" s="18" t="str">
        <f t="shared" si="34"/>
        <v>HM</v>
      </c>
      <c r="AD234" s="18" t="str">
        <f t="shared" si="35"/>
        <v>hmorgan@gmail.com</v>
      </c>
    </row>
    <row r="235" spans="1:30" x14ac:dyDescent="0.3">
      <c r="A235" s="41" t="s">
        <v>380</v>
      </c>
      <c r="B235" s="42">
        <v>45734</v>
      </c>
      <c r="C235" s="41" t="s">
        <v>192</v>
      </c>
      <c r="D235" s="41" t="s">
        <v>193</v>
      </c>
      <c r="E235" s="41" t="s">
        <v>31</v>
      </c>
      <c r="F235" s="41" t="s">
        <v>32</v>
      </c>
      <c r="G235" s="41" t="s">
        <v>33</v>
      </c>
      <c r="H235" s="41">
        <v>2</v>
      </c>
      <c r="I235" s="41">
        <v>59.99</v>
      </c>
      <c r="J235" s="41" t="s">
        <v>26</v>
      </c>
      <c r="K235" s="41" t="s">
        <v>50</v>
      </c>
      <c r="L235" s="41" t="s">
        <v>22</v>
      </c>
      <c r="M235" s="42">
        <v>45193</v>
      </c>
      <c r="N235" s="41">
        <f t="shared" si="27"/>
        <v>119.98</v>
      </c>
      <c r="O235" s="40"/>
      <c r="P235" s="40"/>
      <c r="Q235" s="40"/>
      <c r="R235" s="40"/>
      <c r="S235" s="40"/>
      <c r="T235" s="40"/>
      <c r="U235" s="18">
        <f t="shared" si="36"/>
        <v>1479.91</v>
      </c>
      <c r="V235" s="38" t="str">
        <f t="shared" si="29"/>
        <v>Normal</v>
      </c>
      <c r="W235" s="18">
        <f t="shared" si="30"/>
        <v>29</v>
      </c>
      <c r="X235" s="40"/>
      <c r="Y235" s="40"/>
      <c r="Z235" s="18">
        <f t="shared" si="31"/>
        <v>5</v>
      </c>
      <c r="AA235" s="18" t="str">
        <f t="shared" si="32"/>
        <v>Repeat</v>
      </c>
      <c r="AB235" s="18" t="str">
        <f t="shared" si="33"/>
        <v>Frank Torres</v>
      </c>
      <c r="AC235" s="18" t="str">
        <f t="shared" si="34"/>
        <v>FT</v>
      </c>
      <c r="AD235" s="18" t="str">
        <f t="shared" si="35"/>
        <v>ftorres@gmail.com</v>
      </c>
    </row>
    <row r="236" spans="1:30" x14ac:dyDescent="0.3">
      <c r="A236" s="41" t="s">
        <v>381</v>
      </c>
      <c r="B236" s="42">
        <v>45737</v>
      </c>
      <c r="C236" s="41" t="s">
        <v>132</v>
      </c>
      <c r="D236" s="41" t="s">
        <v>133</v>
      </c>
      <c r="E236" s="41" t="s">
        <v>44</v>
      </c>
      <c r="F236" s="41" t="s">
        <v>45</v>
      </c>
      <c r="G236" s="41" t="s">
        <v>46</v>
      </c>
      <c r="H236" s="41">
        <v>2</v>
      </c>
      <c r="I236" s="41">
        <v>149.99</v>
      </c>
      <c r="J236" s="41" t="s">
        <v>20</v>
      </c>
      <c r="K236" s="41" t="s">
        <v>50</v>
      </c>
      <c r="L236" s="41" t="s">
        <v>27</v>
      </c>
      <c r="M236" s="42">
        <v>45233</v>
      </c>
      <c r="N236" s="41">
        <f t="shared" si="27"/>
        <v>299.98</v>
      </c>
      <c r="O236" s="40"/>
      <c r="P236" s="40"/>
      <c r="Q236" s="40"/>
      <c r="R236" s="40"/>
      <c r="S236" s="40"/>
      <c r="T236" s="40"/>
      <c r="U236" s="18">
        <f t="shared" si="36"/>
        <v>1229.8800000000001</v>
      </c>
      <c r="V236" s="38" t="str">
        <f t="shared" si="29"/>
        <v>Normal</v>
      </c>
      <c r="W236" s="18">
        <f t="shared" si="30"/>
        <v>35</v>
      </c>
      <c r="X236" s="40"/>
      <c r="Y236" s="40"/>
      <c r="Z236" s="18">
        <f t="shared" si="31"/>
        <v>5</v>
      </c>
      <c r="AA236" s="18" t="str">
        <f t="shared" si="32"/>
        <v>Repeat</v>
      </c>
      <c r="AB236" s="18" t="str">
        <f t="shared" si="33"/>
        <v>Emma Wilson</v>
      </c>
      <c r="AC236" s="18" t="str">
        <f t="shared" si="34"/>
        <v>EW</v>
      </c>
      <c r="AD236" s="18" t="str">
        <f t="shared" si="35"/>
        <v>ewilson@gmail.com</v>
      </c>
    </row>
    <row r="237" spans="1:30" x14ac:dyDescent="0.3">
      <c r="A237" s="41" t="s">
        <v>382</v>
      </c>
      <c r="B237" s="42">
        <v>45737</v>
      </c>
      <c r="C237" s="41" t="s">
        <v>150</v>
      </c>
      <c r="D237" s="41" t="s">
        <v>151</v>
      </c>
      <c r="E237" s="41" t="s">
        <v>61</v>
      </c>
      <c r="F237" s="41" t="s">
        <v>62</v>
      </c>
      <c r="G237" s="41" t="s">
        <v>19</v>
      </c>
      <c r="H237" s="41">
        <v>3</v>
      </c>
      <c r="I237" s="41">
        <v>899.99</v>
      </c>
      <c r="J237" s="41" t="s">
        <v>57</v>
      </c>
      <c r="K237" s="41" t="s">
        <v>40</v>
      </c>
      <c r="L237" s="41" t="s">
        <v>27</v>
      </c>
      <c r="M237" s="42">
        <v>44876</v>
      </c>
      <c r="N237" s="41">
        <f t="shared" si="27"/>
        <v>2699.9700000000003</v>
      </c>
      <c r="O237" s="40"/>
      <c r="P237" s="40"/>
      <c r="Q237" s="40"/>
      <c r="R237" s="40"/>
      <c r="S237" s="40"/>
      <c r="T237" s="40"/>
      <c r="U237" s="18">
        <f t="shared" si="36"/>
        <v>5619.87</v>
      </c>
      <c r="V237" s="38" t="str">
        <f t="shared" si="29"/>
        <v>Normal</v>
      </c>
      <c r="W237" s="18">
        <f t="shared" si="30"/>
        <v>24</v>
      </c>
      <c r="X237" s="40"/>
      <c r="Y237" s="40"/>
      <c r="Z237" s="18">
        <f t="shared" si="31"/>
        <v>6</v>
      </c>
      <c r="AA237" s="18" t="str">
        <f t="shared" si="32"/>
        <v>Repeat</v>
      </c>
      <c r="AB237" s="18" t="str">
        <f t="shared" si="33"/>
        <v>Sharon Butler</v>
      </c>
      <c r="AC237" s="18" t="str">
        <f t="shared" si="34"/>
        <v>SB</v>
      </c>
      <c r="AD237" s="18" t="str">
        <f t="shared" si="35"/>
        <v>sbutler@gmail.com</v>
      </c>
    </row>
    <row r="238" spans="1:30" x14ac:dyDescent="0.3">
      <c r="A238" s="41" t="s">
        <v>383</v>
      </c>
      <c r="B238" s="42">
        <v>45737</v>
      </c>
      <c r="C238" s="41" t="s">
        <v>48</v>
      </c>
      <c r="D238" s="41" t="s">
        <v>49</v>
      </c>
      <c r="E238" s="41" t="s">
        <v>61</v>
      </c>
      <c r="F238" s="41" t="s">
        <v>62</v>
      </c>
      <c r="G238" s="41" t="s">
        <v>19</v>
      </c>
      <c r="H238" s="41">
        <v>3</v>
      </c>
      <c r="I238" s="41">
        <v>899.99</v>
      </c>
      <c r="J238" s="41" t="s">
        <v>34</v>
      </c>
      <c r="K238" s="41" t="s">
        <v>40</v>
      </c>
      <c r="L238" s="41" t="s">
        <v>22</v>
      </c>
      <c r="M238" s="42">
        <v>44975</v>
      </c>
      <c r="N238" s="41">
        <f t="shared" si="27"/>
        <v>2699.9700000000003</v>
      </c>
      <c r="O238" s="40"/>
      <c r="P238" s="40"/>
      <c r="Q238" s="40"/>
      <c r="R238" s="40"/>
      <c r="S238" s="40"/>
      <c r="T238" s="40"/>
      <c r="U238" s="18">
        <f t="shared" si="36"/>
        <v>8269.7900000000009</v>
      </c>
      <c r="V238" s="38" t="str">
        <f t="shared" si="29"/>
        <v>Normal</v>
      </c>
      <c r="W238" s="18">
        <f t="shared" si="30"/>
        <v>24</v>
      </c>
      <c r="X238" s="40"/>
      <c r="Y238" s="40"/>
      <c r="Z238" s="18">
        <f t="shared" si="31"/>
        <v>6</v>
      </c>
      <c r="AA238" s="18" t="str">
        <f t="shared" si="32"/>
        <v>Repeat</v>
      </c>
      <c r="AB238" s="18" t="str">
        <f t="shared" si="33"/>
        <v>Dorothy Nelson</v>
      </c>
      <c r="AC238" s="18" t="str">
        <f t="shared" si="34"/>
        <v>DN</v>
      </c>
      <c r="AD238" s="18" t="str">
        <f t="shared" si="35"/>
        <v>dnelson@gmail.com</v>
      </c>
    </row>
    <row r="239" spans="1:30" x14ac:dyDescent="0.3">
      <c r="A239" s="41" t="s">
        <v>384</v>
      </c>
      <c r="B239" s="42">
        <v>45739</v>
      </c>
      <c r="C239" s="41" t="s">
        <v>15</v>
      </c>
      <c r="D239" s="41" t="s">
        <v>16</v>
      </c>
      <c r="E239" s="41" t="s">
        <v>105</v>
      </c>
      <c r="F239" s="41" t="s">
        <v>106</v>
      </c>
      <c r="G239" s="41" t="s">
        <v>46</v>
      </c>
      <c r="H239" s="41">
        <v>3</v>
      </c>
      <c r="I239" s="41">
        <v>299.99</v>
      </c>
      <c r="J239" s="41" t="s">
        <v>26</v>
      </c>
      <c r="K239" s="41" t="s">
        <v>50</v>
      </c>
      <c r="L239" s="41" t="s">
        <v>27</v>
      </c>
      <c r="M239" s="42">
        <v>45234</v>
      </c>
      <c r="N239" s="41">
        <f t="shared" si="27"/>
        <v>899.97</v>
      </c>
      <c r="O239" s="40"/>
      <c r="P239" s="40"/>
      <c r="Q239" s="40"/>
      <c r="R239" s="40"/>
      <c r="S239" s="40"/>
      <c r="T239" s="40"/>
      <c r="U239" s="18">
        <f t="shared" si="36"/>
        <v>13809.790000000006</v>
      </c>
      <c r="V239" s="38" t="str">
        <f t="shared" si="29"/>
        <v>High Value</v>
      </c>
      <c r="W239" s="18">
        <f t="shared" si="30"/>
        <v>26</v>
      </c>
      <c r="X239" s="40"/>
      <c r="Y239" s="40"/>
      <c r="Z239" s="18">
        <f t="shared" si="31"/>
        <v>8</v>
      </c>
      <c r="AA239" s="18" t="str">
        <f t="shared" si="32"/>
        <v>Repeat</v>
      </c>
      <c r="AB239" s="18" t="str">
        <f t="shared" si="33"/>
        <v>Paul Baker</v>
      </c>
      <c r="AC239" s="18" t="str">
        <f t="shared" si="34"/>
        <v>PB</v>
      </c>
      <c r="AD239" s="18" t="str">
        <f t="shared" si="35"/>
        <v>pbaker@gmail.com</v>
      </c>
    </row>
    <row r="240" spans="1:30" x14ac:dyDescent="0.3">
      <c r="A240" s="41" t="s">
        <v>385</v>
      </c>
      <c r="B240" s="42">
        <v>45740</v>
      </c>
      <c r="C240" s="41" t="s">
        <v>386</v>
      </c>
      <c r="D240" s="41" t="s">
        <v>387</v>
      </c>
      <c r="E240" s="41" t="s">
        <v>44</v>
      </c>
      <c r="F240" s="41" t="s">
        <v>45</v>
      </c>
      <c r="G240" s="41" t="s">
        <v>46</v>
      </c>
      <c r="H240" s="41">
        <v>4</v>
      </c>
      <c r="I240" s="41">
        <v>149.99</v>
      </c>
      <c r="J240" s="41" t="s">
        <v>34</v>
      </c>
      <c r="K240" s="41" t="s">
        <v>50</v>
      </c>
      <c r="L240" s="41" t="s">
        <v>36</v>
      </c>
      <c r="M240" s="42">
        <v>44560</v>
      </c>
      <c r="N240" s="41">
        <f t="shared" si="27"/>
        <v>599.96</v>
      </c>
      <c r="O240" s="40"/>
      <c r="P240" s="40"/>
      <c r="Q240" s="40"/>
      <c r="R240" s="40"/>
      <c r="S240" s="40"/>
      <c r="T240" s="40"/>
      <c r="U240" s="18">
        <f t="shared" si="36"/>
        <v>599.96</v>
      </c>
      <c r="V240" s="38" t="str">
        <f t="shared" si="29"/>
        <v>Normal</v>
      </c>
      <c r="W240" s="18">
        <f t="shared" si="30"/>
        <v>35</v>
      </c>
      <c r="X240" s="40"/>
      <c r="Y240" s="40"/>
      <c r="Z240" s="18">
        <f t="shared" si="31"/>
        <v>1</v>
      </c>
      <c r="AA240" s="18" t="str">
        <f t="shared" si="32"/>
        <v>Unique</v>
      </c>
      <c r="AB240" s="18" t="str">
        <f t="shared" si="33"/>
        <v/>
      </c>
      <c r="AC240" s="18" t="str">
        <f t="shared" si="34"/>
        <v>JS</v>
      </c>
      <c r="AD240" s="18" t="str">
        <f t="shared" si="35"/>
        <v>jsmith@gmail.com</v>
      </c>
    </row>
    <row r="241" spans="1:30" x14ac:dyDescent="0.3">
      <c r="A241" s="41" t="s">
        <v>388</v>
      </c>
      <c r="B241" s="42">
        <v>45743</v>
      </c>
      <c r="C241" s="41" t="s">
        <v>102</v>
      </c>
      <c r="D241" s="41" t="s">
        <v>103</v>
      </c>
      <c r="E241" s="41" t="s">
        <v>114</v>
      </c>
      <c r="F241" s="41" t="s">
        <v>115</v>
      </c>
      <c r="G241" s="41" t="s">
        <v>33</v>
      </c>
      <c r="H241" s="41">
        <v>4</v>
      </c>
      <c r="I241" s="41">
        <v>79.989999999999995</v>
      </c>
      <c r="J241" s="41" t="s">
        <v>26</v>
      </c>
      <c r="K241" s="41" t="s">
        <v>21</v>
      </c>
      <c r="L241" s="41" t="s">
        <v>22</v>
      </c>
      <c r="M241" s="42">
        <v>45288</v>
      </c>
      <c r="N241" s="41">
        <f t="shared" si="27"/>
        <v>319.95999999999998</v>
      </c>
      <c r="O241" s="40"/>
      <c r="P241" s="40"/>
      <c r="Q241" s="40"/>
      <c r="R241" s="40"/>
      <c r="S241" s="40"/>
      <c r="T241" s="40"/>
      <c r="U241" s="18">
        <f t="shared" si="36"/>
        <v>3769.8300000000004</v>
      </c>
      <c r="V241" s="38" t="str">
        <f t="shared" si="29"/>
        <v>Normal</v>
      </c>
      <c r="W241" s="18">
        <f t="shared" si="30"/>
        <v>14</v>
      </c>
      <c r="X241" s="40"/>
      <c r="Y241" s="40"/>
      <c r="Z241" s="18">
        <f t="shared" si="31"/>
        <v>5</v>
      </c>
      <c r="AA241" s="18" t="str">
        <f t="shared" si="32"/>
        <v>Repeat</v>
      </c>
      <c r="AB241" s="18" t="str">
        <f t="shared" si="33"/>
        <v>Cynthia Price</v>
      </c>
      <c r="AC241" s="18" t="str">
        <f t="shared" si="34"/>
        <v>CP</v>
      </c>
      <c r="AD241" s="18" t="str">
        <f t="shared" si="35"/>
        <v>cprice@gmail.com</v>
      </c>
    </row>
    <row r="242" spans="1:30" x14ac:dyDescent="0.3">
      <c r="A242" s="41" t="s">
        <v>389</v>
      </c>
      <c r="B242" s="42">
        <v>45745</v>
      </c>
      <c r="C242" s="41" t="s">
        <v>185</v>
      </c>
      <c r="D242" s="41" t="s">
        <v>186</v>
      </c>
      <c r="E242" s="41" t="s">
        <v>117</v>
      </c>
      <c r="F242" s="41" t="s">
        <v>118</v>
      </c>
      <c r="G242" s="41" t="s">
        <v>19</v>
      </c>
      <c r="H242" s="41">
        <v>5</v>
      </c>
      <c r="I242" s="41">
        <v>89.99</v>
      </c>
      <c r="J242" s="41" t="s">
        <v>34</v>
      </c>
      <c r="K242" s="41" t="s">
        <v>35</v>
      </c>
      <c r="L242" s="41" t="s">
        <v>22</v>
      </c>
      <c r="M242" s="42">
        <v>44704</v>
      </c>
      <c r="N242" s="41">
        <f t="shared" si="27"/>
        <v>449.95</v>
      </c>
      <c r="O242" s="40"/>
      <c r="P242" s="40"/>
      <c r="Q242" s="40"/>
      <c r="R242" s="40"/>
      <c r="S242" s="40"/>
      <c r="T242" s="40"/>
      <c r="U242" s="18">
        <f t="shared" si="36"/>
        <v>2099.88</v>
      </c>
      <c r="V242" s="38" t="str">
        <f t="shared" si="29"/>
        <v>Normal</v>
      </c>
      <c r="W242" s="18">
        <f t="shared" si="30"/>
        <v>34</v>
      </c>
      <c r="X242" s="40"/>
      <c r="Y242" s="40"/>
      <c r="Z242" s="18">
        <f t="shared" si="31"/>
        <v>4</v>
      </c>
      <c r="AA242" s="18" t="str">
        <f t="shared" si="32"/>
        <v>Repeat</v>
      </c>
      <c r="AB242" s="18" t="str">
        <f t="shared" si="33"/>
        <v>Margaret Wright</v>
      </c>
      <c r="AC242" s="18" t="str">
        <f t="shared" si="34"/>
        <v>MW</v>
      </c>
      <c r="AD242" s="18" t="str">
        <f t="shared" si="35"/>
        <v>mwright@gmail.com</v>
      </c>
    </row>
    <row r="243" spans="1:30" x14ac:dyDescent="0.3">
      <c r="A243" s="41" t="s">
        <v>390</v>
      </c>
      <c r="B243" s="42">
        <v>45746</v>
      </c>
      <c r="C243" s="41" t="s">
        <v>93</v>
      </c>
      <c r="D243" s="41" t="s">
        <v>94</v>
      </c>
      <c r="E243" s="41" t="s">
        <v>44</v>
      </c>
      <c r="F243" s="41" t="s">
        <v>45</v>
      </c>
      <c r="G243" s="41" t="s">
        <v>46</v>
      </c>
      <c r="H243" s="41">
        <v>3</v>
      </c>
      <c r="I243" s="41">
        <v>149.99</v>
      </c>
      <c r="J243" s="41" t="s">
        <v>34</v>
      </c>
      <c r="K243" s="41" t="s">
        <v>21</v>
      </c>
      <c r="L243" s="41" t="s">
        <v>36</v>
      </c>
      <c r="M243" s="42">
        <v>45171</v>
      </c>
      <c r="N243" s="41">
        <f t="shared" si="27"/>
        <v>449.97</v>
      </c>
      <c r="O243" s="40"/>
      <c r="P243" s="40"/>
      <c r="Q243" s="40"/>
      <c r="R243" s="40"/>
      <c r="S243" s="40"/>
      <c r="T243" s="40"/>
      <c r="U243" s="18">
        <f t="shared" si="36"/>
        <v>4789.7900000000009</v>
      </c>
      <c r="V243" s="38" t="str">
        <f t="shared" si="29"/>
        <v>Normal</v>
      </c>
      <c r="W243" s="18">
        <f t="shared" si="30"/>
        <v>35</v>
      </c>
      <c r="X243" s="40"/>
      <c r="Y243" s="40"/>
      <c r="Z243" s="18">
        <f t="shared" si="31"/>
        <v>6</v>
      </c>
      <c r="AA243" s="18" t="str">
        <f t="shared" si="32"/>
        <v>Repeat</v>
      </c>
      <c r="AB243" s="18" t="str">
        <f t="shared" si="33"/>
        <v>Virginia Sanders</v>
      </c>
      <c r="AC243" s="18" t="str">
        <f t="shared" si="34"/>
        <v>VS</v>
      </c>
      <c r="AD243" s="18" t="str">
        <f t="shared" si="35"/>
        <v>vsanders@gmail.com</v>
      </c>
    </row>
    <row r="244" spans="1:30" x14ac:dyDescent="0.3">
      <c r="A244" s="41" t="s">
        <v>391</v>
      </c>
      <c r="B244" s="42">
        <v>45746</v>
      </c>
      <c r="C244" s="41" t="s">
        <v>65</v>
      </c>
      <c r="D244" s="41" t="s">
        <v>66</v>
      </c>
      <c r="E244" s="41" t="s">
        <v>117</v>
      </c>
      <c r="F244" s="41" t="s">
        <v>118</v>
      </c>
      <c r="G244" s="41" t="s">
        <v>19</v>
      </c>
      <c r="H244" s="41">
        <v>2</v>
      </c>
      <c r="I244" s="41">
        <v>89.99</v>
      </c>
      <c r="J244" s="41" t="s">
        <v>57</v>
      </c>
      <c r="K244" s="41" t="s">
        <v>50</v>
      </c>
      <c r="L244" s="41" t="s">
        <v>27</v>
      </c>
      <c r="M244" s="42">
        <v>44522</v>
      </c>
      <c r="N244" s="41">
        <f t="shared" si="27"/>
        <v>179.98</v>
      </c>
      <c r="O244" s="40"/>
      <c r="P244" s="40"/>
      <c r="Q244" s="40"/>
      <c r="R244" s="40"/>
      <c r="S244" s="40"/>
      <c r="T244" s="40"/>
      <c r="U244" s="18">
        <f t="shared" si="36"/>
        <v>8009.7699999999995</v>
      </c>
      <c r="V244" s="38" t="str">
        <f t="shared" si="29"/>
        <v>Normal</v>
      </c>
      <c r="W244" s="18">
        <f t="shared" si="30"/>
        <v>34</v>
      </c>
      <c r="X244" s="40"/>
      <c r="Y244" s="40"/>
      <c r="Z244" s="18">
        <f t="shared" si="31"/>
        <v>8</v>
      </c>
      <c r="AA244" s="18" t="str">
        <f t="shared" si="32"/>
        <v>Repeat</v>
      </c>
      <c r="AB244" s="18" t="str">
        <f t="shared" si="33"/>
        <v>Karen Hill</v>
      </c>
      <c r="AC244" s="18" t="str">
        <f t="shared" si="34"/>
        <v>KH</v>
      </c>
      <c r="AD244" s="18" t="str">
        <f t="shared" si="35"/>
        <v>khill@gmail.com</v>
      </c>
    </row>
    <row r="245" spans="1:30" x14ac:dyDescent="0.3">
      <c r="A245" s="41" t="s">
        <v>392</v>
      </c>
      <c r="B245" s="42">
        <v>45748</v>
      </c>
      <c r="C245" s="41" t="s">
        <v>102</v>
      </c>
      <c r="D245" s="41" t="s">
        <v>103</v>
      </c>
      <c r="E245" s="41" t="s">
        <v>80</v>
      </c>
      <c r="F245" s="41" t="s">
        <v>81</v>
      </c>
      <c r="G245" s="41" t="s">
        <v>19</v>
      </c>
      <c r="H245" s="41">
        <v>2</v>
      </c>
      <c r="I245" s="41">
        <v>699.99</v>
      </c>
      <c r="J245" s="41" t="s">
        <v>34</v>
      </c>
      <c r="K245" s="41" t="s">
        <v>40</v>
      </c>
      <c r="L245" s="41" t="s">
        <v>36</v>
      </c>
      <c r="M245" s="42">
        <v>44618</v>
      </c>
      <c r="N245" s="41">
        <f t="shared" si="27"/>
        <v>1399.98</v>
      </c>
      <c r="O245" s="40"/>
      <c r="P245" s="40"/>
      <c r="Q245" s="40"/>
      <c r="R245" s="40"/>
      <c r="S245" s="40"/>
      <c r="T245" s="40"/>
      <c r="U245" s="18">
        <f t="shared" si="36"/>
        <v>3769.8300000000004</v>
      </c>
      <c r="V245" s="38" t="str">
        <f t="shared" si="29"/>
        <v>Normal</v>
      </c>
      <c r="W245" s="18">
        <f t="shared" si="30"/>
        <v>31</v>
      </c>
      <c r="X245" s="40"/>
      <c r="Y245" s="40"/>
      <c r="Z245" s="18">
        <f t="shared" si="31"/>
        <v>5</v>
      </c>
      <c r="AA245" s="18" t="str">
        <f t="shared" si="32"/>
        <v>Repeat</v>
      </c>
      <c r="AB245" s="18" t="str">
        <f t="shared" si="33"/>
        <v>Cynthia Price</v>
      </c>
      <c r="AC245" s="18" t="str">
        <f t="shared" si="34"/>
        <v>CP</v>
      </c>
      <c r="AD245" s="18" t="str">
        <f t="shared" si="35"/>
        <v>cprice@gmail.com</v>
      </c>
    </row>
    <row r="246" spans="1:30" x14ac:dyDescent="0.3">
      <c r="A246" s="41" t="s">
        <v>393</v>
      </c>
      <c r="B246" s="42">
        <v>45749</v>
      </c>
      <c r="C246" s="41" t="s">
        <v>123</v>
      </c>
      <c r="D246" s="41" t="s">
        <v>124</v>
      </c>
      <c r="E246" s="41" t="s">
        <v>61</v>
      </c>
      <c r="F246" s="41" t="s">
        <v>62</v>
      </c>
      <c r="G246" s="41" t="s">
        <v>19</v>
      </c>
      <c r="H246" s="41">
        <v>3</v>
      </c>
      <c r="I246" s="41">
        <v>899.99</v>
      </c>
      <c r="J246" s="41" t="s">
        <v>20</v>
      </c>
      <c r="K246" s="41" t="s">
        <v>21</v>
      </c>
      <c r="L246" s="41" t="s">
        <v>36</v>
      </c>
      <c r="M246" s="42">
        <v>44953</v>
      </c>
      <c r="N246" s="41">
        <f t="shared" si="27"/>
        <v>2699.9700000000003</v>
      </c>
      <c r="O246" s="40"/>
      <c r="P246" s="40"/>
      <c r="Q246" s="40"/>
      <c r="R246" s="40"/>
      <c r="S246" s="40"/>
      <c r="T246" s="40"/>
      <c r="U246" s="18">
        <f t="shared" si="36"/>
        <v>11919.77</v>
      </c>
      <c r="V246" s="38" t="str">
        <f t="shared" si="29"/>
        <v>High Value</v>
      </c>
      <c r="W246" s="18">
        <f t="shared" si="30"/>
        <v>24</v>
      </c>
      <c r="X246" s="40"/>
      <c r="Y246" s="40"/>
      <c r="Z246" s="18">
        <f t="shared" si="31"/>
        <v>6</v>
      </c>
      <c r="AA246" s="18" t="str">
        <f t="shared" si="32"/>
        <v>Repeat</v>
      </c>
      <c r="AB246" s="18" t="str">
        <f t="shared" si="33"/>
        <v>Edward Mitchell</v>
      </c>
      <c r="AC246" s="18" t="str">
        <f t="shared" si="34"/>
        <v>EM</v>
      </c>
      <c r="AD246" s="18" t="str">
        <f t="shared" si="35"/>
        <v>emitchell@gmail.com</v>
      </c>
    </row>
    <row r="247" spans="1:30" x14ac:dyDescent="0.3">
      <c r="A247" s="41" t="s">
        <v>394</v>
      </c>
      <c r="B247" s="42">
        <v>45755</v>
      </c>
      <c r="C247" s="41" t="s">
        <v>93</v>
      </c>
      <c r="D247" s="41" t="s">
        <v>94</v>
      </c>
      <c r="E247" s="41" t="s">
        <v>114</v>
      </c>
      <c r="F247" s="41" t="s">
        <v>115</v>
      </c>
      <c r="G247" s="41" t="s">
        <v>33</v>
      </c>
      <c r="H247" s="41">
        <v>3</v>
      </c>
      <c r="I247" s="41">
        <v>79.989999999999995</v>
      </c>
      <c r="J247" s="41" t="s">
        <v>26</v>
      </c>
      <c r="K247" s="41" t="s">
        <v>40</v>
      </c>
      <c r="L247" s="41" t="s">
        <v>22</v>
      </c>
      <c r="M247" s="42">
        <v>44511</v>
      </c>
      <c r="N247" s="41">
        <f t="shared" si="27"/>
        <v>239.96999999999997</v>
      </c>
      <c r="O247" s="40"/>
      <c r="P247" s="40"/>
      <c r="Q247" s="40"/>
      <c r="R247" s="40"/>
      <c r="S247" s="40"/>
      <c r="T247" s="40"/>
      <c r="U247" s="18">
        <f t="shared" si="36"/>
        <v>4789.7900000000009</v>
      </c>
      <c r="V247" s="38" t="str">
        <f t="shared" si="29"/>
        <v>Normal</v>
      </c>
      <c r="W247" s="18">
        <f t="shared" si="30"/>
        <v>14</v>
      </c>
      <c r="X247" s="40"/>
      <c r="Y247" s="40"/>
      <c r="Z247" s="18">
        <f t="shared" si="31"/>
        <v>6</v>
      </c>
      <c r="AA247" s="18" t="str">
        <f t="shared" si="32"/>
        <v>Repeat</v>
      </c>
      <c r="AB247" s="18" t="str">
        <f t="shared" si="33"/>
        <v>Virginia Sanders</v>
      </c>
      <c r="AC247" s="18" t="str">
        <f t="shared" si="34"/>
        <v>VS</v>
      </c>
      <c r="AD247" s="18" t="str">
        <f t="shared" si="35"/>
        <v>vsanders@gmail.com</v>
      </c>
    </row>
    <row r="248" spans="1:30" x14ac:dyDescent="0.3">
      <c r="A248" s="41" t="s">
        <v>395</v>
      </c>
      <c r="B248" s="42">
        <v>45756</v>
      </c>
      <c r="C248" s="41" t="s">
        <v>59</v>
      </c>
      <c r="D248" s="41" t="s">
        <v>60</v>
      </c>
      <c r="E248" s="41" t="s">
        <v>117</v>
      </c>
      <c r="F248" s="41" t="s">
        <v>118</v>
      </c>
      <c r="G248" s="41" t="s">
        <v>19</v>
      </c>
      <c r="H248" s="41">
        <v>1</v>
      </c>
      <c r="I248" s="41">
        <v>89.99</v>
      </c>
      <c r="J248" s="41" t="s">
        <v>57</v>
      </c>
      <c r="K248" s="41" t="s">
        <v>63</v>
      </c>
      <c r="L248" s="41" t="s">
        <v>22</v>
      </c>
      <c r="M248" s="42">
        <v>45346</v>
      </c>
      <c r="N248" s="41">
        <f t="shared" si="27"/>
        <v>89.99</v>
      </c>
      <c r="O248" s="40"/>
      <c r="P248" s="40"/>
      <c r="Q248" s="40"/>
      <c r="R248" s="40"/>
      <c r="S248" s="40"/>
      <c r="T248" s="40"/>
      <c r="U248" s="18">
        <f t="shared" si="36"/>
        <v>3509.8999999999996</v>
      </c>
      <c r="V248" s="38" t="str">
        <f t="shared" si="29"/>
        <v>Normal</v>
      </c>
      <c r="W248" s="18">
        <f t="shared" si="30"/>
        <v>34</v>
      </c>
      <c r="X248" s="40"/>
      <c r="Y248" s="40"/>
      <c r="Z248" s="18">
        <f t="shared" si="31"/>
        <v>5</v>
      </c>
      <c r="AA248" s="18" t="str">
        <f t="shared" si="32"/>
        <v>Repeat</v>
      </c>
      <c r="AB248" s="18" t="str">
        <f t="shared" si="33"/>
        <v>Robert Thomas</v>
      </c>
      <c r="AC248" s="18" t="str">
        <f t="shared" si="34"/>
        <v>RT</v>
      </c>
      <c r="AD248" s="18" t="str">
        <f t="shared" si="35"/>
        <v>rthomas@gmail.com</v>
      </c>
    </row>
    <row r="249" spans="1:30" x14ac:dyDescent="0.3">
      <c r="A249" s="41" t="s">
        <v>396</v>
      </c>
      <c r="B249" s="42">
        <v>45758</v>
      </c>
      <c r="C249" s="41" t="s">
        <v>293</v>
      </c>
      <c r="D249" s="41" t="s">
        <v>294</v>
      </c>
      <c r="E249" s="41" t="s">
        <v>80</v>
      </c>
      <c r="F249" s="41" t="s">
        <v>81</v>
      </c>
      <c r="G249" s="41" t="s">
        <v>19</v>
      </c>
      <c r="H249" s="41">
        <v>3</v>
      </c>
      <c r="I249" s="41">
        <v>699.99</v>
      </c>
      <c r="J249" s="41" t="s">
        <v>34</v>
      </c>
      <c r="K249" s="41" t="s">
        <v>40</v>
      </c>
      <c r="L249" s="41" t="s">
        <v>22</v>
      </c>
      <c r="M249" s="42">
        <v>44909</v>
      </c>
      <c r="N249" s="41">
        <f t="shared" si="27"/>
        <v>2099.9700000000003</v>
      </c>
      <c r="O249" s="40"/>
      <c r="P249" s="40"/>
      <c r="Q249" s="40"/>
      <c r="R249" s="40"/>
      <c r="S249" s="40"/>
      <c r="T249" s="40"/>
      <c r="U249" s="18">
        <f t="shared" si="36"/>
        <v>4829.8900000000003</v>
      </c>
      <c r="V249" s="38" t="str">
        <f t="shared" si="29"/>
        <v>Normal</v>
      </c>
      <c r="W249" s="18">
        <f t="shared" si="30"/>
        <v>31</v>
      </c>
      <c r="X249" s="40"/>
      <c r="Y249" s="40"/>
      <c r="Z249" s="18">
        <f t="shared" si="31"/>
        <v>4</v>
      </c>
      <c r="AA249" s="18" t="str">
        <f t="shared" si="32"/>
        <v>Repeat</v>
      </c>
      <c r="AB249" s="18" t="str">
        <f t="shared" si="33"/>
        <v>Douglas Watson</v>
      </c>
      <c r="AC249" s="18" t="str">
        <f t="shared" si="34"/>
        <v>DW</v>
      </c>
      <c r="AD249" s="18" t="str">
        <f t="shared" si="35"/>
        <v>dwatson@gmail.com</v>
      </c>
    </row>
    <row r="250" spans="1:30" x14ac:dyDescent="0.3">
      <c r="A250" s="41" t="s">
        <v>397</v>
      </c>
      <c r="B250" s="42">
        <v>45758</v>
      </c>
      <c r="C250" s="41" t="s">
        <v>226</v>
      </c>
      <c r="D250" s="41" t="s">
        <v>227</v>
      </c>
      <c r="E250" s="41" t="s">
        <v>117</v>
      </c>
      <c r="F250" s="41" t="s">
        <v>118</v>
      </c>
      <c r="G250" s="41" t="s">
        <v>19</v>
      </c>
      <c r="H250" s="41">
        <v>2</v>
      </c>
      <c r="I250" s="41">
        <v>89.99</v>
      </c>
      <c r="J250" s="41" t="s">
        <v>57</v>
      </c>
      <c r="K250" s="41" t="s">
        <v>63</v>
      </c>
      <c r="L250" s="41" t="s">
        <v>22</v>
      </c>
      <c r="M250" s="42">
        <v>45088</v>
      </c>
      <c r="N250" s="41">
        <f t="shared" si="27"/>
        <v>179.98</v>
      </c>
      <c r="O250" s="40"/>
      <c r="P250" s="40"/>
      <c r="Q250" s="40"/>
      <c r="R250" s="40"/>
      <c r="S250" s="40"/>
      <c r="T250" s="40"/>
      <c r="U250" s="18">
        <f t="shared" si="36"/>
        <v>6989.7699999999986</v>
      </c>
      <c r="V250" s="38" t="str">
        <f t="shared" si="29"/>
        <v>Normal</v>
      </c>
      <c r="W250" s="18">
        <f t="shared" si="30"/>
        <v>34</v>
      </c>
      <c r="X250" s="40"/>
      <c r="Y250" s="40"/>
      <c r="Z250" s="18">
        <f t="shared" si="31"/>
        <v>8</v>
      </c>
      <c r="AA250" s="18" t="str">
        <f t="shared" si="32"/>
        <v>Repeat</v>
      </c>
      <c r="AB250" s="18" t="str">
        <f t="shared" si="33"/>
        <v>Lawrence Reed</v>
      </c>
      <c r="AC250" s="18" t="str">
        <f t="shared" si="34"/>
        <v>LR</v>
      </c>
      <c r="AD250" s="18" t="str">
        <f t="shared" si="35"/>
        <v>lreed@gmail.com</v>
      </c>
    </row>
    <row r="251" spans="1:30" x14ac:dyDescent="0.3">
      <c r="A251" s="41" t="s">
        <v>398</v>
      </c>
      <c r="B251" s="42">
        <v>45758</v>
      </c>
      <c r="C251" s="41" t="s">
        <v>138</v>
      </c>
      <c r="D251" s="41" t="s">
        <v>139</v>
      </c>
      <c r="E251" s="41" t="s">
        <v>117</v>
      </c>
      <c r="F251" s="41" t="s">
        <v>118</v>
      </c>
      <c r="G251" s="41" t="s">
        <v>19</v>
      </c>
      <c r="H251" s="41">
        <v>3</v>
      </c>
      <c r="I251" s="41">
        <v>89.99</v>
      </c>
      <c r="J251" s="41" t="s">
        <v>57</v>
      </c>
      <c r="K251" s="41" t="s">
        <v>40</v>
      </c>
      <c r="L251" s="41" t="s">
        <v>27</v>
      </c>
      <c r="M251" s="42">
        <v>44878</v>
      </c>
      <c r="N251" s="41">
        <f t="shared" si="27"/>
        <v>269.96999999999997</v>
      </c>
      <c r="O251" s="40"/>
      <c r="P251" s="40"/>
      <c r="Q251" s="40"/>
      <c r="R251" s="40"/>
      <c r="S251" s="40"/>
      <c r="T251" s="40"/>
      <c r="U251" s="18">
        <f t="shared" si="36"/>
        <v>2649.83</v>
      </c>
      <c r="V251" s="38" t="str">
        <f t="shared" si="29"/>
        <v>Normal</v>
      </c>
      <c r="W251" s="18">
        <f t="shared" si="30"/>
        <v>34</v>
      </c>
      <c r="X251" s="40"/>
      <c r="Y251" s="40"/>
      <c r="Z251" s="18">
        <f t="shared" si="31"/>
        <v>6</v>
      </c>
      <c r="AA251" s="18" t="str">
        <f t="shared" si="32"/>
        <v>Repeat</v>
      </c>
      <c r="AB251" s="18" t="str">
        <f t="shared" si="33"/>
        <v>Steven Turner</v>
      </c>
      <c r="AC251" s="18" t="str">
        <f t="shared" si="34"/>
        <v>ST</v>
      </c>
      <c r="AD251" s="18" t="str">
        <f t="shared" si="35"/>
        <v>sturner@gmail.com</v>
      </c>
    </row>
    <row r="252" spans="1:30" x14ac:dyDescent="0.3">
      <c r="A252" s="40"/>
      <c r="B252" s="40"/>
      <c r="C252" s="40"/>
      <c r="D252" s="40"/>
      <c r="E252" s="40"/>
      <c r="F252" s="40"/>
      <c r="G252" s="40"/>
      <c r="H252" s="40"/>
      <c r="I252" s="40"/>
      <c r="J252" s="40"/>
      <c r="K252" s="40"/>
      <c r="L252" s="40"/>
      <c r="M252" s="40"/>
      <c r="N252" s="16" t="s">
        <v>418</v>
      </c>
      <c r="O252" s="40"/>
      <c r="P252" s="40"/>
      <c r="Q252" s="40"/>
      <c r="R252" s="40"/>
      <c r="S252" s="40"/>
      <c r="T252" s="40"/>
      <c r="U252" s="40"/>
      <c r="V252" s="40"/>
      <c r="W252" s="71"/>
      <c r="X252" s="40"/>
      <c r="Y252" s="40"/>
      <c r="Z252" s="40"/>
      <c r="AA252" s="40"/>
    </row>
    <row r="253" spans="1:30" x14ac:dyDescent="0.3">
      <c r="A253" s="40"/>
      <c r="B253" s="40"/>
      <c r="C253" s="40"/>
      <c r="D253" s="40"/>
      <c r="E253" s="40"/>
      <c r="F253" s="40"/>
      <c r="G253" s="40"/>
      <c r="H253" s="40"/>
      <c r="I253" s="40"/>
      <c r="J253" s="40"/>
      <c r="K253" s="40"/>
      <c r="L253" s="40"/>
      <c r="M253" s="40"/>
      <c r="N253" s="49">
        <f>H51*I51</f>
        <v>10000.000000000007</v>
      </c>
      <c r="O253" s="40"/>
      <c r="P253" s="40"/>
      <c r="Q253" s="40"/>
      <c r="R253" s="40"/>
      <c r="S253" s="40"/>
      <c r="T253" s="40"/>
      <c r="U253" s="40"/>
      <c r="V253" s="40"/>
      <c r="W253" s="71"/>
      <c r="X253" s="40"/>
      <c r="Y253" s="40"/>
      <c r="Z253" s="40"/>
      <c r="AA253" s="40"/>
    </row>
    <row r="254" spans="1:30" x14ac:dyDescent="0.3">
      <c r="W254" s="72"/>
    </row>
    <row r="255" spans="1:30" x14ac:dyDescent="0.3">
      <c r="W255" s="72"/>
    </row>
    <row r="256" spans="1:30" x14ac:dyDescent="0.3">
      <c r="W256" s="72"/>
    </row>
    <row r="257" spans="23:23" x14ac:dyDescent="0.3">
      <c r="W257" s="72"/>
    </row>
    <row r="258" spans="23:23" x14ac:dyDescent="0.3">
      <c r="W258" s="72"/>
    </row>
    <row r="259" spans="23:23" x14ac:dyDescent="0.3">
      <c r="W259" s="72"/>
    </row>
    <row r="260" spans="23:23" x14ac:dyDescent="0.3">
      <c r="W260" s="72"/>
    </row>
    <row r="261" spans="23:23" x14ac:dyDescent="0.3">
      <c r="W261" s="72"/>
    </row>
    <row r="262" spans="23:23" x14ac:dyDescent="0.3">
      <c r="W262" s="72"/>
    </row>
    <row r="263" spans="23:23" x14ac:dyDescent="0.3">
      <c r="W263" s="72"/>
    </row>
    <row r="264" spans="23:23" x14ac:dyDescent="0.3">
      <c r="W264" s="72"/>
    </row>
    <row r="265" spans="23:23" x14ac:dyDescent="0.3">
      <c r="W265" s="72"/>
    </row>
    <row r="266" spans="23:23" x14ac:dyDescent="0.3">
      <c r="W266" s="72"/>
    </row>
    <row r="267" spans="23:23" x14ac:dyDescent="0.3">
      <c r="W267" s="72"/>
    </row>
    <row r="268" spans="23:23" x14ac:dyDescent="0.3">
      <c r="W268" s="72"/>
    </row>
    <row r="269" spans="23:23" x14ac:dyDescent="0.3">
      <c r="W269" s="72"/>
    </row>
    <row r="270" spans="23:23" x14ac:dyDescent="0.3">
      <c r="W270" s="72"/>
    </row>
    <row r="271" spans="23:23" x14ac:dyDescent="0.3">
      <c r="W271" s="72"/>
    </row>
    <row r="272" spans="23:23" x14ac:dyDescent="0.3">
      <c r="W272" s="72"/>
    </row>
    <row r="273" spans="23:23" x14ac:dyDescent="0.3">
      <c r="W273" s="72"/>
    </row>
    <row r="274" spans="23:23" x14ac:dyDescent="0.3">
      <c r="W274" s="72"/>
    </row>
    <row r="275" spans="23:23" x14ac:dyDescent="0.3">
      <c r="W275" s="72"/>
    </row>
    <row r="276" spans="23:23" x14ac:dyDescent="0.3">
      <c r="W276" s="72"/>
    </row>
    <row r="277" spans="23:23" x14ac:dyDescent="0.3">
      <c r="W277" s="72"/>
    </row>
    <row r="278" spans="23:23" x14ac:dyDescent="0.3">
      <c r="W278" s="72"/>
    </row>
    <row r="279" spans="23:23" x14ac:dyDescent="0.3">
      <c r="W279" s="72"/>
    </row>
    <row r="280" spans="23:23" x14ac:dyDescent="0.3">
      <c r="W280" s="72"/>
    </row>
    <row r="281" spans="23:23" x14ac:dyDescent="0.3">
      <c r="W281" s="72"/>
    </row>
    <row r="282" spans="23:23" x14ac:dyDescent="0.3">
      <c r="W282" s="72"/>
    </row>
    <row r="283" spans="23:23" x14ac:dyDescent="0.3">
      <c r="W283" s="72"/>
    </row>
    <row r="284" spans="23:23" x14ac:dyDescent="0.3">
      <c r="W284" s="72"/>
    </row>
    <row r="285" spans="23:23" x14ac:dyDescent="0.3">
      <c r="W285" s="72"/>
    </row>
    <row r="286" spans="23:23" x14ac:dyDescent="0.3">
      <c r="W286" s="72"/>
    </row>
    <row r="287" spans="23:23" x14ac:dyDescent="0.3">
      <c r="W287" s="72"/>
    </row>
    <row r="288" spans="23:23" x14ac:dyDescent="0.3">
      <c r="W288" s="72"/>
    </row>
    <row r="289" spans="23:23" x14ac:dyDescent="0.3">
      <c r="W289" s="72"/>
    </row>
    <row r="290" spans="23:23" x14ac:dyDescent="0.3">
      <c r="W290" s="72"/>
    </row>
    <row r="291" spans="23:23" x14ac:dyDescent="0.3">
      <c r="W291" s="72"/>
    </row>
    <row r="292" spans="23:23" x14ac:dyDescent="0.3">
      <c r="W292" s="72"/>
    </row>
    <row r="293" spans="23:23" x14ac:dyDescent="0.3">
      <c r="W293" s="72"/>
    </row>
    <row r="294" spans="23:23" x14ac:dyDescent="0.3">
      <c r="W294" s="72"/>
    </row>
    <row r="295" spans="23:23" x14ac:dyDescent="0.3">
      <c r="W295" s="72"/>
    </row>
    <row r="296" spans="23:23" x14ac:dyDescent="0.3">
      <c r="W296" s="72"/>
    </row>
    <row r="297" spans="23:23" x14ac:dyDescent="0.3">
      <c r="W297" s="72"/>
    </row>
    <row r="298" spans="23:23" x14ac:dyDescent="0.3">
      <c r="W298" s="72"/>
    </row>
    <row r="299" spans="23:23" x14ac:dyDescent="0.3">
      <c r="W299" s="72"/>
    </row>
    <row r="300" spans="23:23" x14ac:dyDescent="0.3">
      <c r="W300" s="72"/>
    </row>
    <row r="301" spans="23:23" x14ac:dyDescent="0.3">
      <c r="W301" s="72"/>
    </row>
    <row r="302" spans="23:23" x14ac:dyDescent="0.3">
      <c r="W302" s="72"/>
    </row>
    <row r="303" spans="23:23" x14ac:dyDescent="0.3">
      <c r="W303" s="72"/>
    </row>
    <row r="304" spans="23:23" x14ac:dyDescent="0.3">
      <c r="W304" s="72"/>
    </row>
    <row r="305" spans="23:23" x14ac:dyDescent="0.3">
      <c r="W305" s="72"/>
    </row>
    <row r="306" spans="23:23" x14ac:dyDescent="0.3">
      <c r="W306" s="72"/>
    </row>
    <row r="307" spans="23:23" x14ac:dyDescent="0.3">
      <c r="W307" s="72"/>
    </row>
    <row r="308" spans="23:23" x14ac:dyDescent="0.3">
      <c r="W308" s="72"/>
    </row>
    <row r="309" spans="23:23" x14ac:dyDescent="0.3">
      <c r="W309" s="72"/>
    </row>
    <row r="310" spans="23:23" x14ac:dyDescent="0.3">
      <c r="W310" s="72"/>
    </row>
    <row r="311" spans="23:23" x14ac:dyDescent="0.3">
      <c r="W311" s="72"/>
    </row>
    <row r="312" spans="23:23" x14ac:dyDescent="0.3">
      <c r="W312" s="72"/>
    </row>
    <row r="313" spans="23:23" x14ac:dyDescent="0.3">
      <c r="W313" s="72"/>
    </row>
    <row r="314" spans="23:23" x14ac:dyDescent="0.3">
      <c r="W314" s="72"/>
    </row>
    <row r="315" spans="23:23" x14ac:dyDescent="0.3">
      <c r="W315" s="72"/>
    </row>
    <row r="316" spans="23:23" x14ac:dyDescent="0.3">
      <c r="W316" s="72"/>
    </row>
    <row r="317" spans="23:23" x14ac:dyDescent="0.3">
      <c r="W317" s="72"/>
    </row>
    <row r="318" spans="23:23" x14ac:dyDescent="0.3">
      <c r="W318" s="72"/>
    </row>
    <row r="319" spans="23:23" x14ac:dyDescent="0.3">
      <c r="W319" s="72"/>
    </row>
    <row r="320" spans="23:23" x14ac:dyDescent="0.3">
      <c r="W320" s="72"/>
    </row>
    <row r="321" spans="23:23" x14ac:dyDescent="0.3">
      <c r="W321" s="72"/>
    </row>
    <row r="322" spans="23:23" x14ac:dyDescent="0.3">
      <c r="W322" s="72"/>
    </row>
    <row r="323" spans="23:23" x14ac:dyDescent="0.3">
      <c r="W323" s="72"/>
    </row>
    <row r="324" spans="23:23" x14ac:dyDescent="0.3">
      <c r="W324" s="72"/>
    </row>
    <row r="325" spans="23:23" x14ac:dyDescent="0.3">
      <c r="W325" s="72"/>
    </row>
    <row r="326" spans="23:23" x14ac:dyDescent="0.3">
      <c r="W326" s="72"/>
    </row>
    <row r="327" spans="23:23" x14ac:dyDescent="0.3">
      <c r="W327" s="72"/>
    </row>
    <row r="328" spans="23:23" x14ac:dyDescent="0.3">
      <c r="W328" s="72"/>
    </row>
    <row r="329" spans="23:23" x14ac:dyDescent="0.3">
      <c r="W329" s="72"/>
    </row>
    <row r="330" spans="23:23" x14ac:dyDescent="0.3">
      <c r="W330" s="72"/>
    </row>
    <row r="331" spans="23:23" x14ac:dyDescent="0.3">
      <c r="W331" s="72"/>
    </row>
    <row r="332" spans="23:23" x14ac:dyDescent="0.3">
      <c r="W332" s="72"/>
    </row>
    <row r="333" spans="23:23" x14ac:dyDescent="0.3">
      <c r="W333" s="72"/>
    </row>
    <row r="334" spans="23:23" x14ac:dyDescent="0.3">
      <c r="W334" s="72"/>
    </row>
    <row r="335" spans="23:23" x14ac:dyDescent="0.3">
      <c r="W335" s="72"/>
    </row>
    <row r="336" spans="23:23" x14ac:dyDescent="0.3">
      <c r="W336" s="72"/>
    </row>
    <row r="337" spans="23:23" x14ac:dyDescent="0.3">
      <c r="W337" s="72"/>
    </row>
    <row r="338" spans="23:23" x14ac:dyDescent="0.3">
      <c r="W338" s="72"/>
    </row>
    <row r="339" spans="23:23" x14ac:dyDescent="0.3">
      <c r="W339" s="72"/>
    </row>
    <row r="340" spans="23:23" x14ac:dyDescent="0.3">
      <c r="W340" s="72"/>
    </row>
    <row r="341" spans="23:23" x14ac:dyDescent="0.3">
      <c r="W341" s="72"/>
    </row>
    <row r="342" spans="23:23" x14ac:dyDescent="0.3">
      <c r="W342" s="72"/>
    </row>
    <row r="343" spans="23:23" x14ac:dyDescent="0.3">
      <c r="W343" s="72"/>
    </row>
    <row r="344" spans="23:23" x14ac:dyDescent="0.3">
      <c r="W344" s="72"/>
    </row>
    <row r="345" spans="23:23" x14ac:dyDescent="0.3">
      <c r="W345" s="72"/>
    </row>
    <row r="346" spans="23:23" x14ac:dyDescent="0.3">
      <c r="W346" s="72"/>
    </row>
    <row r="347" spans="23:23" x14ac:dyDescent="0.3">
      <c r="W347" s="72"/>
    </row>
    <row r="348" spans="23:23" x14ac:dyDescent="0.3">
      <c r="W348" s="72"/>
    </row>
    <row r="349" spans="23:23" x14ac:dyDescent="0.3">
      <c r="W349" s="72"/>
    </row>
    <row r="350" spans="23:23" x14ac:dyDescent="0.3">
      <c r="W350" s="72"/>
    </row>
    <row r="351" spans="23:23" x14ac:dyDescent="0.3">
      <c r="W351" s="72"/>
    </row>
    <row r="352" spans="23:23" x14ac:dyDescent="0.3">
      <c r="W352" s="72"/>
    </row>
    <row r="353" spans="23:23" x14ac:dyDescent="0.3">
      <c r="W353" s="72"/>
    </row>
    <row r="354" spans="23:23" x14ac:dyDescent="0.3">
      <c r="W354" s="72"/>
    </row>
    <row r="355" spans="23:23" x14ac:dyDescent="0.3">
      <c r="W355" s="72"/>
    </row>
    <row r="356" spans="23:23" x14ac:dyDescent="0.3">
      <c r="W356" s="72"/>
    </row>
    <row r="357" spans="23:23" x14ac:dyDescent="0.3">
      <c r="W357" s="72"/>
    </row>
    <row r="358" spans="23:23" x14ac:dyDescent="0.3">
      <c r="W358" s="72"/>
    </row>
    <row r="359" spans="23:23" x14ac:dyDescent="0.3">
      <c r="W359" s="72"/>
    </row>
    <row r="360" spans="23:23" x14ac:dyDescent="0.3">
      <c r="W360" s="72"/>
    </row>
    <row r="361" spans="23:23" x14ac:dyDescent="0.3">
      <c r="W361" s="72"/>
    </row>
    <row r="362" spans="23:23" x14ac:dyDescent="0.3">
      <c r="W362" s="72"/>
    </row>
    <row r="363" spans="23:23" x14ac:dyDescent="0.3">
      <c r="W363" s="72"/>
    </row>
    <row r="364" spans="23:23" x14ac:dyDescent="0.3">
      <c r="W364" s="72"/>
    </row>
    <row r="365" spans="23:23" x14ac:dyDescent="0.3">
      <c r="W365" s="72"/>
    </row>
    <row r="366" spans="23:23" x14ac:dyDescent="0.3">
      <c r="W366" s="72"/>
    </row>
    <row r="367" spans="23:23" x14ac:dyDescent="0.3">
      <c r="W367" s="72"/>
    </row>
    <row r="368" spans="23:23" x14ac:dyDescent="0.3">
      <c r="W368" s="72"/>
    </row>
    <row r="369" spans="23:23" x14ac:dyDescent="0.3">
      <c r="W369" s="72"/>
    </row>
    <row r="370" spans="23:23" x14ac:dyDescent="0.3">
      <c r="W370" s="72"/>
    </row>
    <row r="371" spans="23:23" x14ac:dyDescent="0.3">
      <c r="W371" s="72"/>
    </row>
    <row r="372" spans="23:23" x14ac:dyDescent="0.3">
      <c r="W372" s="72"/>
    </row>
    <row r="373" spans="23:23" x14ac:dyDescent="0.3">
      <c r="W373" s="72"/>
    </row>
    <row r="374" spans="23:23" x14ac:dyDescent="0.3">
      <c r="W374" s="72"/>
    </row>
    <row r="375" spans="23:23" x14ac:dyDescent="0.3">
      <c r="W375" s="72"/>
    </row>
    <row r="376" spans="23:23" x14ac:dyDescent="0.3">
      <c r="W376" s="72"/>
    </row>
    <row r="377" spans="23:23" x14ac:dyDescent="0.3">
      <c r="W377" s="72"/>
    </row>
    <row r="378" spans="23:23" x14ac:dyDescent="0.3">
      <c r="W378" s="72"/>
    </row>
    <row r="379" spans="23:23" x14ac:dyDescent="0.3">
      <c r="W379" s="72"/>
    </row>
    <row r="380" spans="23:23" x14ac:dyDescent="0.3">
      <c r="W380" s="72"/>
    </row>
    <row r="381" spans="23:23" x14ac:dyDescent="0.3">
      <c r="W381" s="72"/>
    </row>
    <row r="382" spans="23:23" x14ac:dyDescent="0.3">
      <c r="W382" s="72"/>
    </row>
    <row r="383" spans="23:23" x14ac:dyDescent="0.3">
      <c r="W383" s="72"/>
    </row>
    <row r="384" spans="23:23" x14ac:dyDescent="0.3">
      <c r="W384" s="72"/>
    </row>
    <row r="385" spans="23:23" x14ac:dyDescent="0.3">
      <c r="W385" s="72"/>
    </row>
    <row r="386" spans="23:23" x14ac:dyDescent="0.3">
      <c r="W386" s="72"/>
    </row>
    <row r="387" spans="23:23" x14ac:dyDescent="0.3">
      <c r="W387" s="72"/>
    </row>
    <row r="388" spans="23:23" x14ac:dyDescent="0.3">
      <c r="W388" s="72"/>
    </row>
    <row r="389" spans="23:23" x14ac:dyDescent="0.3">
      <c r="W389" s="72"/>
    </row>
    <row r="390" spans="23:23" x14ac:dyDescent="0.3">
      <c r="W390" s="72"/>
    </row>
    <row r="391" spans="23:23" x14ac:dyDescent="0.3">
      <c r="W391" s="72"/>
    </row>
    <row r="392" spans="23:23" x14ac:dyDescent="0.3">
      <c r="W392" s="72"/>
    </row>
    <row r="393" spans="23:23" x14ac:dyDescent="0.3">
      <c r="W393" s="72"/>
    </row>
    <row r="394" spans="23:23" x14ac:dyDescent="0.3">
      <c r="W394" s="72"/>
    </row>
    <row r="395" spans="23:23" x14ac:dyDescent="0.3">
      <c r="W395" s="72"/>
    </row>
    <row r="396" spans="23:23" x14ac:dyDescent="0.3">
      <c r="W396" s="72"/>
    </row>
    <row r="397" spans="23:23" x14ac:dyDescent="0.3">
      <c r="W397" s="72"/>
    </row>
    <row r="398" spans="23:23" x14ac:dyDescent="0.3">
      <c r="W398" s="72"/>
    </row>
    <row r="399" spans="23:23" x14ac:dyDescent="0.3">
      <c r="W399" s="72"/>
    </row>
    <row r="400" spans="23:23" x14ac:dyDescent="0.3">
      <c r="W400" s="72"/>
    </row>
    <row r="401" spans="23:23" x14ac:dyDescent="0.3">
      <c r="W401" s="72"/>
    </row>
    <row r="402" spans="23:23" x14ac:dyDescent="0.3">
      <c r="W402" s="72"/>
    </row>
    <row r="403" spans="23:23" x14ac:dyDescent="0.3">
      <c r="W403" s="72"/>
    </row>
    <row r="404" spans="23:23" x14ac:dyDescent="0.3">
      <c r="W404" s="72"/>
    </row>
    <row r="405" spans="23:23" x14ac:dyDescent="0.3">
      <c r="W405" s="72"/>
    </row>
    <row r="406" spans="23:23" x14ac:dyDescent="0.3">
      <c r="W406" s="72"/>
    </row>
    <row r="407" spans="23:23" x14ac:dyDescent="0.3">
      <c r="W407" s="72"/>
    </row>
    <row r="408" spans="23:23" x14ac:dyDescent="0.3">
      <c r="W408" s="72"/>
    </row>
    <row r="409" spans="23:23" x14ac:dyDescent="0.3">
      <c r="W409" s="72"/>
    </row>
    <row r="410" spans="23:23" x14ac:dyDescent="0.3">
      <c r="W410" s="72"/>
    </row>
    <row r="411" spans="23:23" x14ac:dyDescent="0.3">
      <c r="W411" s="72"/>
    </row>
    <row r="412" spans="23:23" x14ac:dyDescent="0.3">
      <c r="W412" s="72"/>
    </row>
    <row r="413" spans="23:23" x14ac:dyDescent="0.3">
      <c r="W413" s="72"/>
    </row>
    <row r="414" spans="23:23" x14ac:dyDescent="0.3">
      <c r="W414" s="72"/>
    </row>
    <row r="415" spans="23:23" x14ac:dyDescent="0.3">
      <c r="W415" s="72"/>
    </row>
    <row r="416" spans="23:23" x14ac:dyDescent="0.3">
      <c r="W416" s="72"/>
    </row>
    <row r="417" spans="23:23" x14ac:dyDescent="0.3">
      <c r="W417" s="72"/>
    </row>
    <row r="418" spans="23:23" x14ac:dyDescent="0.3">
      <c r="W418" s="72"/>
    </row>
    <row r="419" spans="23:23" x14ac:dyDescent="0.3">
      <c r="W419" s="72"/>
    </row>
    <row r="420" spans="23:23" x14ac:dyDescent="0.3">
      <c r="W420" s="72"/>
    </row>
    <row r="421" spans="23:23" x14ac:dyDescent="0.3">
      <c r="W421" s="72"/>
    </row>
    <row r="422" spans="23:23" x14ac:dyDescent="0.3">
      <c r="W422" s="72"/>
    </row>
    <row r="423" spans="23:23" x14ac:dyDescent="0.3">
      <c r="W423" s="72"/>
    </row>
    <row r="424" spans="23:23" x14ac:dyDescent="0.3">
      <c r="W424" s="72"/>
    </row>
    <row r="425" spans="23:23" x14ac:dyDescent="0.3">
      <c r="W425" s="72"/>
    </row>
    <row r="426" spans="23:23" x14ac:dyDescent="0.3">
      <c r="W426" s="72"/>
    </row>
    <row r="427" spans="23:23" x14ac:dyDescent="0.3">
      <c r="W427" s="72"/>
    </row>
    <row r="428" spans="23:23" x14ac:dyDescent="0.3">
      <c r="W428" s="72"/>
    </row>
    <row r="429" spans="23:23" x14ac:dyDescent="0.3">
      <c r="W429" s="72"/>
    </row>
    <row r="430" spans="23:23" x14ac:dyDescent="0.3">
      <c r="W430" s="72"/>
    </row>
    <row r="431" spans="23:23" x14ac:dyDescent="0.3">
      <c r="W431" s="72"/>
    </row>
    <row r="432" spans="23:23" x14ac:dyDescent="0.3">
      <c r="W432" s="72"/>
    </row>
    <row r="433" spans="23:23" x14ac:dyDescent="0.3">
      <c r="W433" s="72"/>
    </row>
    <row r="434" spans="23:23" x14ac:dyDescent="0.3">
      <c r="W434" s="72"/>
    </row>
    <row r="435" spans="23:23" x14ac:dyDescent="0.3">
      <c r="W435" s="72"/>
    </row>
    <row r="436" spans="23:23" x14ac:dyDescent="0.3">
      <c r="W436" s="72"/>
    </row>
    <row r="437" spans="23:23" x14ac:dyDescent="0.3">
      <c r="W437" s="72"/>
    </row>
    <row r="438" spans="23:23" x14ac:dyDescent="0.3">
      <c r="W438" s="72"/>
    </row>
    <row r="439" spans="23:23" x14ac:dyDescent="0.3">
      <c r="W439" s="72"/>
    </row>
    <row r="440" spans="23:23" x14ac:dyDescent="0.3">
      <c r="W440" s="72"/>
    </row>
    <row r="441" spans="23:23" x14ac:dyDescent="0.3">
      <c r="W441" s="72"/>
    </row>
    <row r="442" spans="23:23" x14ac:dyDescent="0.3">
      <c r="W442" s="72"/>
    </row>
    <row r="443" spans="23:23" x14ac:dyDescent="0.3">
      <c r="W443" s="72"/>
    </row>
    <row r="444" spans="23:23" x14ac:dyDescent="0.3">
      <c r="W444" s="72"/>
    </row>
    <row r="445" spans="23:23" x14ac:dyDescent="0.3">
      <c r="W445" s="72"/>
    </row>
    <row r="446" spans="23:23" x14ac:dyDescent="0.3">
      <c r="W446" s="72"/>
    </row>
    <row r="447" spans="23:23" x14ac:dyDescent="0.3">
      <c r="W447" s="72"/>
    </row>
    <row r="448" spans="23:23" x14ac:dyDescent="0.3">
      <c r="W448" s="72"/>
    </row>
    <row r="449" spans="23:23" x14ac:dyDescent="0.3">
      <c r="W449" s="72"/>
    </row>
    <row r="450" spans="23:23" x14ac:dyDescent="0.3">
      <c r="W450" s="72"/>
    </row>
    <row r="451" spans="23:23" x14ac:dyDescent="0.3">
      <c r="W451" s="72"/>
    </row>
    <row r="452" spans="23:23" x14ac:dyDescent="0.3">
      <c r="W452" s="72"/>
    </row>
    <row r="453" spans="23:23" x14ac:dyDescent="0.3">
      <c r="W453" s="72"/>
    </row>
    <row r="454" spans="23:23" x14ac:dyDescent="0.3">
      <c r="W454" s="72"/>
    </row>
    <row r="455" spans="23:23" x14ac:dyDescent="0.3">
      <c r="W455" s="72"/>
    </row>
    <row r="456" spans="23:23" x14ac:dyDescent="0.3">
      <c r="W456" s="72"/>
    </row>
    <row r="457" spans="23:23" x14ac:dyDescent="0.3">
      <c r="W457" s="72"/>
    </row>
    <row r="458" spans="23:23" x14ac:dyDescent="0.3">
      <c r="W458" s="72"/>
    </row>
    <row r="459" spans="23:23" x14ac:dyDescent="0.3">
      <c r="W459" s="72"/>
    </row>
    <row r="460" spans="23:23" x14ac:dyDescent="0.3">
      <c r="W460" s="72"/>
    </row>
    <row r="461" spans="23:23" x14ac:dyDescent="0.3">
      <c r="W461" s="72"/>
    </row>
    <row r="462" spans="23:23" x14ac:dyDescent="0.3">
      <c r="W462" s="72"/>
    </row>
    <row r="463" spans="23:23" x14ac:dyDescent="0.3">
      <c r="W463" s="72"/>
    </row>
    <row r="464" spans="23:23" x14ac:dyDescent="0.3">
      <c r="W464" s="72"/>
    </row>
    <row r="465" spans="23:23" x14ac:dyDescent="0.3">
      <c r="W465" s="72"/>
    </row>
    <row r="466" spans="23:23" x14ac:dyDescent="0.3">
      <c r="W466" s="72"/>
    </row>
    <row r="467" spans="23:23" x14ac:dyDescent="0.3">
      <c r="W467" s="72"/>
    </row>
    <row r="468" spans="23:23" x14ac:dyDescent="0.3">
      <c r="W468" s="72"/>
    </row>
    <row r="469" spans="23:23" x14ac:dyDescent="0.3">
      <c r="W469" s="72"/>
    </row>
    <row r="470" spans="23:23" x14ac:dyDescent="0.3">
      <c r="W470" s="72"/>
    </row>
    <row r="471" spans="23:23" x14ac:dyDescent="0.3">
      <c r="W471" s="72"/>
    </row>
    <row r="472" spans="23:23" x14ac:dyDescent="0.3">
      <c r="W472" s="72"/>
    </row>
    <row r="473" spans="23:23" x14ac:dyDescent="0.3">
      <c r="W473" s="72"/>
    </row>
    <row r="474" spans="23:23" x14ac:dyDescent="0.3">
      <c r="W474" s="72"/>
    </row>
    <row r="475" spans="23:23" x14ac:dyDescent="0.3">
      <c r="W475" s="72"/>
    </row>
    <row r="476" spans="23:23" x14ac:dyDescent="0.3">
      <c r="W476" s="72"/>
    </row>
    <row r="477" spans="23:23" x14ac:dyDescent="0.3">
      <c r="W477" s="72"/>
    </row>
    <row r="478" spans="23:23" x14ac:dyDescent="0.3">
      <c r="W478" s="72"/>
    </row>
    <row r="479" spans="23:23" x14ac:dyDescent="0.3">
      <c r="W479" s="72"/>
    </row>
    <row r="480" spans="23:23" x14ac:dyDescent="0.3">
      <c r="W480" s="72"/>
    </row>
    <row r="481" spans="23:23" x14ac:dyDescent="0.3">
      <c r="W481" s="72"/>
    </row>
    <row r="482" spans="23:23" x14ac:dyDescent="0.3">
      <c r="W482" s="72"/>
    </row>
    <row r="483" spans="23:23" x14ac:dyDescent="0.3">
      <c r="W483" s="72"/>
    </row>
    <row r="484" spans="23:23" x14ac:dyDescent="0.3">
      <c r="W484" s="72"/>
    </row>
    <row r="485" spans="23:23" x14ac:dyDescent="0.3">
      <c r="W485" s="72"/>
    </row>
    <row r="486" spans="23:23" x14ac:dyDescent="0.3">
      <c r="W486" s="72"/>
    </row>
    <row r="487" spans="23:23" x14ac:dyDescent="0.3">
      <c r="W487" s="72"/>
    </row>
    <row r="488" spans="23:23" x14ac:dyDescent="0.3">
      <c r="W488" s="72"/>
    </row>
    <row r="489" spans="23:23" x14ac:dyDescent="0.3">
      <c r="W489" s="72"/>
    </row>
    <row r="490" spans="23:23" x14ac:dyDescent="0.3">
      <c r="W490" s="72"/>
    </row>
    <row r="491" spans="23:23" x14ac:dyDescent="0.3">
      <c r="W491" s="72"/>
    </row>
    <row r="492" spans="23:23" x14ac:dyDescent="0.3">
      <c r="W492" s="72"/>
    </row>
    <row r="493" spans="23:23" x14ac:dyDescent="0.3">
      <c r="W493" s="72"/>
    </row>
    <row r="494" spans="23:23" x14ac:dyDescent="0.3">
      <c r="W494" s="72"/>
    </row>
    <row r="495" spans="23:23" x14ac:dyDescent="0.3">
      <c r="W495" s="72"/>
    </row>
    <row r="496" spans="23:23" x14ac:dyDescent="0.3">
      <c r="W496" s="72"/>
    </row>
    <row r="497" spans="23:23" x14ac:dyDescent="0.3">
      <c r="W497" s="72"/>
    </row>
    <row r="498" spans="23:23" x14ac:dyDescent="0.3">
      <c r="W498" s="72"/>
    </row>
    <row r="499" spans="23:23" x14ac:dyDescent="0.3">
      <c r="W499" s="72"/>
    </row>
    <row r="500" spans="23:23" x14ac:dyDescent="0.3">
      <c r="W500" s="72"/>
    </row>
    <row r="501" spans="23:23" x14ac:dyDescent="0.3">
      <c r="W501" s="72"/>
    </row>
    <row r="502" spans="23:23" x14ac:dyDescent="0.3">
      <c r="W502" s="72"/>
    </row>
    <row r="503" spans="23:23" x14ac:dyDescent="0.3">
      <c r="W503" s="72"/>
    </row>
    <row r="504" spans="23:23" x14ac:dyDescent="0.3">
      <c r="W504" s="72"/>
    </row>
    <row r="505" spans="23:23" x14ac:dyDescent="0.3">
      <c r="W505" s="72"/>
    </row>
    <row r="506" spans="23:23" x14ac:dyDescent="0.3">
      <c r="W506" s="72"/>
    </row>
    <row r="507" spans="23:23" x14ac:dyDescent="0.3">
      <c r="W507" s="72"/>
    </row>
    <row r="508" spans="23:23" x14ac:dyDescent="0.3">
      <c r="W508" s="72"/>
    </row>
    <row r="509" spans="23:23" x14ac:dyDescent="0.3">
      <c r="W509" s="72"/>
    </row>
    <row r="510" spans="23:23" x14ac:dyDescent="0.3">
      <c r="W510" s="72"/>
    </row>
    <row r="511" spans="23:23" x14ac:dyDescent="0.3">
      <c r="W511" s="72"/>
    </row>
    <row r="512" spans="23:23" x14ac:dyDescent="0.3">
      <c r="W512" s="72"/>
    </row>
    <row r="513" spans="23:23" x14ac:dyDescent="0.3">
      <c r="W513" s="72"/>
    </row>
    <row r="514" spans="23:23" x14ac:dyDescent="0.3">
      <c r="W514" s="72"/>
    </row>
    <row r="515" spans="23:23" x14ac:dyDescent="0.3">
      <c r="W515" s="72"/>
    </row>
    <row r="516" spans="23:23" x14ac:dyDescent="0.3">
      <c r="W516" s="72"/>
    </row>
    <row r="517" spans="23:23" x14ac:dyDescent="0.3">
      <c r="W517" s="72"/>
    </row>
    <row r="518" spans="23:23" x14ac:dyDescent="0.3">
      <c r="W518" s="72"/>
    </row>
    <row r="519" spans="23:23" x14ac:dyDescent="0.3">
      <c r="W519" s="72"/>
    </row>
    <row r="520" spans="23:23" x14ac:dyDescent="0.3">
      <c r="W520" s="72"/>
    </row>
    <row r="521" spans="23:23" x14ac:dyDescent="0.3">
      <c r="W521" s="72"/>
    </row>
    <row r="522" spans="23:23" x14ac:dyDescent="0.3">
      <c r="W522" s="72"/>
    </row>
    <row r="523" spans="23:23" x14ac:dyDescent="0.3">
      <c r="W523" s="72"/>
    </row>
    <row r="524" spans="23:23" x14ac:dyDescent="0.3">
      <c r="W524" s="72"/>
    </row>
    <row r="525" spans="23:23" x14ac:dyDescent="0.3">
      <c r="W525" s="72"/>
    </row>
    <row r="526" spans="23:23" x14ac:dyDescent="0.3">
      <c r="W526" s="72"/>
    </row>
    <row r="527" spans="23:23" x14ac:dyDescent="0.3">
      <c r="W527" s="72"/>
    </row>
    <row r="528" spans="23:23" x14ac:dyDescent="0.3">
      <c r="W528" s="72"/>
    </row>
    <row r="529" spans="23:23" x14ac:dyDescent="0.3">
      <c r="W529" s="72"/>
    </row>
    <row r="530" spans="23:23" x14ac:dyDescent="0.3">
      <c r="W530" s="72"/>
    </row>
    <row r="531" spans="23:23" x14ac:dyDescent="0.3">
      <c r="W531" s="72"/>
    </row>
    <row r="532" spans="23:23" x14ac:dyDescent="0.3">
      <c r="W532" s="72"/>
    </row>
    <row r="533" spans="23:23" x14ac:dyDescent="0.3">
      <c r="W533" s="72"/>
    </row>
    <row r="534" spans="23:23" x14ac:dyDescent="0.3">
      <c r="W534" s="72"/>
    </row>
    <row r="535" spans="23:23" x14ac:dyDescent="0.3">
      <c r="W535" s="72"/>
    </row>
    <row r="536" spans="23:23" x14ac:dyDescent="0.3">
      <c r="W536" s="72"/>
    </row>
    <row r="537" spans="23:23" x14ac:dyDescent="0.3">
      <c r="W537" s="72"/>
    </row>
    <row r="538" spans="23:23" x14ac:dyDescent="0.3">
      <c r="W538" s="72"/>
    </row>
    <row r="539" spans="23:23" x14ac:dyDescent="0.3">
      <c r="W539" s="72"/>
    </row>
    <row r="540" spans="23:23" x14ac:dyDescent="0.3">
      <c r="W540" s="72"/>
    </row>
    <row r="541" spans="23:23" x14ac:dyDescent="0.3">
      <c r="W541" s="72"/>
    </row>
    <row r="542" spans="23:23" x14ac:dyDescent="0.3">
      <c r="W542" s="72"/>
    </row>
    <row r="543" spans="23:23" x14ac:dyDescent="0.3">
      <c r="W543" s="72"/>
    </row>
    <row r="544" spans="23:23" x14ac:dyDescent="0.3">
      <c r="W544" s="72"/>
    </row>
    <row r="545" spans="23:23" x14ac:dyDescent="0.3">
      <c r="W545" s="72"/>
    </row>
    <row r="546" spans="23:23" x14ac:dyDescent="0.3">
      <c r="W546" s="72"/>
    </row>
    <row r="547" spans="23:23" x14ac:dyDescent="0.3">
      <c r="W547" s="72"/>
    </row>
    <row r="548" spans="23:23" x14ac:dyDescent="0.3">
      <c r="W548" s="72"/>
    </row>
    <row r="549" spans="23:23" x14ac:dyDescent="0.3">
      <c r="W549" s="72"/>
    </row>
    <row r="550" spans="23:23" x14ac:dyDescent="0.3">
      <c r="W550" s="72"/>
    </row>
    <row r="551" spans="23:23" x14ac:dyDescent="0.3">
      <c r="W551" s="72"/>
    </row>
    <row r="552" spans="23:23" x14ac:dyDescent="0.3">
      <c r="W552" s="72"/>
    </row>
    <row r="553" spans="23:23" x14ac:dyDescent="0.3">
      <c r="W553" s="72"/>
    </row>
    <row r="554" spans="23:23" x14ac:dyDescent="0.3">
      <c r="W554" s="72"/>
    </row>
    <row r="555" spans="23:23" x14ac:dyDescent="0.3">
      <c r="W555" s="72"/>
    </row>
    <row r="556" spans="23:23" x14ac:dyDescent="0.3">
      <c r="W556" s="72"/>
    </row>
    <row r="557" spans="23:23" x14ac:dyDescent="0.3">
      <c r="W557" s="72"/>
    </row>
    <row r="558" spans="23:23" x14ac:dyDescent="0.3">
      <c r="W558" s="72"/>
    </row>
    <row r="559" spans="23:23" x14ac:dyDescent="0.3">
      <c r="W559" s="72"/>
    </row>
    <row r="560" spans="23:23" x14ac:dyDescent="0.3">
      <c r="W560" s="72"/>
    </row>
    <row r="561" spans="23:23" x14ac:dyDescent="0.3">
      <c r="W561" s="72"/>
    </row>
    <row r="562" spans="23:23" x14ac:dyDescent="0.3">
      <c r="W562" s="72"/>
    </row>
    <row r="563" spans="23:23" x14ac:dyDescent="0.3">
      <c r="W563" s="72"/>
    </row>
    <row r="564" spans="23:23" x14ac:dyDescent="0.3">
      <c r="W564" s="72"/>
    </row>
    <row r="565" spans="23:23" x14ac:dyDescent="0.3">
      <c r="W565" s="72"/>
    </row>
    <row r="566" spans="23:23" x14ac:dyDescent="0.3">
      <c r="W566" s="72"/>
    </row>
    <row r="567" spans="23:23" x14ac:dyDescent="0.3">
      <c r="W567" s="72"/>
    </row>
    <row r="568" spans="23:23" x14ac:dyDescent="0.3">
      <c r="W568" s="72"/>
    </row>
    <row r="569" spans="23:23" x14ac:dyDescent="0.3">
      <c r="W569" s="72"/>
    </row>
    <row r="570" spans="23:23" x14ac:dyDescent="0.3">
      <c r="W570" s="72"/>
    </row>
    <row r="571" spans="23:23" x14ac:dyDescent="0.3">
      <c r="W571" s="72"/>
    </row>
    <row r="572" spans="23:23" x14ac:dyDescent="0.3">
      <c r="W572" s="72"/>
    </row>
    <row r="573" spans="23:23" x14ac:dyDescent="0.3">
      <c r="W573" s="72"/>
    </row>
    <row r="574" spans="23:23" x14ac:dyDescent="0.3">
      <c r="W574" s="72"/>
    </row>
    <row r="575" spans="23:23" x14ac:dyDescent="0.3">
      <c r="W575" s="72"/>
    </row>
    <row r="576" spans="23:23" x14ac:dyDescent="0.3">
      <c r="W576" s="72"/>
    </row>
    <row r="577" spans="23:23" x14ac:dyDescent="0.3">
      <c r="W577" s="72"/>
    </row>
    <row r="578" spans="23:23" x14ac:dyDescent="0.3">
      <c r="W578" s="72"/>
    </row>
    <row r="579" spans="23:23" x14ac:dyDescent="0.3">
      <c r="W579" s="72"/>
    </row>
    <row r="580" spans="23:23" x14ac:dyDescent="0.3">
      <c r="W580" s="72"/>
    </row>
    <row r="581" spans="23:23" x14ac:dyDescent="0.3">
      <c r="W581" s="72"/>
    </row>
    <row r="582" spans="23:23" x14ac:dyDescent="0.3">
      <c r="W582" s="72"/>
    </row>
    <row r="583" spans="23:23" x14ac:dyDescent="0.3">
      <c r="W583" s="72"/>
    </row>
    <row r="584" spans="23:23" x14ac:dyDescent="0.3">
      <c r="W584" s="72"/>
    </row>
    <row r="585" spans="23:23" x14ac:dyDescent="0.3">
      <c r="W585" s="72"/>
    </row>
    <row r="586" spans="23:23" x14ac:dyDescent="0.3">
      <c r="W586" s="72"/>
    </row>
    <row r="587" spans="23:23" x14ac:dyDescent="0.3">
      <c r="W587" s="72"/>
    </row>
    <row r="588" spans="23:23" x14ac:dyDescent="0.3">
      <c r="W588" s="72"/>
    </row>
    <row r="589" spans="23:23" x14ac:dyDescent="0.3">
      <c r="W589" s="72"/>
    </row>
    <row r="590" spans="23:23" x14ac:dyDescent="0.3">
      <c r="W590" s="72"/>
    </row>
    <row r="591" spans="23:23" x14ac:dyDescent="0.3">
      <c r="W591" s="72"/>
    </row>
    <row r="592" spans="23:23" x14ac:dyDescent="0.3">
      <c r="W592" s="72"/>
    </row>
    <row r="593" spans="23:23" x14ac:dyDescent="0.3">
      <c r="W593" s="72"/>
    </row>
    <row r="594" spans="23:23" x14ac:dyDescent="0.3">
      <c r="W594" s="72"/>
    </row>
    <row r="595" spans="23:23" x14ac:dyDescent="0.3">
      <c r="W595" s="72"/>
    </row>
    <row r="596" spans="23:23" x14ac:dyDescent="0.3">
      <c r="W596" s="72"/>
    </row>
    <row r="597" spans="23:23" x14ac:dyDescent="0.3">
      <c r="W597" s="72"/>
    </row>
    <row r="598" spans="23:23" x14ac:dyDescent="0.3">
      <c r="W598" s="72"/>
    </row>
    <row r="599" spans="23:23" x14ac:dyDescent="0.3">
      <c r="W599" s="72"/>
    </row>
    <row r="600" spans="23:23" x14ac:dyDescent="0.3">
      <c r="W600" s="72"/>
    </row>
    <row r="601" spans="23:23" x14ac:dyDescent="0.3">
      <c r="W601" s="72"/>
    </row>
    <row r="602" spans="23:23" x14ac:dyDescent="0.3">
      <c r="W602" s="72"/>
    </row>
    <row r="603" spans="23:23" x14ac:dyDescent="0.3">
      <c r="W603" s="72"/>
    </row>
    <row r="604" spans="23:23" x14ac:dyDescent="0.3">
      <c r="W604" s="72"/>
    </row>
    <row r="605" spans="23:23" x14ac:dyDescent="0.3">
      <c r="W605" s="72"/>
    </row>
    <row r="606" spans="23:23" x14ac:dyDescent="0.3">
      <c r="W606" s="72"/>
    </row>
    <row r="607" spans="23:23" x14ac:dyDescent="0.3">
      <c r="W607" s="72"/>
    </row>
    <row r="608" spans="23:23" x14ac:dyDescent="0.3">
      <c r="W608" s="72"/>
    </row>
    <row r="609" spans="23:23" x14ac:dyDescent="0.3">
      <c r="W609" s="72"/>
    </row>
    <row r="610" spans="23:23" x14ac:dyDescent="0.3">
      <c r="W610" s="72"/>
    </row>
    <row r="611" spans="23:23" x14ac:dyDescent="0.3">
      <c r="W611" s="72"/>
    </row>
    <row r="612" spans="23:23" x14ac:dyDescent="0.3">
      <c r="W612" s="72"/>
    </row>
    <row r="613" spans="23:23" x14ac:dyDescent="0.3">
      <c r="W613" s="72"/>
    </row>
    <row r="614" spans="23:23" x14ac:dyDescent="0.3">
      <c r="W614" s="72"/>
    </row>
    <row r="615" spans="23:23" x14ac:dyDescent="0.3">
      <c r="W615" s="72"/>
    </row>
    <row r="616" spans="23:23" x14ac:dyDescent="0.3">
      <c r="W616" s="72"/>
    </row>
    <row r="617" spans="23:23" x14ac:dyDescent="0.3">
      <c r="W617" s="72"/>
    </row>
    <row r="618" spans="23:23" x14ac:dyDescent="0.3">
      <c r="W618" s="72"/>
    </row>
    <row r="619" spans="23:23" x14ac:dyDescent="0.3">
      <c r="W619" s="72"/>
    </row>
    <row r="620" spans="23:23" x14ac:dyDescent="0.3">
      <c r="W620" s="72"/>
    </row>
    <row r="621" spans="23:23" x14ac:dyDescent="0.3">
      <c r="W621" s="72"/>
    </row>
    <row r="622" spans="23:23" x14ac:dyDescent="0.3">
      <c r="W622" s="72"/>
    </row>
    <row r="623" spans="23:23" x14ac:dyDescent="0.3">
      <c r="W623" s="72"/>
    </row>
    <row r="624" spans="23:23" x14ac:dyDescent="0.3">
      <c r="W624" s="72"/>
    </row>
    <row r="625" spans="23:23" x14ac:dyDescent="0.3">
      <c r="W625" s="72"/>
    </row>
    <row r="626" spans="23:23" x14ac:dyDescent="0.3">
      <c r="W626" s="72"/>
    </row>
    <row r="627" spans="23:23" x14ac:dyDescent="0.3">
      <c r="W627" s="72"/>
    </row>
    <row r="628" spans="23:23" x14ac:dyDescent="0.3">
      <c r="W628" s="72"/>
    </row>
    <row r="629" spans="23:23" x14ac:dyDescent="0.3">
      <c r="W629" s="72"/>
    </row>
    <row r="630" spans="23:23" x14ac:dyDescent="0.3">
      <c r="W630" s="72"/>
    </row>
    <row r="631" spans="23:23" x14ac:dyDescent="0.3">
      <c r="W631" s="72"/>
    </row>
    <row r="632" spans="23:23" x14ac:dyDescent="0.3">
      <c r="W632" s="72"/>
    </row>
    <row r="633" spans="23:23" x14ac:dyDescent="0.3">
      <c r="W633" s="72"/>
    </row>
    <row r="634" spans="23:23" x14ac:dyDescent="0.3">
      <c r="W634" s="72"/>
    </row>
    <row r="635" spans="23:23" x14ac:dyDescent="0.3">
      <c r="W635" s="72"/>
    </row>
    <row r="636" spans="23:23" x14ac:dyDescent="0.3">
      <c r="W636" s="72"/>
    </row>
    <row r="637" spans="23:23" x14ac:dyDescent="0.3">
      <c r="W637" s="72"/>
    </row>
    <row r="638" spans="23:23" x14ac:dyDescent="0.3">
      <c r="W638" s="72"/>
    </row>
    <row r="639" spans="23:23" x14ac:dyDescent="0.3">
      <c r="W639" s="72"/>
    </row>
    <row r="640" spans="23:23" x14ac:dyDescent="0.3">
      <c r="W640" s="72"/>
    </row>
    <row r="641" spans="23:23" x14ac:dyDescent="0.3">
      <c r="W641" s="72"/>
    </row>
    <row r="642" spans="23:23" x14ac:dyDescent="0.3">
      <c r="W642" s="72"/>
    </row>
    <row r="643" spans="23:23" x14ac:dyDescent="0.3">
      <c r="W643" s="72"/>
    </row>
    <row r="644" spans="23:23" x14ac:dyDescent="0.3">
      <c r="W644" s="72"/>
    </row>
    <row r="645" spans="23:23" x14ac:dyDescent="0.3">
      <c r="W645" s="72"/>
    </row>
    <row r="646" spans="23:23" x14ac:dyDescent="0.3">
      <c r="W646" s="72"/>
    </row>
    <row r="647" spans="23:23" x14ac:dyDescent="0.3">
      <c r="W647" s="72"/>
    </row>
    <row r="648" spans="23:23" x14ac:dyDescent="0.3">
      <c r="W648" s="72"/>
    </row>
    <row r="649" spans="23:23" x14ac:dyDescent="0.3">
      <c r="W649" s="72"/>
    </row>
    <row r="650" spans="23:23" x14ac:dyDescent="0.3">
      <c r="W650" s="72"/>
    </row>
    <row r="651" spans="23:23" x14ac:dyDescent="0.3">
      <c r="W651" s="72"/>
    </row>
    <row r="652" spans="23:23" x14ac:dyDescent="0.3">
      <c r="W652" s="72"/>
    </row>
    <row r="653" spans="23:23" x14ac:dyDescent="0.3">
      <c r="W653" s="72"/>
    </row>
    <row r="654" spans="23:23" x14ac:dyDescent="0.3">
      <c r="W654" s="72"/>
    </row>
    <row r="655" spans="23:23" x14ac:dyDescent="0.3">
      <c r="W655" s="72"/>
    </row>
    <row r="656" spans="23:23" x14ac:dyDescent="0.3">
      <c r="W656" s="72"/>
    </row>
    <row r="657" spans="23:23" x14ac:dyDescent="0.3">
      <c r="W657" s="72"/>
    </row>
    <row r="658" spans="23:23" x14ac:dyDescent="0.3">
      <c r="W658" s="72"/>
    </row>
    <row r="659" spans="23:23" x14ac:dyDescent="0.3">
      <c r="W659" s="72"/>
    </row>
    <row r="660" spans="23:23" x14ac:dyDescent="0.3">
      <c r="W660" s="72"/>
    </row>
    <row r="661" spans="23:23" x14ac:dyDescent="0.3">
      <c r="W661" s="72"/>
    </row>
    <row r="662" spans="23:23" x14ac:dyDescent="0.3">
      <c r="W662" s="72"/>
    </row>
    <row r="663" spans="23:23" x14ac:dyDescent="0.3">
      <c r="W663" s="72"/>
    </row>
    <row r="664" spans="23:23" x14ac:dyDescent="0.3">
      <c r="W664" s="72"/>
    </row>
    <row r="665" spans="23:23" x14ac:dyDescent="0.3">
      <c r="W665" s="72"/>
    </row>
    <row r="666" spans="23:23" x14ac:dyDescent="0.3">
      <c r="W666" s="72"/>
    </row>
    <row r="667" spans="23:23" x14ac:dyDescent="0.3">
      <c r="W667" s="72"/>
    </row>
    <row r="668" spans="23:23" x14ac:dyDescent="0.3">
      <c r="W668" s="72"/>
    </row>
    <row r="669" spans="23:23" x14ac:dyDescent="0.3">
      <c r="W669" s="72"/>
    </row>
    <row r="670" spans="23:23" x14ac:dyDescent="0.3">
      <c r="W670" s="72"/>
    </row>
    <row r="671" spans="23:23" x14ac:dyDescent="0.3">
      <c r="W671" s="72"/>
    </row>
    <row r="672" spans="23:23" x14ac:dyDescent="0.3">
      <c r="W672" s="72"/>
    </row>
    <row r="673" spans="23:23" x14ac:dyDescent="0.3">
      <c r="W673" s="72"/>
    </row>
    <row r="674" spans="23:23" x14ac:dyDescent="0.3">
      <c r="W674" s="72"/>
    </row>
    <row r="675" spans="23:23" x14ac:dyDescent="0.3">
      <c r="W675" s="72"/>
    </row>
    <row r="676" spans="23:23" x14ac:dyDescent="0.3">
      <c r="W676" s="72"/>
    </row>
    <row r="677" spans="23:23" x14ac:dyDescent="0.3">
      <c r="W677" s="72"/>
    </row>
    <row r="678" spans="23:23" x14ac:dyDescent="0.3">
      <c r="W678" s="72"/>
    </row>
    <row r="679" spans="23:23" x14ac:dyDescent="0.3">
      <c r="W679" s="72"/>
    </row>
    <row r="680" spans="23:23" x14ac:dyDescent="0.3">
      <c r="W680" s="72"/>
    </row>
    <row r="681" spans="23:23" x14ac:dyDescent="0.3">
      <c r="W681" s="72"/>
    </row>
    <row r="682" spans="23:23" x14ac:dyDescent="0.3">
      <c r="W682" s="72"/>
    </row>
    <row r="683" spans="23:23" x14ac:dyDescent="0.3">
      <c r="W683" s="72"/>
    </row>
    <row r="684" spans="23:23" x14ac:dyDescent="0.3">
      <c r="W684" s="72"/>
    </row>
    <row r="685" spans="23:23" x14ac:dyDescent="0.3">
      <c r="W685" s="72"/>
    </row>
    <row r="686" spans="23:23" x14ac:dyDescent="0.3">
      <c r="W686" s="72"/>
    </row>
    <row r="687" spans="23:23" x14ac:dyDescent="0.3">
      <c r="W687" s="72"/>
    </row>
    <row r="688" spans="23:23" x14ac:dyDescent="0.3">
      <c r="W688" s="72"/>
    </row>
    <row r="689" spans="23:23" x14ac:dyDescent="0.3">
      <c r="W689" s="72"/>
    </row>
    <row r="690" spans="23:23" x14ac:dyDescent="0.3">
      <c r="W690" s="72"/>
    </row>
    <row r="691" spans="23:23" x14ac:dyDescent="0.3">
      <c r="W691" s="72"/>
    </row>
    <row r="692" spans="23:23" x14ac:dyDescent="0.3">
      <c r="W692" s="72"/>
    </row>
    <row r="693" spans="23:23" x14ac:dyDescent="0.3">
      <c r="W693" s="72"/>
    </row>
    <row r="694" spans="23:23" x14ac:dyDescent="0.3">
      <c r="W694" s="72"/>
    </row>
    <row r="695" spans="23:23" x14ac:dyDescent="0.3">
      <c r="W695" s="72"/>
    </row>
    <row r="696" spans="23:23" x14ac:dyDescent="0.3">
      <c r="W696" s="72"/>
    </row>
    <row r="697" spans="23:23" x14ac:dyDescent="0.3">
      <c r="W697" s="72"/>
    </row>
    <row r="698" spans="23:23" x14ac:dyDescent="0.3">
      <c r="W698" s="72"/>
    </row>
    <row r="699" spans="23:23" x14ac:dyDescent="0.3">
      <c r="W699" s="72"/>
    </row>
    <row r="700" spans="23:23" x14ac:dyDescent="0.3">
      <c r="W700" s="72"/>
    </row>
    <row r="701" spans="23:23" x14ac:dyDescent="0.3">
      <c r="W701" s="72"/>
    </row>
    <row r="702" spans="23:23" x14ac:dyDescent="0.3">
      <c r="W702" s="72"/>
    </row>
    <row r="703" spans="23:23" x14ac:dyDescent="0.3">
      <c r="W703" s="72"/>
    </row>
    <row r="704" spans="23:23" x14ac:dyDescent="0.3">
      <c r="W704" s="72"/>
    </row>
    <row r="705" spans="23:23" x14ac:dyDescent="0.3">
      <c r="W705" s="72"/>
    </row>
    <row r="706" spans="23:23" x14ac:dyDescent="0.3">
      <c r="W706" s="72"/>
    </row>
    <row r="707" spans="23:23" x14ac:dyDescent="0.3">
      <c r="W707" s="72"/>
    </row>
    <row r="708" spans="23:23" x14ac:dyDescent="0.3">
      <c r="W708" s="72"/>
    </row>
    <row r="709" spans="23:23" x14ac:dyDescent="0.3">
      <c r="W709" s="72"/>
    </row>
    <row r="710" spans="23:23" x14ac:dyDescent="0.3">
      <c r="W710" s="72"/>
    </row>
    <row r="711" spans="23:23" x14ac:dyDescent="0.3">
      <c r="W711" s="72"/>
    </row>
    <row r="712" spans="23:23" x14ac:dyDescent="0.3">
      <c r="W712" s="72"/>
    </row>
    <row r="713" spans="23:23" x14ac:dyDescent="0.3">
      <c r="W713" s="72"/>
    </row>
    <row r="714" spans="23:23" x14ac:dyDescent="0.3">
      <c r="W714" s="72"/>
    </row>
    <row r="715" spans="23:23" x14ac:dyDescent="0.3">
      <c r="W715" s="72"/>
    </row>
    <row r="716" spans="23:23" x14ac:dyDescent="0.3">
      <c r="W716" s="72"/>
    </row>
    <row r="717" spans="23:23" x14ac:dyDescent="0.3">
      <c r="W717" s="72"/>
    </row>
    <row r="718" spans="23:23" x14ac:dyDescent="0.3">
      <c r="W718" s="72"/>
    </row>
    <row r="719" spans="23:23" x14ac:dyDescent="0.3">
      <c r="W719" s="72"/>
    </row>
    <row r="720" spans="23:23" x14ac:dyDescent="0.3">
      <c r="W720" s="72"/>
    </row>
    <row r="721" spans="23:23" x14ac:dyDescent="0.3">
      <c r="W721" s="72"/>
    </row>
    <row r="722" spans="23:23" x14ac:dyDescent="0.3">
      <c r="W722" s="72"/>
    </row>
    <row r="723" spans="23:23" x14ac:dyDescent="0.3">
      <c r="W723" s="72"/>
    </row>
    <row r="724" spans="23:23" x14ac:dyDescent="0.3">
      <c r="W724" s="72"/>
    </row>
    <row r="725" spans="23:23" x14ac:dyDescent="0.3">
      <c r="W725" s="72"/>
    </row>
    <row r="726" spans="23:23" x14ac:dyDescent="0.3">
      <c r="W726" s="72"/>
    </row>
    <row r="727" spans="23:23" x14ac:dyDescent="0.3">
      <c r="W727" s="72"/>
    </row>
    <row r="728" spans="23:23" x14ac:dyDescent="0.3">
      <c r="W728" s="72"/>
    </row>
    <row r="729" spans="23:23" x14ac:dyDescent="0.3">
      <c r="W729" s="72"/>
    </row>
    <row r="730" spans="23:23" x14ac:dyDescent="0.3">
      <c r="W730" s="72"/>
    </row>
    <row r="731" spans="23:23" x14ac:dyDescent="0.3">
      <c r="W731" s="72"/>
    </row>
    <row r="732" spans="23:23" x14ac:dyDescent="0.3">
      <c r="W732" s="72"/>
    </row>
    <row r="733" spans="23:23" x14ac:dyDescent="0.3">
      <c r="W733" s="72"/>
    </row>
    <row r="734" spans="23:23" x14ac:dyDescent="0.3">
      <c r="W734" s="72"/>
    </row>
    <row r="735" spans="23:23" x14ac:dyDescent="0.3">
      <c r="W735" s="72"/>
    </row>
    <row r="736" spans="23:23" x14ac:dyDescent="0.3">
      <c r="W736" s="72"/>
    </row>
    <row r="737" spans="23:23" x14ac:dyDescent="0.3">
      <c r="W737" s="72"/>
    </row>
    <row r="738" spans="23:23" x14ac:dyDescent="0.3">
      <c r="W738" s="72"/>
    </row>
    <row r="739" spans="23:23" x14ac:dyDescent="0.3">
      <c r="W739" s="72"/>
    </row>
    <row r="740" spans="23:23" x14ac:dyDescent="0.3">
      <c r="W740" s="72"/>
    </row>
    <row r="741" spans="23:23" x14ac:dyDescent="0.3">
      <c r="W741" s="72"/>
    </row>
    <row r="742" spans="23:23" x14ac:dyDescent="0.3">
      <c r="W742" s="72"/>
    </row>
    <row r="743" spans="23:23" x14ac:dyDescent="0.3">
      <c r="W743" s="72"/>
    </row>
    <row r="744" spans="23:23" x14ac:dyDescent="0.3">
      <c r="W744" s="72"/>
    </row>
    <row r="745" spans="23:23" x14ac:dyDescent="0.3">
      <c r="W745" s="72"/>
    </row>
    <row r="746" spans="23:23" x14ac:dyDescent="0.3">
      <c r="W746" s="72"/>
    </row>
    <row r="747" spans="23:23" x14ac:dyDescent="0.3">
      <c r="W747" s="72"/>
    </row>
    <row r="748" spans="23:23" x14ac:dyDescent="0.3">
      <c r="W748" s="72"/>
    </row>
    <row r="749" spans="23:23" x14ac:dyDescent="0.3">
      <c r="W749" s="72"/>
    </row>
    <row r="750" spans="23:23" x14ac:dyDescent="0.3">
      <c r="W750" s="72"/>
    </row>
    <row r="751" spans="23:23" x14ac:dyDescent="0.3">
      <c r="W751" s="72"/>
    </row>
    <row r="752" spans="23:23" x14ac:dyDescent="0.3">
      <c r="W752" s="72"/>
    </row>
    <row r="753" spans="23:23" x14ac:dyDescent="0.3">
      <c r="W753" s="72"/>
    </row>
    <row r="754" spans="23:23" x14ac:dyDescent="0.3">
      <c r="W754" s="72"/>
    </row>
    <row r="755" spans="23:23" x14ac:dyDescent="0.3">
      <c r="W755" s="72"/>
    </row>
    <row r="756" spans="23:23" x14ac:dyDescent="0.3">
      <c r="W756" s="72"/>
    </row>
    <row r="757" spans="23:23" x14ac:dyDescent="0.3">
      <c r="W757" s="72"/>
    </row>
    <row r="758" spans="23:23" x14ac:dyDescent="0.3">
      <c r="W758" s="72"/>
    </row>
    <row r="759" spans="23:23" x14ac:dyDescent="0.3">
      <c r="W759" s="72"/>
    </row>
    <row r="760" spans="23:23" x14ac:dyDescent="0.3">
      <c r="W760" s="72"/>
    </row>
    <row r="761" spans="23:23" x14ac:dyDescent="0.3">
      <c r="W761" s="72"/>
    </row>
    <row r="762" spans="23:23" x14ac:dyDescent="0.3">
      <c r="W762" s="72"/>
    </row>
    <row r="763" spans="23:23" x14ac:dyDescent="0.3">
      <c r="W763" s="72"/>
    </row>
    <row r="764" spans="23:23" x14ac:dyDescent="0.3">
      <c r="W764" s="72"/>
    </row>
    <row r="765" spans="23:23" x14ac:dyDescent="0.3">
      <c r="W765" s="72"/>
    </row>
    <row r="766" spans="23:23" x14ac:dyDescent="0.3">
      <c r="W766" s="72"/>
    </row>
    <row r="767" spans="23:23" x14ac:dyDescent="0.3">
      <c r="W767" s="72"/>
    </row>
    <row r="768" spans="23:23" x14ac:dyDescent="0.3">
      <c r="W768" s="72"/>
    </row>
    <row r="769" spans="23:23" x14ac:dyDescent="0.3">
      <c r="W769" s="72"/>
    </row>
    <row r="770" spans="23:23" x14ac:dyDescent="0.3">
      <c r="W770" s="72"/>
    </row>
    <row r="771" spans="23:23" x14ac:dyDescent="0.3">
      <c r="W771" s="72"/>
    </row>
    <row r="772" spans="23:23" x14ac:dyDescent="0.3">
      <c r="W772" s="72"/>
    </row>
    <row r="773" spans="23:23" x14ac:dyDescent="0.3">
      <c r="W773" s="72"/>
    </row>
    <row r="774" spans="23:23" x14ac:dyDescent="0.3">
      <c r="W774" s="72"/>
    </row>
    <row r="775" spans="23:23" x14ac:dyDescent="0.3">
      <c r="W775" s="72"/>
    </row>
    <row r="776" spans="23:23" x14ac:dyDescent="0.3">
      <c r="W776" s="72"/>
    </row>
    <row r="777" spans="23:23" x14ac:dyDescent="0.3">
      <c r="W777" s="72"/>
    </row>
    <row r="778" spans="23:23" x14ac:dyDescent="0.3">
      <c r="W778" s="72"/>
    </row>
    <row r="779" spans="23:23" x14ac:dyDescent="0.3">
      <c r="W779" s="72"/>
    </row>
    <row r="780" spans="23:23" x14ac:dyDescent="0.3">
      <c r="W780" s="72"/>
    </row>
    <row r="781" spans="23:23" x14ac:dyDescent="0.3">
      <c r="W781" s="72"/>
    </row>
    <row r="782" spans="23:23" x14ac:dyDescent="0.3">
      <c r="W782" s="72"/>
    </row>
    <row r="783" spans="23:23" x14ac:dyDescent="0.3">
      <c r="W783" s="72"/>
    </row>
    <row r="784" spans="23:23" x14ac:dyDescent="0.3">
      <c r="W784" s="72"/>
    </row>
    <row r="785" spans="23:23" x14ac:dyDescent="0.3">
      <c r="W785" s="72"/>
    </row>
    <row r="786" spans="23:23" x14ac:dyDescent="0.3">
      <c r="W786" s="72"/>
    </row>
    <row r="787" spans="23:23" x14ac:dyDescent="0.3">
      <c r="W787" s="72"/>
    </row>
    <row r="788" spans="23:23" x14ac:dyDescent="0.3">
      <c r="W788" s="72"/>
    </row>
    <row r="789" spans="23:23" x14ac:dyDescent="0.3">
      <c r="W789" s="72"/>
    </row>
    <row r="790" spans="23:23" x14ac:dyDescent="0.3">
      <c r="W790" s="72"/>
    </row>
    <row r="791" spans="23:23" x14ac:dyDescent="0.3">
      <c r="W791" s="72"/>
    </row>
    <row r="792" spans="23:23" x14ac:dyDescent="0.3">
      <c r="W792" s="72"/>
    </row>
    <row r="793" spans="23:23" x14ac:dyDescent="0.3">
      <c r="W793" s="72"/>
    </row>
    <row r="794" spans="23:23" x14ac:dyDescent="0.3">
      <c r="W794" s="72"/>
    </row>
    <row r="795" spans="23:23" x14ac:dyDescent="0.3">
      <c r="W795" s="72"/>
    </row>
    <row r="796" spans="23:23" x14ac:dyDescent="0.3">
      <c r="W796" s="72"/>
    </row>
    <row r="797" spans="23:23" x14ac:dyDescent="0.3">
      <c r="W797" s="72"/>
    </row>
    <row r="798" spans="23:23" x14ac:dyDescent="0.3">
      <c r="W798" s="72"/>
    </row>
    <row r="799" spans="23:23" x14ac:dyDescent="0.3">
      <c r="W799" s="72"/>
    </row>
    <row r="800" spans="23:23" x14ac:dyDescent="0.3">
      <c r="W800" s="72"/>
    </row>
    <row r="801" spans="23:23" x14ac:dyDescent="0.3">
      <c r="W801" s="72"/>
    </row>
    <row r="802" spans="23:23" x14ac:dyDescent="0.3">
      <c r="W802" s="72"/>
    </row>
    <row r="803" spans="23:23" x14ac:dyDescent="0.3">
      <c r="W803" s="72"/>
    </row>
    <row r="804" spans="23:23" x14ac:dyDescent="0.3">
      <c r="W804" s="72"/>
    </row>
    <row r="805" spans="23:23" x14ac:dyDescent="0.3">
      <c r="W805" s="72"/>
    </row>
    <row r="806" spans="23:23" x14ac:dyDescent="0.3">
      <c r="W806" s="72"/>
    </row>
    <row r="807" spans="23:23" x14ac:dyDescent="0.3">
      <c r="W807" s="72"/>
    </row>
    <row r="808" spans="23:23" x14ac:dyDescent="0.3">
      <c r="W808" s="72"/>
    </row>
    <row r="809" spans="23:23" x14ac:dyDescent="0.3">
      <c r="W809" s="72"/>
    </row>
    <row r="810" spans="23:23" x14ac:dyDescent="0.3">
      <c r="W810" s="72"/>
    </row>
    <row r="811" spans="23:23" x14ac:dyDescent="0.3">
      <c r="W811" s="72"/>
    </row>
    <row r="812" spans="23:23" x14ac:dyDescent="0.3">
      <c r="W812" s="72"/>
    </row>
    <row r="813" spans="23:23" x14ac:dyDescent="0.3">
      <c r="W813" s="72"/>
    </row>
    <row r="814" spans="23:23" x14ac:dyDescent="0.3">
      <c r="W814" s="72"/>
    </row>
    <row r="815" spans="23:23" x14ac:dyDescent="0.3">
      <c r="W815" s="72"/>
    </row>
    <row r="816" spans="23:23" x14ac:dyDescent="0.3">
      <c r="W816" s="72"/>
    </row>
    <row r="817" spans="23:23" x14ac:dyDescent="0.3">
      <c r="W817" s="72"/>
    </row>
    <row r="818" spans="23:23" x14ac:dyDescent="0.3">
      <c r="W818" s="72"/>
    </row>
    <row r="819" spans="23:23" x14ac:dyDescent="0.3">
      <c r="W819" s="72"/>
    </row>
    <row r="820" spans="23:23" x14ac:dyDescent="0.3">
      <c r="W820" s="72"/>
    </row>
    <row r="821" spans="23:23" x14ac:dyDescent="0.3">
      <c r="W821" s="72"/>
    </row>
    <row r="822" spans="23:23" x14ac:dyDescent="0.3">
      <c r="W822" s="72"/>
    </row>
    <row r="823" spans="23:23" x14ac:dyDescent="0.3">
      <c r="W823" s="72"/>
    </row>
    <row r="824" spans="23:23" x14ac:dyDescent="0.3">
      <c r="W824" s="72"/>
    </row>
    <row r="825" spans="23:23" x14ac:dyDescent="0.3">
      <c r="W825" s="72"/>
    </row>
    <row r="826" spans="23:23" x14ac:dyDescent="0.3">
      <c r="W826" s="72"/>
    </row>
    <row r="827" spans="23:23" x14ac:dyDescent="0.3">
      <c r="W827" s="72"/>
    </row>
    <row r="828" spans="23:23" x14ac:dyDescent="0.3">
      <c r="W828" s="72"/>
    </row>
    <row r="829" spans="23:23" x14ac:dyDescent="0.3">
      <c r="W829" s="72"/>
    </row>
    <row r="830" spans="23:23" x14ac:dyDescent="0.3">
      <c r="W830" s="72"/>
    </row>
    <row r="831" spans="23:23" x14ac:dyDescent="0.3">
      <c r="W831" s="72"/>
    </row>
    <row r="832" spans="23:23" x14ac:dyDescent="0.3">
      <c r="W832" s="72"/>
    </row>
    <row r="833" spans="23:23" x14ac:dyDescent="0.3">
      <c r="W833" s="72"/>
    </row>
    <row r="834" spans="23:23" x14ac:dyDescent="0.3">
      <c r="W834" s="72"/>
    </row>
    <row r="835" spans="23:23" x14ac:dyDescent="0.3">
      <c r="W835" s="72"/>
    </row>
    <row r="836" spans="23:23" x14ac:dyDescent="0.3">
      <c r="W836" s="72"/>
    </row>
    <row r="837" spans="23:23" x14ac:dyDescent="0.3">
      <c r="W837" s="72"/>
    </row>
    <row r="838" spans="23:23" x14ac:dyDescent="0.3">
      <c r="W838" s="72"/>
    </row>
    <row r="839" spans="23:23" x14ac:dyDescent="0.3">
      <c r="W839" s="72"/>
    </row>
    <row r="840" spans="23:23" x14ac:dyDescent="0.3">
      <c r="W840" s="72"/>
    </row>
    <row r="841" spans="23:23" x14ac:dyDescent="0.3">
      <c r="W841" s="72"/>
    </row>
    <row r="842" spans="23:23" x14ac:dyDescent="0.3">
      <c r="W842" s="72"/>
    </row>
    <row r="843" spans="23:23" x14ac:dyDescent="0.3">
      <c r="W843" s="72"/>
    </row>
    <row r="844" spans="23:23" x14ac:dyDescent="0.3">
      <c r="W844" s="72"/>
    </row>
    <row r="845" spans="23:23" x14ac:dyDescent="0.3">
      <c r="W845" s="72"/>
    </row>
    <row r="846" spans="23:23" x14ac:dyDescent="0.3">
      <c r="W846" s="72"/>
    </row>
    <row r="847" spans="23:23" x14ac:dyDescent="0.3">
      <c r="W847" s="72"/>
    </row>
    <row r="848" spans="23:23" x14ac:dyDescent="0.3">
      <c r="W848" s="72"/>
    </row>
    <row r="849" spans="23:23" x14ac:dyDescent="0.3">
      <c r="W849" s="72"/>
    </row>
    <row r="850" spans="23:23" x14ac:dyDescent="0.3">
      <c r="W850" s="72"/>
    </row>
    <row r="851" spans="23:23" x14ac:dyDescent="0.3">
      <c r="W851" s="72"/>
    </row>
    <row r="852" spans="23:23" x14ac:dyDescent="0.3">
      <c r="W852" s="72"/>
    </row>
    <row r="853" spans="23:23" x14ac:dyDescent="0.3">
      <c r="W853" s="72"/>
    </row>
    <row r="854" spans="23:23" x14ac:dyDescent="0.3">
      <c r="W854" s="72"/>
    </row>
    <row r="855" spans="23:23" x14ac:dyDescent="0.3">
      <c r="W855" s="72"/>
    </row>
    <row r="856" spans="23:23" x14ac:dyDescent="0.3">
      <c r="W856" s="72"/>
    </row>
    <row r="857" spans="23:23" x14ac:dyDescent="0.3">
      <c r="W857" s="72"/>
    </row>
    <row r="858" spans="23:23" x14ac:dyDescent="0.3">
      <c r="W858" s="72"/>
    </row>
    <row r="859" spans="23:23" x14ac:dyDescent="0.3">
      <c r="W859" s="72"/>
    </row>
    <row r="860" spans="23:23" x14ac:dyDescent="0.3">
      <c r="W860" s="72"/>
    </row>
    <row r="861" spans="23:23" x14ac:dyDescent="0.3">
      <c r="W861" s="72"/>
    </row>
    <row r="862" spans="23:23" x14ac:dyDescent="0.3">
      <c r="W862" s="72"/>
    </row>
    <row r="863" spans="23:23" x14ac:dyDescent="0.3">
      <c r="W863" s="72"/>
    </row>
    <row r="864" spans="23:23" x14ac:dyDescent="0.3">
      <c r="W864" s="72"/>
    </row>
    <row r="865" spans="23:23" x14ac:dyDescent="0.3">
      <c r="W865" s="72"/>
    </row>
    <row r="866" spans="23:23" x14ac:dyDescent="0.3">
      <c r="W866" s="72"/>
    </row>
    <row r="867" spans="23:23" x14ac:dyDescent="0.3">
      <c r="W867" s="72"/>
    </row>
    <row r="868" spans="23:23" x14ac:dyDescent="0.3">
      <c r="W868" s="72"/>
    </row>
    <row r="869" spans="23:23" x14ac:dyDescent="0.3">
      <c r="W869" s="72"/>
    </row>
    <row r="870" spans="23:23" x14ac:dyDescent="0.3">
      <c r="W870" s="72"/>
    </row>
    <row r="871" spans="23:23" x14ac:dyDescent="0.3">
      <c r="W871" s="72"/>
    </row>
    <row r="872" spans="23:23" x14ac:dyDescent="0.3">
      <c r="W872" s="72"/>
    </row>
    <row r="873" spans="23:23" x14ac:dyDescent="0.3">
      <c r="W873" s="72"/>
    </row>
    <row r="874" spans="23:23" x14ac:dyDescent="0.3">
      <c r="W874" s="72"/>
    </row>
    <row r="875" spans="23:23" x14ac:dyDescent="0.3">
      <c r="W875" s="72"/>
    </row>
    <row r="876" spans="23:23" x14ac:dyDescent="0.3">
      <c r="W876" s="72"/>
    </row>
    <row r="877" spans="23:23" x14ac:dyDescent="0.3">
      <c r="W877" s="72"/>
    </row>
    <row r="878" spans="23:23" x14ac:dyDescent="0.3">
      <c r="W878" s="72"/>
    </row>
    <row r="879" spans="23:23" x14ac:dyDescent="0.3">
      <c r="W879" s="72"/>
    </row>
    <row r="880" spans="23:23" x14ac:dyDescent="0.3">
      <c r="W880" s="72"/>
    </row>
    <row r="881" spans="23:23" x14ac:dyDescent="0.3">
      <c r="W881" s="72"/>
    </row>
    <row r="882" spans="23:23" x14ac:dyDescent="0.3">
      <c r="W882" s="72"/>
    </row>
    <row r="883" spans="23:23" x14ac:dyDescent="0.3">
      <c r="W883" s="72"/>
    </row>
    <row r="884" spans="23:23" x14ac:dyDescent="0.3">
      <c r="W884" s="72"/>
    </row>
    <row r="885" spans="23:23" x14ac:dyDescent="0.3">
      <c r="W885" s="72"/>
    </row>
    <row r="886" spans="23:23" x14ac:dyDescent="0.3">
      <c r="W886" s="72"/>
    </row>
    <row r="887" spans="23:23" x14ac:dyDescent="0.3">
      <c r="W887" s="72"/>
    </row>
    <row r="888" spans="23:23" x14ac:dyDescent="0.3">
      <c r="W888" s="72"/>
    </row>
    <row r="889" spans="23:23" x14ac:dyDescent="0.3">
      <c r="W889" s="72"/>
    </row>
    <row r="890" spans="23:23" x14ac:dyDescent="0.3">
      <c r="W890" s="72"/>
    </row>
    <row r="891" spans="23:23" x14ac:dyDescent="0.3">
      <c r="W891" s="72"/>
    </row>
    <row r="892" spans="23:23" x14ac:dyDescent="0.3">
      <c r="W892" s="72"/>
    </row>
    <row r="893" spans="23:23" x14ac:dyDescent="0.3">
      <c r="W893" s="72"/>
    </row>
    <row r="894" spans="23:23" x14ac:dyDescent="0.3">
      <c r="W894" s="72"/>
    </row>
    <row r="895" spans="23:23" x14ac:dyDescent="0.3">
      <c r="W895" s="72"/>
    </row>
    <row r="896" spans="23:23" x14ac:dyDescent="0.3">
      <c r="W896" s="72"/>
    </row>
    <row r="897" spans="23:23" x14ac:dyDescent="0.3">
      <c r="W897" s="72"/>
    </row>
    <row r="898" spans="23:23" x14ac:dyDescent="0.3">
      <c r="W898" s="72"/>
    </row>
    <row r="899" spans="23:23" x14ac:dyDescent="0.3">
      <c r="W899" s="72"/>
    </row>
    <row r="900" spans="23:23" x14ac:dyDescent="0.3">
      <c r="W900" s="72"/>
    </row>
    <row r="901" spans="23:23" x14ac:dyDescent="0.3">
      <c r="W901" s="72"/>
    </row>
    <row r="902" spans="23:23" x14ac:dyDescent="0.3">
      <c r="W902" s="72"/>
    </row>
    <row r="903" spans="23:23" x14ac:dyDescent="0.3">
      <c r="W903" s="72"/>
    </row>
    <row r="904" spans="23:23" x14ac:dyDescent="0.3">
      <c r="W904" s="72"/>
    </row>
    <row r="905" spans="23:23" x14ac:dyDescent="0.3">
      <c r="W905" s="72"/>
    </row>
    <row r="906" spans="23:23" x14ac:dyDescent="0.3">
      <c r="W906" s="72"/>
    </row>
    <row r="907" spans="23:23" x14ac:dyDescent="0.3">
      <c r="W907" s="72"/>
    </row>
    <row r="908" spans="23:23" x14ac:dyDescent="0.3">
      <c r="W908" s="72"/>
    </row>
    <row r="909" spans="23:23" x14ac:dyDescent="0.3">
      <c r="W909" s="72"/>
    </row>
    <row r="910" spans="23:23" x14ac:dyDescent="0.3">
      <c r="W910" s="72"/>
    </row>
    <row r="911" spans="23:23" x14ac:dyDescent="0.3">
      <c r="W911" s="72"/>
    </row>
    <row r="912" spans="23:23" x14ac:dyDescent="0.3">
      <c r="W912" s="72"/>
    </row>
    <row r="913" spans="23:23" x14ac:dyDescent="0.3">
      <c r="W913" s="72"/>
    </row>
    <row r="914" spans="23:23" x14ac:dyDescent="0.3">
      <c r="W914" s="72"/>
    </row>
    <row r="915" spans="23:23" x14ac:dyDescent="0.3">
      <c r="W915" s="72"/>
    </row>
    <row r="916" spans="23:23" x14ac:dyDescent="0.3">
      <c r="W916" s="72"/>
    </row>
    <row r="917" spans="23:23" x14ac:dyDescent="0.3">
      <c r="W917" s="72"/>
    </row>
    <row r="918" spans="23:23" x14ac:dyDescent="0.3">
      <c r="W918" s="72"/>
    </row>
    <row r="919" spans="23:23" x14ac:dyDescent="0.3">
      <c r="W919" s="72"/>
    </row>
    <row r="920" spans="23:23" x14ac:dyDescent="0.3">
      <c r="W920" s="72"/>
    </row>
    <row r="921" spans="23:23" x14ac:dyDescent="0.3">
      <c r="W921" s="72"/>
    </row>
    <row r="922" spans="23:23" x14ac:dyDescent="0.3">
      <c r="W922" s="72"/>
    </row>
    <row r="923" spans="23:23" x14ac:dyDescent="0.3">
      <c r="W923" s="72"/>
    </row>
    <row r="924" spans="23:23" x14ac:dyDescent="0.3">
      <c r="W924" s="72"/>
    </row>
    <row r="925" spans="23:23" x14ac:dyDescent="0.3">
      <c r="W925" s="72"/>
    </row>
    <row r="926" spans="23:23" x14ac:dyDescent="0.3">
      <c r="W926" s="72"/>
    </row>
    <row r="927" spans="23:23" x14ac:dyDescent="0.3">
      <c r="W927" s="72"/>
    </row>
    <row r="928" spans="23:23" x14ac:dyDescent="0.3">
      <c r="W928" s="72"/>
    </row>
    <row r="929" spans="23:23" x14ac:dyDescent="0.3">
      <c r="W929" s="72"/>
    </row>
    <row r="930" spans="23:23" x14ac:dyDescent="0.3">
      <c r="W930" s="72"/>
    </row>
    <row r="931" spans="23:23" x14ac:dyDescent="0.3">
      <c r="W931" s="72"/>
    </row>
    <row r="932" spans="23:23" x14ac:dyDescent="0.3">
      <c r="W932" s="72"/>
    </row>
    <row r="933" spans="23:23" x14ac:dyDescent="0.3">
      <c r="W933" s="72"/>
    </row>
    <row r="934" spans="23:23" x14ac:dyDescent="0.3">
      <c r="W934" s="72"/>
    </row>
    <row r="935" spans="23:23" x14ac:dyDescent="0.3">
      <c r="W935" s="72"/>
    </row>
    <row r="936" spans="23:23" x14ac:dyDescent="0.3">
      <c r="W936" s="72"/>
    </row>
    <row r="937" spans="23:23" x14ac:dyDescent="0.3">
      <c r="W937" s="72"/>
    </row>
    <row r="938" spans="23:23" x14ac:dyDescent="0.3">
      <c r="W938" s="72"/>
    </row>
    <row r="939" spans="23:23" x14ac:dyDescent="0.3">
      <c r="W939" s="72"/>
    </row>
    <row r="940" spans="23:23" x14ac:dyDescent="0.3">
      <c r="W940" s="72"/>
    </row>
    <row r="941" spans="23:23" x14ac:dyDescent="0.3">
      <c r="W941" s="72"/>
    </row>
    <row r="942" spans="23:23" x14ac:dyDescent="0.3">
      <c r="W942" s="72"/>
    </row>
    <row r="943" spans="23:23" x14ac:dyDescent="0.3">
      <c r="W943" s="72"/>
    </row>
    <row r="944" spans="23:23" x14ac:dyDescent="0.3">
      <c r="W944" s="72"/>
    </row>
    <row r="945" spans="23:23" x14ac:dyDescent="0.3">
      <c r="W945" s="72"/>
    </row>
    <row r="946" spans="23:23" x14ac:dyDescent="0.3">
      <c r="W946" s="72"/>
    </row>
    <row r="947" spans="23:23" x14ac:dyDescent="0.3">
      <c r="W947" s="72"/>
    </row>
    <row r="948" spans="23:23" x14ac:dyDescent="0.3">
      <c r="W948" s="72"/>
    </row>
    <row r="949" spans="23:23" x14ac:dyDescent="0.3">
      <c r="W949" s="72"/>
    </row>
    <row r="950" spans="23:23" x14ac:dyDescent="0.3">
      <c r="W950" s="72"/>
    </row>
    <row r="951" spans="23:23" x14ac:dyDescent="0.3">
      <c r="W951" s="72"/>
    </row>
    <row r="952" spans="23:23" x14ac:dyDescent="0.3">
      <c r="W952" s="72"/>
    </row>
    <row r="953" spans="23:23" x14ac:dyDescent="0.3">
      <c r="W953" s="72"/>
    </row>
    <row r="954" spans="23:23" x14ac:dyDescent="0.3">
      <c r="W954" s="72"/>
    </row>
    <row r="955" spans="23:23" x14ac:dyDescent="0.3">
      <c r="W955" s="72"/>
    </row>
    <row r="956" spans="23:23" x14ac:dyDescent="0.3">
      <c r="W956" s="72"/>
    </row>
    <row r="957" spans="23:23" x14ac:dyDescent="0.3">
      <c r="W957" s="72"/>
    </row>
    <row r="958" spans="23:23" x14ac:dyDescent="0.3">
      <c r="W958" s="72"/>
    </row>
    <row r="959" spans="23:23" x14ac:dyDescent="0.3">
      <c r="W959" s="72"/>
    </row>
    <row r="960" spans="23:23" x14ac:dyDescent="0.3">
      <c r="W960" s="72"/>
    </row>
    <row r="961" spans="23:23" x14ac:dyDescent="0.3">
      <c r="W961" s="72"/>
    </row>
    <row r="962" spans="23:23" x14ac:dyDescent="0.3">
      <c r="W962" s="72"/>
    </row>
    <row r="963" spans="23:23" x14ac:dyDescent="0.3">
      <c r="W963" s="72"/>
    </row>
    <row r="964" spans="23:23" x14ac:dyDescent="0.3">
      <c r="W964" s="72"/>
    </row>
    <row r="965" spans="23:23" x14ac:dyDescent="0.3">
      <c r="W965" s="72"/>
    </row>
    <row r="966" spans="23:23" x14ac:dyDescent="0.3">
      <c r="W966" s="72"/>
    </row>
    <row r="967" spans="23:23" x14ac:dyDescent="0.3">
      <c r="W967" s="72"/>
    </row>
    <row r="968" spans="23:23" x14ac:dyDescent="0.3">
      <c r="W968" s="72"/>
    </row>
    <row r="969" spans="23:23" x14ac:dyDescent="0.3">
      <c r="W969" s="72"/>
    </row>
    <row r="970" spans="23:23" x14ac:dyDescent="0.3">
      <c r="W970" s="72"/>
    </row>
    <row r="971" spans="23:23" x14ac:dyDescent="0.3">
      <c r="W971" s="72"/>
    </row>
    <row r="972" spans="23:23" x14ac:dyDescent="0.3">
      <c r="W972" s="72"/>
    </row>
    <row r="973" spans="23:23" x14ac:dyDescent="0.3">
      <c r="W973" s="72"/>
    </row>
    <row r="974" spans="23:23" x14ac:dyDescent="0.3">
      <c r="W974" s="72"/>
    </row>
    <row r="975" spans="23:23" x14ac:dyDescent="0.3">
      <c r="W975" s="72"/>
    </row>
    <row r="976" spans="23:23" x14ac:dyDescent="0.3">
      <c r="W976" s="72"/>
    </row>
    <row r="977" spans="23:23" x14ac:dyDescent="0.3">
      <c r="W977" s="72"/>
    </row>
    <row r="978" spans="23:23" x14ac:dyDescent="0.3">
      <c r="W978" s="72"/>
    </row>
    <row r="979" spans="23:23" x14ac:dyDescent="0.3">
      <c r="W979" s="72"/>
    </row>
    <row r="980" spans="23:23" x14ac:dyDescent="0.3">
      <c r="W980" s="72"/>
    </row>
    <row r="981" spans="23:23" x14ac:dyDescent="0.3">
      <c r="W981" s="72"/>
    </row>
    <row r="982" spans="23:23" x14ac:dyDescent="0.3">
      <c r="W982" s="72"/>
    </row>
    <row r="983" spans="23:23" x14ac:dyDescent="0.3">
      <c r="W983" s="72"/>
    </row>
    <row r="984" spans="23:23" x14ac:dyDescent="0.3">
      <c r="W984" s="72"/>
    </row>
    <row r="985" spans="23:23" x14ac:dyDescent="0.3">
      <c r="W985" s="72"/>
    </row>
    <row r="986" spans="23:23" x14ac:dyDescent="0.3">
      <c r="W986" s="72"/>
    </row>
    <row r="987" spans="23:23" x14ac:dyDescent="0.3">
      <c r="W987" s="72"/>
    </row>
    <row r="988" spans="23:23" x14ac:dyDescent="0.3">
      <c r="W988" s="72"/>
    </row>
    <row r="989" spans="23:23" x14ac:dyDescent="0.3">
      <c r="W989" s="72"/>
    </row>
    <row r="990" spans="23:23" x14ac:dyDescent="0.3">
      <c r="W990" s="72"/>
    </row>
    <row r="991" spans="23:23" x14ac:dyDescent="0.3">
      <c r="W991" s="72"/>
    </row>
    <row r="992" spans="23:23" x14ac:dyDescent="0.3">
      <c r="W992" s="72"/>
    </row>
    <row r="993" spans="23:23" x14ac:dyDescent="0.3">
      <c r="W993" s="72"/>
    </row>
    <row r="994" spans="23:23" x14ac:dyDescent="0.3">
      <c r="W994" s="72"/>
    </row>
    <row r="995" spans="23:23" x14ac:dyDescent="0.3">
      <c r="W995" s="72"/>
    </row>
    <row r="996" spans="23:23" x14ac:dyDescent="0.3">
      <c r="W996" s="72"/>
    </row>
    <row r="997" spans="23:23" x14ac:dyDescent="0.3">
      <c r="W997" s="72"/>
    </row>
    <row r="998" spans="23:23" x14ac:dyDescent="0.3">
      <c r="W998" s="72"/>
    </row>
    <row r="999" spans="23:23" x14ac:dyDescent="0.3">
      <c r="W999" s="72"/>
    </row>
    <row r="1000" spans="23:23" x14ac:dyDescent="0.3">
      <c r="W1000" s="72"/>
    </row>
    <row r="1001" spans="23:23" x14ac:dyDescent="0.3">
      <c r="W1001" s="72"/>
    </row>
    <row r="1002" spans="23:23" x14ac:dyDescent="0.3">
      <c r="W1002" s="72"/>
    </row>
    <row r="1003" spans="23:23" x14ac:dyDescent="0.3">
      <c r="W1003" s="72"/>
    </row>
    <row r="1004" spans="23:23" x14ac:dyDescent="0.3">
      <c r="W1004" s="72"/>
    </row>
    <row r="1005" spans="23:23" x14ac:dyDescent="0.3">
      <c r="W1005" s="72"/>
    </row>
    <row r="1006" spans="23:23" x14ac:dyDescent="0.3">
      <c r="W1006" s="72"/>
    </row>
    <row r="1007" spans="23:23" x14ac:dyDescent="0.3">
      <c r="W1007" s="72"/>
    </row>
    <row r="1008" spans="23:23" x14ac:dyDescent="0.3">
      <c r="W1008" s="72"/>
    </row>
    <row r="1009" spans="23:23" x14ac:dyDescent="0.3">
      <c r="W1009" s="72"/>
    </row>
    <row r="1010" spans="23:23" x14ac:dyDescent="0.3">
      <c r="W1010" s="72"/>
    </row>
    <row r="1011" spans="23:23" x14ac:dyDescent="0.3">
      <c r="W1011" s="72"/>
    </row>
    <row r="1012" spans="23:23" x14ac:dyDescent="0.3">
      <c r="W1012" s="72"/>
    </row>
    <row r="1013" spans="23:23" x14ac:dyDescent="0.3">
      <c r="W1013" s="72"/>
    </row>
    <row r="1014" spans="23:23" x14ac:dyDescent="0.3">
      <c r="W1014" s="72"/>
    </row>
    <row r="1015" spans="23:23" x14ac:dyDescent="0.3">
      <c r="W1015" s="72"/>
    </row>
    <row r="1016" spans="23:23" x14ac:dyDescent="0.3">
      <c r="W1016" s="72"/>
    </row>
    <row r="1017" spans="23:23" x14ac:dyDescent="0.3">
      <c r="W1017" s="72"/>
    </row>
    <row r="1018" spans="23:23" x14ac:dyDescent="0.3">
      <c r="W1018" s="72"/>
    </row>
    <row r="1019" spans="23:23" x14ac:dyDescent="0.3">
      <c r="W1019" s="72"/>
    </row>
    <row r="1020" spans="23:23" x14ac:dyDescent="0.3">
      <c r="W1020" s="72"/>
    </row>
    <row r="1021" spans="23:23" x14ac:dyDescent="0.3">
      <c r="W1021" s="72"/>
    </row>
    <row r="1022" spans="23:23" x14ac:dyDescent="0.3">
      <c r="W1022" s="72"/>
    </row>
    <row r="1023" spans="23:23" x14ac:dyDescent="0.3">
      <c r="W1023" s="72"/>
    </row>
    <row r="1024" spans="23:23" x14ac:dyDescent="0.3">
      <c r="W1024" s="72"/>
    </row>
    <row r="1025" spans="23:23" x14ac:dyDescent="0.3">
      <c r="W1025" s="72"/>
    </row>
    <row r="1026" spans="23:23" x14ac:dyDescent="0.3">
      <c r="W1026" s="72"/>
    </row>
    <row r="1027" spans="23:23" x14ac:dyDescent="0.3">
      <c r="W1027" s="72"/>
    </row>
    <row r="1028" spans="23:23" x14ac:dyDescent="0.3">
      <c r="W1028" s="72"/>
    </row>
    <row r="1029" spans="23:23" x14ac:dyDescent="0.3">
      <c r="W1029" s="72"/>
    </row>
    <row r="1030" spans="23:23" x14ac:dyDescent="0.3">
      <c r="W1030" s="72"/>
    </row>
    <row r="1031" spans="23:23" x14ac:dyDescent="0.3">
      <c r="W1031" s="72"/>
    </row>
    <row r="1032" spans="23:23" x14ac:dyDescent="0.3">
      <c r="W1032" s="72"/>
    </row>
    <row r="1033" spans="23:23" x14ac:dyDescent="0.3">
      <c r="W1033" s="72"/>
    </row>
    <row r="1034" spans="23:23" x14ac:dyDescent="0.3">
      <c r="W1034" s="72"/>
    </row>
    <row r="1035" spans="23:23" x14ac:dyDescent="0.3">
      <c r="W1035" s="72"/>
    </row>
    <row r="1036" spans="23:23" x14ac:dyDescent="0.3">
      <c r="W1036" s="72"/>
    </row>
    <row r="1037" spans="23:23" x14ac:dyDescent="0.3">
      <c r="W1037" s="72"/>
    </row>
    <row r="1038" spans="23:23" x14ac:dyDescent="0.3">
      <c r="W1038" s="72"/>
    </row>
    <row r="1039" spans="23:23" x14ac:dyDescent="0.3">
      <c r="W1039" s="72"/>
    </row>
    <row r="1040" spans="23:23" x14ac:dyDescent="0.3">
      <c r="W1040" s="72"/>
    </row>
    <row r="1041" spans="23:23" x14ac:dyDescent="0.3">
      <c r="W1041" s="72"/>
    </row>
    <row r="1042" spans="23:23" x14ac:dyDescent="0.3">
      <c r="W1042" s="72"/>
    </row>
    <row r="1043" spans="23:23" x14ac:dyDescent="0.3">
      <c r="W1043" s="72"/>
    </row>
    <row r="1044" spans="23:23" x14ac:dyDescent="0.3">
      <c r="W1044" s="72"/>
    </row>
    <row r="1045" spans="23:23" x14ac:dyDescent="0.3">
      <c r="W1045" s="72"/>
    </row>
    <row r="1046" spans="23:23" x14ac:dyDescent="0.3">
      <c r="W1046" s="72"/>
    </row>
    <row r="1047" spans="23:23" x14ac:dyDescent="0.3">
      <c r="W1047" s="72"/>
    </row>
    <row r="1048" spans="23:23" x14ac:dyDescent="0.3">
      <c r="W1048" s="72"/>
    </row>
    <row r="1049" spans="23:23" x14ac:dyDescent="0.3">
      <c r="W1049" s="72"/>
    </row>
    <row r="1050" spans="23:23" x14ac:dyDescent="0.3">
      <c r="W1050" s="72"/>
    </row>
    <row r="1051" spans="23:23" x14ac:dyDescent="0.3">
      <c r="W1051" s="72"/>
    </row>
    <row r="1052" spans="23:23" x14ac:dyDescent="0.3">
      <c r="W1052" s="72"/>
    </row>
    <row r="1053" spans="23:23" x14ac:dyDescent="0.3">
      <c r="W1053" s="72"/>
    </row>
    <row r="1054" spans="23:23" x14ac:dyDescent="0.3">
      <c r="W1054" s="72"/>
    </row>
    <row r="1055" spans="23:23" x14ac:dyDescent="0.3">
      <c r="W1055" s="72"/>
    </row>
    <row r="1056" spans="23:23" x14ac:dyDescent="0.3">
      <c r="W1056" s="72"/>
    </row>
    <row r="1057" spans="23:23" x14ac:dyDescent="0.3">
      <c r="W1057" s="72"/>
    </row>
    <row r="1058" spans="23:23" x14ac:dyDescent="0.3">
      <c r="W1058" s="72"/>
    </row>
    <row r="1059" spans="23:23" x14ac:dyDescent="0.3">
      <c r="W1059" s="72"/>
    </row>
    <row r="1060" spans="23:23" x14ac:dyDescent="0.3">
      <c r="W1060" s="72"/>
    </row>
    <row r="1061" spans="23:23" x14ac:dyDescent="0.3">
      <c r="W1061" s="72"/>
    </row>
    <row r="1062" spans="23:23" x14ac:dyDescent="0.3">
      <c r="W1062" s="72"/>
    </row>
    <row r="1063" spans="23:23" x14ac:dyDescent="0.3">
      <c r="W1063" s="72"/>
    </row>
    <row r="1064" spans="23:23" x14ac:dyDescent="0.3">
      <c r="W1064" s="72"/>
    </row>
    <row r="1065" spans="23:23" x14ac:dyDescent="0.3">
      <c r="W1065" s="72"/>
    </row>
    <row r="1066" spans="23:23" x14ac:dyDescent="0.3">
      <c r="W1066" s="72"/>
    </row>
    <row r="1067" spans="23:23" x14ac:dyDescent="0.3">
      <c r="W1067" s="72"/>
    </row>
    <row r="1068" spans="23:23" x14ac:dyDescent="0.3">
      <c r="W1068" s="72"/>
    </row>
    <row r="1069" spans="23:23" x14ac:dyDescent="0.3">
      <c r="W1069" s="72"/>
    </row>
    <row r="1070" spans="23:23" x14ac:dyDescent="0.3">
      <c r="W1070" s="72"/>
    </row>
    <row r="1071" spans="23:23" x14ac:dyDescent="0.3">
      <c r="W1071" s="72"/>
    </row>
    <row r="1072" spans="23:23" x14ac:dyDescent="0.3">
      <c r="W1072" s="72"/>
    </row>
    <row r="1073" spans="23:23" x14ac:dyDescent="0.3">
      <c r="W1073" s="72"/>
    </row>
    <row r="1074" spans="23:23" x14ac:dyDescent="0.3">
      <c r="W1074" s="72"/>
    </row>
    <row r="1075" spans="23:23" x14ac:dyDescent="0.3">
      <c r="W1075" s="72"/>
    </row>
    <row r="1076" spans="23:23" x14ac:dyDescent="0.3">
      <c r="W1076" s="72"/>
    </row>
    <row r="1077" spans="23:23" x14ac:dyDescent="0.3">
      <c r="W1077" s="72"/>
    </row>
    <row r="1078" spans="23:23" x14ac:dyDescent="0.3">
      <c r="W1078" s="72"/>
    </row>
    <row r="1079" spans="23:23" x14ac:dyDescent="0.3">
      <c r="W1079" s="72"/>
    </row>
    <row r="1080" spans="23:23" x14ac:dyDescent="0.3">
      <c r="W1080" s="72"/>
    </row>
    <row r="1081" spans="23:23" x14ac:dyDescent="0.3">
      <c r="W1081" s="72"/>
    </row>
    <row r="1082" spans="23:23" x14ac:dyDescent="0.3">
      <c r="W1082" s="72"/>
    </row>
    <row r="1083" spans="23:23" x14ac:dyDescent="0.3">
      <c r="W1083" s="72"/>
    </row>
    <row r="1084" spans="23:23" x14ac:dyDescent="0.3">
      <c r="W1084" s="72"/>
    </row>
    <row r="1085" spans="23:23" x14ac:dyDescent="0.3">
      <c r="W1085" s="72"/>
    </row>
    <row r="1086" spans="23:23" x14ac:dyDescent="0.3">
      <c r="W1086" s="72"/>
    </row>
    <row r="1087" spans="23:23" x14ac:dyDescent="0.3">
      <c r="W1087" s="72"/>
    </row>
    <row r="1088" spans="23:23" x14ac:dyDescent="0.3">
      <c r="W1088" s="72"/>
    </row>
    <row r="1089" spans="23:23" x14ac:dyDescent="0.3">
      <c r="W1089" s="72"/>
    </row>
    <row r="1090" spans="23:23" x14ac:dyDescent="0.3">
      <c r="W1090" s="72"/>
    </row>
    <row r="1091" spans="23:23" x14ac:dyDescent="0.3">
      <c r="W1091" s="72"/>
    </row>
    <row r="1092" spans="23:23" x14ac:dyDescent="0.3">
      <c r="W1092" s="72"/>
    </row>
    <row r="1093" spans="23:23" x14ac:dyDescent="0.3">
      <c r="W1093" s="72"/>
    </row>
    <row r="1094" spans="23:23" x14ac:dyDescent="0.3">
      <c r="W1094" s="72"/>
    </row>
    <row r="1095" spans="23:23" x14ac:dyDescent="0.3">
      <c r="W1095" s="72"/>
    </row>
    <row r="1096" spans="23:23" x14ac:dyDescent="0.3">
      <c r="W1096" s="72"/>
    </row>
    <row r="1097" spans="23:23" x14ac:dyDescent="0.3">
      <c r="W1097" s="72"/>
    </row>
    <row r="1098" spans="23:23" x14ac:dyDescent="0.3">
      <c r="W1098" s="72"/>
    </row>
    <row r="1099" spans="23:23" x14ac:dyDescent="0.3">
      <c r="W1099" s="72"/>
    </row>
    <row r="1100" spans="23:23" x14ac:dyDescent="0.3">
      <c r="W1100" s="72"/>
    </row>
    <row r="1101" spans="23:23" x14ac:dyDescent="0.3">
      <c r="W1101" s="72"/>
    </row>
    <row r="1102" spans="23:23" x14ac:dyDescent="0.3">
      <c r="W1102" s="72"/>
    </row>
    <row r="1103" spans="23:23" x14ac:dyDescent="0.3">
      <c r="W1103" s="72"/>
    </row>
    <row r="1104" spans="23:23" x14ac:dyDescent="0.3">
      <c r="W1104" s="72"/>
    </row>
    <row r="1105" spans="23:23" x14ac:dyDescent="0.3">
      <c r="W1105" s="72"/>
    </row>
    <row r="1106" spans="23:23" x14ac:dyDescent="0.3">
      <c r="W1106" s="72"/>
    </row>
    <row r="1107" spans="23:23" x14ac:dyDescent="0.3">
      <c r="W1107" s="72"/>
    </row>
    <row r="1108" spans="23:23" x14ac:dyDescent="0.3">
      <c r="W1108" s="72"/>
    </row>
    <row r="1109" spans="23:23" x14ac:dyDescent="0.3">
      <c r="W1109" s="72"/>
    </row>
    <row r="1110" spans="23:23" x14ac:dyDescent="0.3">
      <c r="W1110" s="72"/>
    </row>
    <row r="1111" spans="23:23" x14ac:dyDescent="0.3">
      <c r="W1111" s="72"/>
    </row>
    <row r="1112" spans="23:23" x14ac:dyDescent="0.3">
      <c r="W1112" s="72"/>
    </row>
    <row r="1113" spans="23:23" x14ac:dyDescent="0.3">
      <c r="W1113" s="72"/>
    </row>
    <row r="1114" spans="23:23" x14ac:dyDescent="0.3">
      <c r="W1114" s="72"/>
    </row>
    <row r="1115" spans="23:23" x14ac:dyDescent="0.3">
      <c r="W1115" s="72"/>
    </row>
    <row r="1116" spans="23:23" x14ac:dyDescent="0.3">
      <c r="W1116" s="72"/>
    </row>
    <row r="1117" spans="23:23" x14ac:dyDescent="0.3">
      <c r="W1117" s="72"/>
    </row>
    <row r="1118" spans="23:23" x14ac:dyDescent="0.3">
      <c r="W1118" s="72"/>
    </row>
    <row r="1119" spans="23:23" x14ac:dyDescent="0.3">
      <c r="W1119" s="72"/>
    </row>
    <row r="1120" spans="23:23" x14ac:dyDescent="0.3">
      <c r="W1120" s="72"/>
    </row>
    <row r="1121" spans="23:23" x14ac:dyDescent="0.3">
      <c r="W1121" s="72"/>
    </row>
    <row r="1122" spans="23:23" x14ac:dyDescent="0.3">
      <c r="W1122" s="72"/>
    </row>
    <row r="1123" spans="23:23" x14ac:dyDescent="0.3">
      <c r="W1123" s="72"/>
    </row>
    <row r="1124" spans="23:23" x14ac:dyDescent="0.3">
      <c r="W1124" s="72"/>
    </row>
    <row r="1125" spans="23:23" x14ac:dyDescent="0.3">
      <c r="W1125" s="72"/>
    </row>
    <row r="1126" spans="23:23" x14ac:dyDescent="0.3">
      <c r="W1126" s="72"/>
    </row>
    <row r="1127" spans="23:23" x14ac:dyDescent="0.3">
      <c r="W1127" s="72"/>
    </row>
    <row r="1128" spans="23:23" x14ac:dyDescent="0.3">
      <c r="W1128" s="72"/>
    </row>
    <row r="1129" spans="23:23" x14ac:dyDescent="0.3">
      <c r="W1129" s="72"/>
    </row>
    <row r="1130" spans="23:23" x14ac:dyDescent="0.3">
      <c r="W1130" s="72"/>
    </row>
    <row r="1131" spans="23:23" x14ac:dyDescent="0.3">
      <c r="W1131" s="72"/>
    </row>
    <row r="1132" spans="23:23" x14ac:dyDescent="0.3">
      <c r="W1132" s="72"/>
    </row>
    <row r="1133" spans="23:23" x14ac:dyDescent="0.3">
      <c r="W1133" s="72"/>
    </row>
    <row r="1134" spans="23:23" x14ac:dyDescent="0.3">
      <c r="W1134" s="72"/>
    </row>
    <row r="1135" spans="23:23" x14ac:dyDescent="0.3">
      <c r="W1135" s="72"/>
    </row>
    <row r="1136" spans="23:23" x14ac:dyDescent="0.3">
      <c r="W1136" s="72"/>
    </row>
    <row r="1137" spans="23:23" x14ac:dyDescent="0.3">
      <c r="W1137" s="72"/>
    </row>
    <row r="1138" spans="23:23" x14ac:dyDescent="0.3">
      <c r="W1138" s="72"/>
    </row>
    <row r="1139" spans="23:23" x14ac:dyDescent="0.3">
      <c r="W1139" s="72"/>
    </row>
    <row r="1140" spans="23:23" x14ac:dyDescent="0.3">
      <c r="W1140" s="72"/>
    </row>
    <row r="1141" spans="23:23" x14ac:dyDescent="0.3">
      <c r="W1141" s="72"/>
    </row>
    <row r="1142" spans="23:23" x14ac:dyDescent="0.3">
      <c r="W1142" s="72"/>
    </row>
    <row r="1143" spans="23:23" x14ac:dyDescent="0.3">
      <c r="W1143" s="72"/>
    </row>
    <row r="1144" spans="23:23" x14ac:dyDescent="0.3">
      <c r="W1144" s="72"/>
    </row>
    <row r="1145" spans="23:23" x14ac:dyDescent="0.3">
      <c r="W1145" s="72"/>
    </row>
    <row r="1146" spans="23:23" x14ac:dyDescent="0.3">
      <c r="W1146" s="72"/>
    </row>
    <row r="1147" spans="23:23" x14ac:dyDescent="0.3">
      <c r="W1147" s="72"/>
    </row>
    <row r="1148" spans="23:23" x14ac:dyDescent="0.3">
      <c r="W1148" s="72"/>
    </row>
    <row r="1149" spans="23:23" x14ac:dyDescent="0.3">
      <c r="W1149" s="72"/>
    </row>
    <row r="1150" spans="23:23" x14ac:dyDescent="0.3">
      <c r="W1150" s="72"/>
    </row>
    <row r="1151" spans="23:23" x14ac:dyDescent="0.3">
      <c r="W1151" s="72"/>
    </row>
    <row r="1152" spans="23:23" x14ac:dyDescent="0.3">
      <c r="W1152" s="72"/>
    </row>
    <row r="1153" spans="23:23" x14ac:dyDescent="0.3">
      <c r="W1153" s="72"/>
    </row>
    <row r="1154" spans="23:23" x14ac:dyDescent="0.3">
      <c r="W1154" s="72"/>
    </row>
    <row r="1155" spans="23:23" x14ac:dyDescent="0.3">
      <c r="W1155" s="72"/>
    </row>
    <row r="1156" spans="23:23" x14ac:dyDescent="0.3">
      <c r="W1156" s="72"/>
    </row>
    <row r="1157" spans="23:23" x14ac:dyDescent="0.3">
      <c r="W1157" s="72"/>
    </row>
    <row r="1158" spans="23:23" x14ac:dyDescent="0.3">
      <c r="W1158" s="72"/>
    </row>
    <row r="1159" spans="23:23" x14ac:dyDescent="0.3">
      <c r="W1159" s="72"/>
    </row>
    <row r="1160" spans="23:23" x14ac:dyDescent="0.3">
      <c r="W1160" s="72"/>
    </row>
    <row r="1161" spans="23:23" x14ac:dyDescent="0.3">
      <c r="W1161" s="72"/>
    </row>
    <row r="1162" spans="23:23" x14ac:dyDescent="0.3">
      <c r="W1162" s="72"/>
    </row>
    <row r="1163" spans="23:23" x14ac:dyDescent="0.3">
      <c r="W1163" s="72"/>
    </row>
    <row r="1164" spans="23:23" x14ac:dyDescent="0.3">
      <c r="W1164" s="72"/>
    </row>
    <row r="1165" spans="23:23" x14ac:dyDescent="0.3">
      <c r="W1165" s="72"/>
    </row>
    <row r="1166" spans="23:23" x14ac:dyDescent="0.3">
      <c r="W1166" s="72"/>
    </row>
    <row r="1167" spans="23:23" x14ac:dyDescent="0.3">
      <c r="W1167" s="72"/>
    </row>
    <row r="1168" spans="23:23" x14ac:dyDescent="0.3">
      <c r="W1168" s="72"/>
    </row>
    <row r="1169" spans="23:23" x14ac:dyDescent="0.3">
      <c r="W1169" s="72"/>
    </row>
    <row r="1170" spans="23:23" x14ac:dyDescent="0.3">
      <c r="W1170" s="72"/>
    </row>
    <row r="1171" spans="23:23" x14ac:dyDescent="0.3">
      <c r="W1171" s="72"/>
    </row>
    <row r="1172" spans="23:23" x14ac:dyDescent="0.3">
      <c r="W1172" s="72"/>
    </row>
    <row r="1173" spans="23:23" x14ac:dyDescent="0.3">
      <c r="W1173" s="72"/>
    </row>
    <row r="1174" spans="23:23" x14ac:dyDescent="0.3">
      <c r="W1174" s="72"/>
    </row>
    <row r="1175" spans="23:23" x14ac:dyDescent="0.3">
      <c r="W1175" s="72"/>
    </row>
    <row r="1176" spans="23:23" x14ac:dyDescent="0.3">
      <c r="W1176" s="72"/>
    </row>
    <row r="1177" spans="23:23" x14ac:dyDescent="0.3">
      <c r="W1177" s="72"/>
    </row>
    <row r="1178" spans="23:23" x14ac:dyDescent="0.3">
      <c r="W1178" s="72"/>
    </row>
    <row r="1179" spans="23:23" x14ac:dyDescent="0.3">
      <c r="W1179" s="72"/>
    </row>
    <row r="1180" spans="23:23" x14ac:dyDescent="0.3">
      <c r="W1180" s="72"/>
    </row>
    <row r="1181" spans="23:23" x14ac:dyDescent="0.3">
      <c r="W1181" s="72"/>
    </row>
    <row r="1182" spans="23:23" x14ac:dyDescent="0.3">
      <c r="W1182" s="72"/>
    </row>
    <row r="1183" spans="23:23" x14ac:dyDescent="0.3">
      <c r="W1183" s="72"/>
    </row>
    <row r="1184" spans="23:23" x14ac:dyDescent="0.3">
      <c r="W1184" s="72"/>
    </row>
    <row r="1185" spans="23:23" x14ac:dyDescent="0.3">
      <c r="W1185" s="72"/>
    </row>
    <row r="1186" spans="23:23" x14ac:dyDescent="0.3">
      <c r="W1186" s="72"/>
    </row>
    <row r="1187" spans="23:23" x14ac:dyDescent="0.3">
      <c r="W1187" s="72"/>
    </row>
    <row r="1188" spans="23:23" x14ac:dyDescent="0.3">
      <c r="W1188" s="72"/>
    </row>
    <row r="1189" spans="23:23" x14ac:dyDescent="0.3">
      <c r="W1189" s="72"/>
    </row>
    <row r="1190" spans="23:23" x14ac:dyDescent="0.3">
      <c r="W1190" s="72"/>
    </row>
    <row r="1191" spans="23:23" x14ac:dyDescent="0.3">
      <c r="W1191" s="72"/>
    </row>
    <row r="1192" spans="23:23" x14ac:dyDescent="0.3">
      <c r="W1192" s="72"/>
    </row>
    <row r="1193" spans="23:23" x14ac:dyDescent="0.3">
      <c r="W1193" s="72"/>
    </row>
    <row r="1194" spans="23:23" x14ac:dyDescent="0.3">
      <c r="W1194" s="72"/>
    </row>
    <row r="1195" spans="23:23" x14ac:dyDescent="0.3">
      <c r="W1195" s="72"/>
    </row>
    <row r="1196" spans="23:23" x14ac:dyDescent="0.3">
      <c r="W1196" s="72"/>
    </row>
    <row r="1197" spans="23:23" x14ac:dyDescent="0.3">
      <c r="W1197" s="72"/>
    </row>
    <row r="1198" spans="23:23" x14ac:dyDescent="0.3">
      <c r="W1198" s="72"/>
    </row>
    <row r="1199" spans="23:23" x14ac:dyDescent="0.3">
      <c r="W1199" s="72"/>
    </row>
    <row r="1200" spans="23:23" x14ac:dyDescent="0.3">
      <c r="W1200" s="72"/>
    </row>
    <row r="1201" spans="23:23" x14ac:dyDescent="0.3">
      <c r="W1201" s="72"/>
    </row>
    <row r="1202" spans="23:23" x14ac:dyDescent="0.3">
      <c r="W1202" s="72"/>
    </row>
    <row r="1203" spans="23:23" x14ac:dyDescent="0.3">
      <c r="W1203" s="72"/>
    </row>
    <row r="1204" spans="23:23" x14ac:dyDescent="0.3">
      <c r="W1204" s="72"/>
    </row>
    <row r="1205" spans="23:23" x14ac:dyDescent="0.3">
      <c r="W1205" s="72"/>
    </row>
    <row r="1206" spans="23:23" x14ac:dyDescent="0.3">
      <c r="W1206" s="72"/>
    </row>
    <row r="1207" spans="23:23" x14ac:dyDescent="0.3">
      <c r="W1207" s="72"/>
    </row>
    <row r="1208" spans="23:23" x14ac:dyDescent="0.3">
      <c r="W1208" s="72"/>
    </row>
    <row r="1209" spans="23:23" x14ac:dyDescent="0.3">
      <c r="W1209" s="72"/>
    </row>
    <row r="1210" spans="23:23" x14ac:dyDescent="0.3">
      <c r="W1210" s="72"/>
    </row>
    <row r="1211" spans="23:23" x14ac:dyDescent="0.3">
      <c r="W1211" s="72"/>
    </row>
    <row r="1212" spans="23:23" x14ac:dyDescent="0.3">
      <c r="W1212" s="72"/>
    </row>
    <row r="1213" spans="23:23" x14ac:dyDescent="0.3">
      <c r="W1213" s="72"/>
    </row>
    <row r="1214" spans="23:23" x14ac:dyDescent="0.3">
      <c r="W1214" s="72"/>
    </row>
    <row r="1215" spans="23:23" x14ac:dyDescent="0.3">
      <c r="W1215" s="72"/>
    </row>
    <row r="1216" spans="23:23" x14ac:dyDescent="0.3">
      <c r="W1216" s="72"/>
    </row>
    <row r="1217" spans="23:23" x14ac:dyDescent="0.3">
      <c r="W1217" s="72"/>
    </row>
    <row r="1218" spans="23:23" x14ac:dyDescent="0.3">
      <c r="W1218" s="72"/>
    </row>
    <row r="1219" spans="23:23" x14ac:dyDescent="0.3">
      <c r="W1219" s="72"/>
    </row>
    <row r="1220" spans="23:23" x14ac:dyDescent="0.3">
      <c r="W1220" s="72"/>
    </row>
    <row r="1221" spans="23:23" x14ac:dyDescent="0.3">
      <c r="W1221" s="72"/>
    </row>
    <row r="1222" spans="23:23" x14ac:dyDescent="0.3">
      <c r="W1222" s="72"/>
    </row>
    <row r="1223" spans="23:23" x14ac:dyDescent="0.3">
      <c r="W1223" s="72"/>
    </row>
    <row r="1224" spans="23:23" x14ac:dyDescent="0.3">
      <c r="W1224" s="72"/>
    </row>
    <row r="1225" spans="23:23" x14ac:dyDescent="0.3">
      <c r="W1225" s="72"/>
    </row>
    <row r="1226" spans="23:23" x14ac:dyDescent="0.3">
      <c r="W1226" s="72"/>
    </row>
    <row r="1227" spans="23:23" x14ac:dyDescent="0.3">
      <c r="W1227" s="72"/>
    </row>
    <row r="1228" spans="23:23" x14ac:dyDescent="0.3">
      <c r="W1228" s="72"/>
    </row>
    <row r="1229" spans="23:23" x14ac:dyDescent="0.3">
      <c r="W1229" s="72"/>
    </row>
    <row r="1230" spans="23:23" x14ac:dyDescent="0.3">
      <c r="W1230" s="72"/>
    </row>
    <row r="1231" spans="23:23" x14ac:dyDescent="0.3">
      <c r="W1231" s="72"/>
    </row>
    <row r="1232" spans="23:23" x14ac:dyDescent="0.3">
      <c r="W1232" s="72"/>
    </row>
    <row r="1233" spans="23:23" x14ac:dyDescent="0.3">
      <c r="W1233" s="72"/>
    </row>
    <row r="1234" spans="23:23" x14ac:dyDescent="0.3">
      <c r="W1234" s="72"/>
    </row>
    <row r="1235" spans="23:23" x14ac:dyDescent="0.3">
      <c r="W1235" s="72"/>
    </row>
    <row r="1236" spans="23:23" x14ac:dyDescent="0.3">
      <c r="W1236" s="72"/>
    </row>
    <row r="1237" spans="23:23" x14ac:dyDescent="0.3">
      <c r="W1237" s="72"/>
    </row>
    <row r="1238" spans="23:23" x14ac:dyDescent="0.3">
      <c r="W1238" s="72"/>
    </row>
    <row r="1239" spans="23:23" x14ac:dyDescent="0.3">
      <c r="W1239" s="72"/>
    </row>
    <row r="1240" spans="23:23" x14ac:dyDescent="0.3">
      <c r="W1240" s="72"/>
    </row>
    <row r="1241" spans="23:23" x14ac:dyDescent="0.3">
      <c r="W1241" s="72"/>
    </row>
    <row r="1242" spans="23:23" x14ac:dyDescent="0.3">
      <c r="W1242" s="72"/>
    </row>
    <row r="1243" spans="23:23" x14ac:dyDescent="0.3">
      <c r="W1243" s="72"/>
    </row>
    <row r="1244" spans="23:23" x14ac:dyDescent="0.3">
      <c r="W1244" s="72"/>
    </row>
    <row r="1245" spans="23:23" x14ac:dyDescent="0.3">
      <c r="W1245" s="72"/>
    </row>
    <row r="1246" spans="23:23" x14ac:dyDescent="0.3">
      <c r="W1246" s="72"/>
    </row>
    <row r="1247" spans="23:23" x14ac:dyDescent="0.3">
      <c r="W1247" s="72"/>
    </row>
    <row r="1248" spans="23:23" x14ac:dyDescent="0.3">
      <c r="W1248" s="72"/>
    </row>
    <row r="1249" spans="23:23" x14ac:dyDescent="0.3">
      <c r="W1249" s="72"/>
    </row>
    <row r="1250" spans="23:23" x14ac:dyDescent="0.3">
      <c r="W1250" s="72"/>
    </row>
    <row r="1251" spans="23:23" x14ac:dyDescent="0.3">
      <c r="W1251" s="72"/>
    </row>
    <row r="1252" spans="23:23" x14ac:dyDescent="0.3">
      <c r="W1252" s="72"/>
    </row>
    <row r="1253" spans="23:23" x14ac:dyDescent="0.3">
      <c r="W1253" s="72"/>
    </row>
    <row r="1254" spans="23:23" x14ac:dyDescent="0.3">
      <c r="W1254" s="72"/>
    </row>
    <row r="1255" spans="23:23" x14ac:dyDescent="0.3">
      <c r="W1255" s="72"/>
    </row>
    <row r="1256" spans="23:23" x14ac:dyDescent="0.3">
      <c r="W1256" s="72"/>
    </row>
    <row r="1257" spans="23:23" x14ac:dyDescent="0.3">
      <c r="W1257" s="72"/>
    </row>
    <row r="1258" spans="23:23" x14ac:dyDescent="0.3">
      <c r="W1258" s="72"/>
    </row>
    <row r="1259" spans="23:23" x14ac:dyDescent="0.3">
      <c r="W1259" s="72"/>
    </row>
    <row r="1260" spans="23:23" x14ac:dyDescent="0.3">
      <c r="W1260" s="72"/>
    </row>
    <row r="1261" spans="23:23" x14ac:dyDescent="0.3">
      <c r="W1261" s="72"/>
    </row>
    <row r="1262" spans="23:23" x14ac:dyDescent="0.3">
      <c r="W1262" s="72"/>
    </row>
    <row r="1263" spans="23:23" x14ac:dyDescent="0.3">
      <c r="W1263" s="72"/>
    </row>
    <row r="1264" spans="23:23" x14ac:dyDescent="0.3">
      <c r="W1264" s="72"/>
    </row>
    <row r="1265" spans="23:23" x14ac:dyDescent="0.3">
      <c r="W1265" s="72"/>
    </row>
    <row r="1266" spans="23:23" x14ac:dyDescent="0.3">
      <c r="W1266" s="72"/>
    </row>
    <row r="1267" spans="23:23" x14ac:dyDescent="0.3">
      <c r="W1267" s="72"/>
    </row>
    <row r="1268" spans="23:23" x14ac:dyDescent="0.3">
      <c r="W1268" s="72"/>
    </row>
    <row r="1269" spans="23:23" x14ac:dyDescent="0.3">
      <c r="W1269" s="72"/>
    </row>
    <row r="1270" spans="23:23" x14ac:dyDescent="0.3">
      <c r="W1270" s="72"/>
    </row>
    <row r="1271" spans="23:23" x14ac:dyDescent="0.3">
      <c r="W1271" s="72"/>
    </row>
    <row r="1272" spans="23:23" x14ac:dyDescent="0.3">
      <c r="W1272" s="72"/>
    </row>
    <row r="1273" spans="23:23" x14ac:dyDescent="0.3">
      <c r="W1273" s="72"/>
    </row>
    <row r="1274" spans="23:23" x14ac:dyDescent="0.3">
      <c r="W1274" s="72"/>
    </row>
    <row r="1275" spans="23:23" x14ac:dyDescent="0.3">
      <c r="W1275" s="72"/>
    </row>
    <row r="1276" spans="23:23" x14ac:dyDescent="0.3">
      <c r="W1276" s="72"/>
    </row>
    <row r="1277" spans="23:23" x14ac:dyDescent="0.3">
      <c r="W1277" s="72"/>
    </row>
    <row r="1278" spans="23:23" x14ac:dyDescent="0.3">
      <c r="W1278" s="72"/>
    </row>
    <row r="1279" spans="23:23" x14ac:dyDescent="0.3">
      <c r="W1279" s="72"/>
    </row>
    <row r="1280" spans="23:23" x14ac:dyDescent="0.3">
      <c r="W1280" s="72"/>
    </row>
    <row r="1281" spans="23:23" x14ac:dyDescent="0.3">
      <c r="W1281" s="72"/>
    </row>
    <row r="1282" spans="23:23" x14ac:dyDescent="0.3">
      <c r="W1282" s="72"/>
    </row>
    <row r="1283" spans="23:23" x14ac:dyDescent="0.3">
      <c r="W1283" s="72"/>
    </row>
    <row r="1284" spans="23:23" x14ac:dyDescent="0.3">
      <c r="W1284" s="72"/>
    </row>
    <row r="1285" spans="23:23" x14ac:dyDescent="0.3">
      <c r="W1285" s="72"/>
    </row>
    <row r="1286" spans="23:23" x14ac:dyDescent="0.3">
      <c r="W1286" s="72"/>
    </row>
    <row r="1287" spans="23:23" x14ac:dyDescent="0.3">
      <c r="W1287" s="72"/>
    </row>
    <row r="1288" spans="23:23" x14ac:dyDescent="0.3">
      <c r="W1288" s="72"/>
    </row>
    <row r="1289" spans="23:23" x14ac:dyDescent="0.3">
      <c r="W1289" s="72"/>
    </row>
    <row r="1290" spans="23:23" x14ac:dyDescent="0.3">
      <c r="W1290" s="72"/>
    </row>
    <row r="1291" spans="23:23" x14ac:dyDescent="0.3">
      <c r="W1291" s="72"/>
    </row>
    <row r="1292" spans="23:23" x14ac:dyDescent="0.3">
      <c r="W1292" s="72"/>
    </row>
    <row r="1293" spans="23:23" x14ac:dyDescent="0.3">
      <c r="W1293" s="72"/>
    </row>
    <row r="1294" spans="23:23" x14ac:dyDescent="0.3">
      <c r="W1294" s="72"/>
    </row>
    <row r="1295" spans="23:23" x14ac:dyDescent="0.3">
      <c r="W1295" s="72"/>
    </row>
    <row r="1296" spans="23:23" x14ac:dyDescent="0.3">
      <c r="W1296" s="72"/>
    </row>
    <row r="1297" spans="23:23" x14ac:dyDescent="0.3">
      <c r="W1297" s="72"/>
    </row>
    <row r="1298" spans="23:23" x14ac:dyDescent="0.3">
      <c r="W1298" s="72"/>
    </row>
    <row r="1299" spans="23:23" x14ac:dyDescent="0.3">
      <c r="W1299" s="72"/>
    </row>
    <row r="1300" spans="23:23" x14ac:dyDescent="0.3">
      <c r="W1300" s="72"/>
    </row>
    <row r="1301" spans="23:23" x14ac:dyDescent="0.3">
      <c r="W1301" s="72"/>
    </row>
    <row r="1302" spans="23:23" x14ac:dyDescent="0.3">
      <c r="W1302" s="72"/>
    </row>
    <row r="1303" spans="23:23" x14ac:dyDescent="0.3">
      <c r="W1303" s="72"/>
    </row>
    <row r="1304" spans="23:23" x14ac:dyDescent="0.3">
      <c r="W1304" s="72"/>
    </row>
    <row r="1305" spans="23:23" x14ac:dyDescent="0.3">
      <c r="W1305" s="72"/>
    </row>
    <row r="1306" spans="23:23" x14ac:dyDescent="0.3">
      <c r="W1306" s="72"/>
    </row>
    <row r="1307" spans="23:23" x14ac:dyDescent="0.3">
      <c r="W1307" s="72"/>
    </row>
    <row r="1308" spans="23:23" x14ac:dyDescent="0.3">
      <c r="W1308" s="72"/>
    </row>
    <row r="1309" spans="23:23" x14ac:dyDescent="0.3">
      <c r="W1309" s="72"/>
    </row>
    <row r="1310" spans="23:23" x14ac:dyDescent="0.3">
      <c r="W1310" s="72"/>
    </row>
    <row r="1311" spans="23:23" x14ac:dyDescent="0.3">
      <c r="W1311" s="72"/>
    </row>
    <row r="1312" spans="23:23" x14ac:dyDescent="0.3">
      <c r="W1312" s="72"/>
    </row>
    <row r="1313" spans="23:23" x14ac:dyDescent="0.3">
      <c r="W1313" s="72"/>
    </row>
    <row r="1314" spans="23:23" x14ac:dyDescent="0.3">
      <c r="W1314" s="72"/>
    </row>
    <row r="1315" spans="23:23" x14ac:dyDescent="0.3">
      <c r="W1315" s="72"/>
    </row>
    <row r="1316" spans="23:23" x14ac:dyDescent="0.3">
      <c r="W1316" s="72"/>
    </row>
    <row r="1317" spans="23:23" x14ac:dyDescent="0.3">
      <c r="W1317" s="72"/>
    </row>
    <row r="1318" spans="23:23" x14ac:dyDescent="0.3">
      <c r="W1318" s="72"/>
    </row>
    <row r="1319" spans="23:23" x14ac:dyDescent="0.3">
      <c r="W1319" s="72"/>
    </row>
    <row r="1320" spans="23:23" x14ac:dyDescent="0.3">
      <c r="W1320" s="72"/>
    </row>
    <row r="1321" spans="23:23" x14ac:dyDescent="0.3">
      <c r="W1321" s="72"/>
    </row>
    <row r="1322" spans="23:23" x14ac:dyDescent="0.3">
      <c r="W1322" s="72"/>
    </row>
    <row r="1323" spans="23:23" x14ac:dyDescent="0.3">
      <c r="W1323" s="72"/>
    </row>
    <row r="1324" spans="23:23" x14ac:dyDescent="0.3">
      <c r="W1324" s="72"/>
    </row>
    <row r="1325" spans="23:23" x14ac:dyDescent="0.3">
      <c r="W1325" s="72"/>
    </row>
    <row r="1326" spans="23:23" x14ac:dyDescent="0.3">
      <c r="W1326" s="72"/>
    </row>
    <row r="1327" spans="23:23" x14ac:dyDescent="0.3">
      <c r="W1327" s="72"/>
    </row>
    <row r="1328" spans="23:23" x14ac:dyDescent="0.3">
      <c r="W1328" s="72"/>
    </row>
    <row r="1329" spans="23:23" x14ac:dyDescent="0.3">
      <c r="W1329" s="72"/>
    </row>
    <row r="1330" spans="23:23" x14ac:dyDescent="0.3">
      <c r="W1330" s="72"/>
    </row>
    <row r="1331" spans="23:23" x14ac:dyDescent="0.3">
      <c r="W1331" s="72"/>
    </row>
    <row r="1332" spans="23:23" x14ac:dyDescent="0.3">
      <c r="W1332" s="72"/>
    </row>
    <row r="1333" spans="23:23" x14ac:dyDescent="0.3">
      <c r="W1333" s="72"/>
    </row>
    <row r="1334" spans="23:23" x14ac:dyDescent="0.3">
      <c r="W1334" s="72"/>
    </row>
    <row r="1335" spans="23:23" x14ac:dyDescent="0.3">
      <c r="W1335" s="72"/>
    </row>
    <row r="1336" spans="23:23" x14ac:dyDescent="0.3">
      <c r="W1336" s="72"/>
    </row>
    <row r="1337" spans="23:23" x14ac:dyDescent="0.3">
      <c r="W1337" s="72"/>
    </row>
    <row r="1338" spans="23:23" x14ac:dyDescent="0.3">
      <c r="W1338" s="72"/>
    </row>
    <row r="1339" spans="23:23" x14ac:dyDescent="0.3">
      <c r="W1339" s="72"/>
    </row>
    <row r="1340" spans="23:23" x14ac:dyDescent="0.3">
      <c r="W1340" s="72"/>
    </row>
    <row r="1341" spans="23:23" x14ac:dyDescent="0.3">
      <c r="W1341" s="72"/>
    </row>
    <row r="1342" spans="23:23" x14ac:dyDescent="0.3">
      <c r="W1342" s="72"/>
    </row>
    <row r="1343" spans="23:23" x14ac:dyDescent="0.3">
      <c r="W1343" s="72"/>
    </row>
    <row r="1344" spans="23:23" x14ac:dyDescent="0.3">
      <c r="W1344" s="72"/>
    </row>
    <row r="1345" spans="23:23" x14ac:dyDescent="0.3">
      <c r="W1345" s="72"/>
    </row>
    <row r="1346" spans="23:23" x14ac:dyDescent="0.3">
      <c r="W1346" s="72"/>
    </row>
    <row r="1347" spans="23:23" x14ac:dyDescent="0.3">
      <c r="W1347" s="72"/>
    </row>
    <row r="1348" spans="23:23" x14ac:dyDescent="0.3">
      <c r="W1348" s="72"/>
    </row>
    <row r="1349" spans="23:23" x14ac:dyDescent="0.3">
      <c r="W1349" s="72"/>
    </row>
    <row r="1350" spans="23:23" x14ac:dyDescent="0.3">
      <c r="W1350" s="72"/>
    </row>
    <row r="1351" spans="23:23" x14ac:dyDescent="0.3">
      <c r="W1351" s="72"/>
    </row>
    <row r="1352" spans="23:23" x14ac:dyDescent="0.3">
      <c r="W1352" s="72"/>
    </row>
    <row r="1353" spans="23:23" x14ac:dyDescent="0.3">
      <c r="W1353" s="72"/>
    </row>
    <row r="1354" spans="23:23" x14ac:dyDescent="0.3">
      <c r="W1354" s="72"/>
    </row>
    <row r="1355" spans="23:23" x14ac:dyDescent="0.3">
      <c r="W1355" s="72"/>
    </row>
    <row r="1356" spans="23:23" x14ac:dyDescent="0.3">
      <c r="W1356" s="72"/>
    </row>
    <row r="1357" spans="23:23" x14ac:dyDescent="0.3">
      <c r="W1357" s="72"/>
    </row>
    <row r="1358" spans="23:23" x14ac:dyDescent="0.3">
      <c r="W1358" s="72"/>
    </row>
    <row r="1359" spans="23:23" x14ac:dyDescent="0.3">
      <c r="W1359" s="72"/>
    </row>
    <row r="1360" spans="23:23" x14ac:dyDescent="0.3">
      <c r="W1360" s="72"/>
    </row>
    <row r="1361" spans="23:23" x14ac:dyDescent="0.3">
      <c r="W1361" s="72"/>
    </row>
    <row r="1362" spans="23:23" x14ac:dyDescent="0.3">
      <c r="W1362" s="72"/>
    </row>
    <row r="1363" spans="23:23" x14ac:dyDescent="0.3">
      <c r="W1363" s="72"/>
    </row>
    <row r="1364" spans="23:23" x14ac:dyDescent="0.3">
      <c r="W1364" s="72"/>
    </row>
    <row r="1365" spans="23:23" x14ac:dyDescent="0.3">
      <c r="W1365" s="72"/>
    </row>
    <row r="1366" spans="23:23" x14ac:dyDescent="0.3">
      <c r="W1366" s="72"/>
    </row>
    <row r="1367" spans="23:23" x14ac:dyDescent="0.3">
      <c r="W1367" s="72"/>
    </row>
    <row r="1368" spans="23:23" x14ac:dyDescent="0.3">
      <c r="W1368" s="72"/>
    </row>
    <row r="1369" spans="23:23" x14ac:dyDescent="0.3">
      <c r="W1369" s="72"/>
    </row>
    <row r="1370" spans="23:23" x14ac:dyDescent="0.3">
      <c r="W1370" s="72"/>
    </row>
    <row r="1371" spans="23:23" x14ac:dyDescent="0.3">
      <c r="W1371" s="72"/>
    </row>
    <row r="1372" spans="23:23" x14ac:dyDescent="0.3">
      <c r="W1372" s="72"/>
    </row>
    <row r="1373" spans="23:23" x14ac:dyDescent="0.3">
      <c r="W1373" s="72"/>
    </row>
    <row r="1374" spans="23:23" x14ac:dyDescent="0.3">
      <c r="W1374" s="72"/>
    </row>
    <row r="1375" spans="23:23" x14ac:dyDescent="0.3">
      <c r="W1375" s="72"/>
    </row>
    <row r="1376" spans="23:23" x14ac:dyDescent="0.3">
      <c r="W1376" s="72"/>
    </row>
    <row r="1377" spans="23:23" x14ac:dyDescent="0.3">
      <c r="W1377" s="72"/>
    </row>
    <row r="1378" spans="23:23" x14ac:dyDescent="0.3">
      <c r="W1378" s="72"/>
    </row>
    <row r="1379" spans="23:23" x14ac:dyDescent="0.3">
      <c r="W1379" s="72"/>
    </row>
    <row r="1380" spans="23:23" x14ac:dyDescent="0.3">
      <c r="W1380" s="72"/>
    </row>
    <row r="1381" spans="23:23" x14ac:dyDescent="0.3">
      <c r="W1381" s="72"/>
    </row>
    <row r="1382" spans="23:23" x14ac:dyDescent="0.3">
      <c r="W1382" s="72"/>
    </row>
    <row r="1383" spans="23:23" x14ac:dyDescent="0.3">
      <c r="W1383" s="72"/>
    </row>
    <row r="1384" spans="23:23" x14ac:dyDescent="0.3">
      <c r="W1384" s="72"/>
    </row>
    <row r="1385" spans="23:23" x14ac:dyDescent="0.3">
      <c r="W1385" s="72"/>
    </row>
    <row r="1386" spans="23:23" x14ac:dyDescent="0.3">
      <c r="W1386" s="72"/>
    </row>
    <row r="1387" spans="23:23" x14ac:dyDescent="0.3">
      <c r="W1387" s="72"/>
    </row>
    <row r="1388" spans="23:23" x14ac:dyDescent="0.3">
      <c r="W1388" s="72"/>
    </row>
    <row r="1389" spans="23:23" x14ac:dyDescent="0.3">
      <c r="W1389" s="72"/>
    </row>
    <row r="1390" spans="23:23" x14ac:dyDescent="0.3">
      <c r="W1390" s="72"/>
    </row>
    <row r="1391" spans="23:23" x14ac:dyDescent="0.3">
      <c r="W1391" s="72"/>
    </row>
    <row r="1392" spans="23:23" x14ac:dyDescent="0.3">
      <c r="W1392" s="72"/>
    </row>
    <row r="1393" spans="23:23" x14ac:dyDescent="0.3">
      <c r="W1393" s="72"/>
    </row>
    <row r="1394" spans="23:23" x14ac:dyDescent="0.3">
      <c r="W1394" s="72"/>
    </row>
    <row r="1395" spans="23:23" x14ac:dyDescent="0.3">
      <c r="W1395" s="72"/>
    </row>
    <row r="1396" spans="23:23" x14ac:dyDescent="0.3">
      <c r="W1396" s="72"/>
    </row>
    <row r="1397" spans="23:23" x14ac:dyDescent="0.3">
      <c r="W1397" s="72"/>
    </row>
    <row r="1398" spans="23:23" x14ac:dyDescent="0.3">
      <c r="W1398" s="72"/>
    </row>
    <row r="1399" spans="23:23" x14ac:dyDescent="0.3">
      <c r="W1399" s="72"/>
    </row>
    <row r="1400" spans="23:23" x14ac:dyDescent="0.3">
      <c r="W1400" s="72"/>
    </row>
    <row r="1401" spans="23:23" x14ac:dyDescent="0.3">
      <c r="W1401" s="72"/>
    </row>
    <row r="1402" spans="23:23" x14ac:dyDescent="0.3">
      <c r="W1402" s="72"/>
    </row>
    <row r="1403" spans="23:23" x14ac:dyDescent="0.3">
      <c r="W1403" s="72"/>
    </row>
    <row r="1404" spans="23:23" x14ac:dyDescent="0.3">
      <c r="W1404" s="72"/>
    </row>
    <row r="1405" spans="23:23" x14ac:dyDescent="0.3">
      <c r="W1405" s="72"/>
    </row>
    <row r="1406" spans="23:23" x14ac:dyDescent="0.3">
      <c r="W1406" s="72"/>
    </row>
    <row r="1407" spans="23:23" x14ac:dyDescent="0.3">
      <c r="W1407" s="72"/>
    </row>
    <row r="1408" spans="23:23" x14ac:dyDescent="0.3">
      <c r="W1408" s="72"/>
    </row>
    <row r="1409" spans="23:23" x14ac:dyDescent="0.3">
      <c r="W1409" s="72"/>
    </row>
    <row r="1410" spans="23:23" x14ac:dyDescent="0.3">
      <c r="W1410" s="72"/>
    </row>
    <row r="1411" spans="23:23" x14ac:dyDescent="0.3">
      <c r="W1411" s="72"/>
    </row>
    <row r="1412" spans="23:23" x14ac:dyDescent="0.3">
      <c r="W1412" s="72"/>
    </row>
    <row r="1413" spans="23:23" x14ac:dyDescent="0.3">
      <c r="W1413" s="72"/>
    </row>
    <row r="1414" spans="23:23" x14ac:dyDescent="0.3">
      <c r="W1414" s="72"/>
    </row>
    <row r="1415" spans="23:23" x14ac:dyDescent="0.3">
      <c r="W1415" s="72"/>
    </row>
    <row r="1416" spans="23:23" x14ac:dyDescent="0.3">
      <c r="W1416" s="72"/>
    </row>
    <row r="1417" spans="23:23" x14ac:dyDescent="0.3">
      <c r="W1417" s="72"/>
    </row>
    <row r="1418" spans="23:23" x14ac:dyDescent="0.3">
      <c r="W1418" s="72"/>
    </row>
    <row r="1419" spans="23:23" x14ac:dyDescent="0.3">
      <c r="W1419" s="72"/>
    </row>
    <row r="1420" spans="23:23" x14ac:dyDescent="0.3">
      <c r="W1420" s="72"/>
    </row>
    <row r="1421" spans="23:23" x14ac:dyDescent="0.3">
      <c r="W1421" s="72"/>
    </row>
    <row r="1422" spans="23:23" x14ac:dyDescent="0.3">
      <c r="W1422" s="72"/>
    </row>
    <row r="1423" spans="23:23" x14ac:dyDescent="0.3">
      <c r="W1423" s="72"/>
    </row>
    <row r="1424" spans="23:23" x14ac:dyDescent="0.3">
      <c r="W1424" s="72"/>
    </row>
    <row r="1425" spans="23:23" x14ac:dyDescent="0.3">
      <c r="W1425" s="72"/>
    </row>
    <row r="1426" spans="23:23" x14ac:dyDescent="0.3">
      <c r="W1426" s="72"/>
    </row>
    <row r="1427" spans="23:23" x14ac:dyDescent="0.3">
      <c r="W1427" s="72"/>
    </row>
    <row r="1428" spans="23:23" x14ac:dyDescent="0.3">
      <c r="W1428" s="72"/>
    </row>
    <row r="1429" spans="23:23" x14ac:dyDescent="0.3">
      <c r="W1429" s="72"/>
    </row>
    <row r="1430" spans="23:23" x14ac:dyDescent="0.3">
      <c r="W1430" s="72"/>
    </row>
    <row r="1431" spans="23:23" x14ac:dyDescent="0.3">
      <c r="W1431" s="72"/>
    </row>
    <row r="1432" spans="23:23" x14ac:dyDescent="0.3">
      <c r="W1432" s="72"/>
    </row>
    <row r="1433" spans="23:23" x14ac:dyDescent="0.3">
      <c r="W1433" s="72"/>
    </row>
    <row r="1434" spans="23:23" x14ac:dyDescent="0.3">
      <c r="W1434" s="72"/>
    </row>
    <row r="1435" spans="23:23" x14ac:dyDescent="0.3">
      <c r="W1435" s="72"/>
    </row>
    <row r="1436" spans="23:23" x14ac:dyDescent="0.3">
      <c r="W1436" s="72"/>
    </row>
    <row r="1437" spans="23:23" x14ac:dyDescent="0.3">
      <c r="W1437" s="72"/>
    </row>
    <row r="1438" spans="23:23" x14ac:dyDescent="0.3">
      <c r="W1438" s="72"/>
    </row>
    <row r="1439" spans="23:23" x14ac:dyDescent="0.3">
      <c r="W1439" s="72"/>
    </row>
    <row r="1440" spans="23:23" x14ac:dyDescent="0.3">
      <c r="W1440" s="72"/>
    </row>
    <row r="1441" spans="23:23" x14ac:dyDescent="0.3">
      <c r="W1441" s="72"/>
    </row>
    <row r="1442" spans="23:23" x14ac:dyDescent="0.3">
      <c r="W1442" s="72"/>
    </row>
    <row r="1443" spans="23:23" x14ac:dyDescent="0.3">
      <c r="W1443" s="72"/>
    </row>
    <row r="1444" spans="23:23" x14ac:dyDescent="0.3">
      <c r="W1444" s="72"/>
    </row>
    <row r="1445" spans="23:23" x14ac:dyDescent="0.3">
      <c r="W1445" s="72"/>
    </row>
    <row r="1446" spans="23:23" x14ac:dyDescent="0.3">
      <c r="W1446" s="72"/>
    </row>
    <row r="1447" spans="23:23" x14ac:dyDescent="0.3">
      <c r="W1447" s="72"/>
    </row>
    <row r="1448" spans="23:23" x14ac:dyDescent="0.3">
      <c r="W1448" s="72"/>
    </row>
    <row r="1449" spans="23:23" x14ac:dyDescent="0.3">
      <c r="W1449" s="72"/>
    </row>
    <row r="1450" spans="23:23" x14ac:dyDescent="0.3">
      <c r="W1450" s="72"/>
    </row>
    <row r="1451" spans="23:23" x14ac:dyDescent="0.3">
      <c r="W1451" s="72"/>
    </row>
    <row r="1452" spans="23:23" x14ac:dyDescent="0.3">
      <c r="W1452" s="72"/>
    </row>
    <row r="1453" spans="23:23" x14ac:dyDescent="0.3">
      <c r="W1453" s="72"/>
    </row>
    <row r="1454" spans="23:23" x14ac:dyDescent="0.3">
      <c r="W1454" s="72"/>
    </row>
    <row r="1455" spans="23:23" x14ac:dyDescent="0.3">
      <c r="W1455" s="72"/>
    </row>
    <row r="1456" spans="23:23" x14ac:dyDescent="0.3">
      <c r="W1456" s="72"/>
    </row>
    <row r="1457" spans="23:23" x14ac:dyDescent="0.3">
      <c r="W1457" s="72"/>
    </row>
    <row r="1458" spans="23:23" x14ac:dyDescent="0.3">
      <c r="W1458" s="72"/>
    </row>
    <row r="1459" spans="23:23" x14ac:dyDescent="0.3">
      <c r="W1459" s="72"/>
    </row>
    <row r="1460" spans="23:23" x14ac:dyDescent="0.3">
      <c r="W1460" s="72"/>
    </row>
    <row r="1461" spans="23:23" x14ac:dyDescent="0.3">
      <c r="W1461" s="72"/>
    </row>
    <row r="1462" spans="23:23" x14ac:dyDescent="0.3">
      <c r="W1462" s="72"/>
    </row>
    <row r="1463" spans="23:23" x14ac:dyDescent="0.3">
      <c r="W1463" s="72"/>
    </row>
    <row r="1464" spans="23:23" x14ac:dyDescent="0.3">
      <c r="W1464" s="72"/>
    </row>
    <row r="1465" spans="23:23" x14ac:dyDescent="0.3">
      <c r="W1465" s="72"/>
    </row>
    <row r="1466" spans="23:23" x14ac:dyDescent="0.3">
      <c r="W1466" s="72"/>
    </row>
    <row r="1467" spans="23:23" x14ac:dyDescent="0.3">
      <c r="W1467" s="72"/>
    </row>
    <row r="1468" spans="23:23" x14ac:dyDescent="0.3">
      <c r="W1468" s="72"/>
    </row>
    <row r="1469" spans="23:23" x14ac:dyDescent="0.3">
      <c r="W1469" s="72"/>
    </row>
    <row r="1470" spans="23:23" x14ac:dyDescent="0.3">
      <c r="W1470" s="72"/>
    </row>
    <row r="1471" spans="23:23" x14ac:dyDescent="0.3">
      <c r="W1471" s="72"/>
    </row>
    <row r="1472" spans="23:23" x14ac:dyDescent="0.3">
      <c r="W1472" s="72"/>
    </row>
    <row r="1473" spans="23:23" x14ac:dyDescent="0.3">
      <c r="W1473" s="72"/>
    </row>
    <row r="1474" spans="23:23" x14ac:dyDescent="0.3">
      <c r="W1474" s="72"/>
    </row>
    <row r="1475" spans="23:23" x14ac:dyDescent="0.3">
      <c r="W1475" s="72"/>
    </row>
    <row r="1476" spans="23:23" x14ac:dyDescent="0.3">
      <c r="W1476" s="72"/>
    </row>
    <row r="1477" spans="23:23" x14ac:dyDescent="0.3">
      <c r="W1477" s="72"/>
    </row>
    <row r="1478" spans="23:23" x14ac:dyDescent="0.3">
      <c r="W1478" s="72"/>
    </row>
    <row r="1479" spans="23:23" x14ac:dyDescent="0.3">
      <c r="W1479" s="72"/>
    </row>
    <row r="1480" spans="23:23" x14ac:dyDescent="0.3">
      <c r="W1480" s="72"/>
    </row>
    <row r="1481" spans="23:23" x14ac:dyDescent="0.3">
      <c r="W1481" s="72"/>
    </row>
    <row r="1482" spans="23:23" x14ac:dyDescent="0.3">
      <c r="W1482" s="72"/>
    </row>
    <row r="1483" spans="23:23" x14ac:dyDescent="0.3">
      <c r="W1483" s="72"/>
    </row>
    <row r="1484" spans="23:23" x14ac:dyDescent="0.3">
      <c r="W1484" s="72"/>
    </row>
    <row r="1485" spans="23:23" x14ac:dyDescent="0.3">
      <c r="W1485" s="72"/>
    </row>
    <row r="1486" spans="23:23" x14ac:dyDescent="0.3">
      <c r="W1486" s="72"/>
    </row>
    <row r="1487" spans="23:23" x14ac:dyDescent="0.3">
      <c r="W1487" s="72"/>
    </row>
    <row r="1488" spans="23:23" x14ac:dyDescent="0.3">
      <c r="W1488" s="72"/>
    </row>
    <row r="1489" spans="23:23" x14ac:dyDescent="0.3">
      <c r="W1489" s="72"/>
    </row>
    <row r="1490" spans="23:23" x14ac:dyDescent="0.3">
      <c r="W1490" s="72"/>
    </row>
    <row r="1491" spans="23:23" x14ac:dyDescent="0.3">
      <c r="W1491" s="72"/>
    </row>
    <row r="1492" spans="23:23" x14ac:dyDescent="0.3">
      <c r="W1492" s="72"/>
    </row>
    <row r="1493" spans="23:23" x14ac:dyDescent="0.3">
      <c r="W1493" s="72"/>
    </row>
    <row r="1494" spans="23:23" x14ac:dyDescent="0.3">
      <c r="W1494" s="72"/>
    </row>
    <row r="1495" spans="23:23" x14ac:dyDescent="0.3">
      <c r="W1495" s="72"/>
    </row>
    <row r="1496" spans="23:23" x14ac:dyDescent="0.3">
      <c r="W1496" s="72"/>
    </row>
    <row r="1497" spans="23:23" x14ac:dyDescent="0.3">
      <c r="W1497" s="72"/>
    </row>
    <row r="1498" spans="23:23" x14ac:dyDescent="0.3">
      <c r="W1498" s="72"/>
    </row>
    <row r="1499" spans="23:23" x14ac:dyDescent="0.3">
      <c r="W1499" s="72"/>
    </row>
    <row r="1500" spans="23:23" x14ac:dyDescent="0.3">
      <c r="W1500" s="72"/>
    </row>
    <row r="1501" spans="23:23" x14ac:dyDescent="0.3">
      <c r="W1501" s="72"/>
    </row>
    <row r="1502" spans="23:23" x14ac:dyDescent="0.3">
      <c r="W1502" s="72"/>
    </row>
    <row r="1503" spans="23:23" x14ac:dyDescent="0.3">
      <c r="W1503" s="72"/>
    </row>
    <row r="1504" spans="23:23" x14ac:dyDescent="0.3">
      <c r="W1504" s="72"/>
    </row>
    <row r="1505" spans="23:23" x14ac:dyDescent="0.3">
      <c r="W1505" s="72"/>
    </row>
    <row r="1506" spans="23:23" x14ac:dyDescent="0.3">
      <c r="W1506" s="72"/>
    </row>
    <row r="1507" spans="23:23" x14ac:dyDescent="0.3">
      <c r="W1507" s="72"/>
    </row>
    <row r="1508" spans="23:23" x14ac:dyDescent="0.3">
      <c r="W1508" s="72"/>
    </row>
    <row r="1509" spans="23:23" x14ac:dyDescent="0.3">
      <c r="W1509" s="72"/>
    </row>
    <row r="1510" spans="23:23" x14ac:dyDescent="0.3">
      <c r="W1510" s="72"/>
    </row>
    <row r="1511" spans="23:23" x14ac:dyDescent="0.3">
      <c r="W1511" s="72"/>
    </row>
    <row r="1512" spans="23:23" x14ac:dyDescent="0.3">
      <c r="W1512" s="72"/>
    </row>
    <row r="1513" spans="23:23" x14ac:dyDescent="0.3">
      <c r="W1513" s="72"/>
    </row>
    <row r="1514" spans="23:23" x14ac:dyDescent="0.3">
      <c r="W1514" s="72"/>
    </row>
    <row r="1515" spans="23:23" x14ac:dyDescent="0.3">
      <c r="W1515" s="72"/>
    </row>
    <row r="1516" spans="23:23" x14ac:dyDescent="0.3">
      <c r="W1516" s="72"/>
    </row>
    <row r="1517" spans="23:23" x14ac:dyDescent="0.3">
      <c r="W1517" s="72"/>
    </row>
    <row r="1518" spans="23:23" x14ac:dyDescent="0.3">
      <c r="W1518" s="72"/>
    </row>
    <row r="1519" spans="23:23" x14ac:dyDescent="0.3">
      <c r="W1519" s="72"/>
    </row>
    <row r="1520" spans="23:23" x14ac:dyDescent="0.3">
      <c r="W1520" s="72"/>
    </row>
    <row r="1521" spans="23:23" x14ac:dyDescent="0.3">
      <c r="W1521" s="72"/>
    </row>
    <row r="1522" spans="23:23" x14ac:dyDescent="0.3">
      <c r="W1522" s="72"/>
    </row>
    <row r="1523" spans="23:23" x14ac:dyDescent="0.3">
      <c r="W1523" s="72"/>
    </row>
    <row r="1524" spans="23:23" x14ac:dyDescent="0.3">
      <c r="W1524" s="72"/>
    </row>
    <row r="1525" spans="23:23" x14ac:dyDescent="0.3">
      <c r="W1525" s="72"/>
    </row>
    <row r="1526" spans="23:23" x14ac:dyDescent="0.3">
      <c r="W1526" s="72"/>
    </row>
    <row r="1527" spans="23:23" x14ac:dyDescent="0.3">
      <c r="W1527" s="72"/>
    </row>
    <row r="1528" spans="23:23" x14ac:dyDescent="0.3">
      <c r="W1528" s="72"/>
    </row>
    <row r="1529" spans="23:23" x14ac:dyDescent="0.3">
      <c r="W1529" s="72"/>
    </row>
    <row r="1530" spans="23:23" x14ac:dyDescent="0.3">
      <c r="W1530" s="72"/>
    </row>
    <row r="1531" spans="23:23" x14ac:dyDescent="0.3">
      <c r="W1531" s="72"/>
    </row>
    <row r="1532" spans="23:23" x14ac:dyDescent="0.3">
      <c r="W1532" s="72"/>
    </row>
    <row r="1533" spans="23:23" x14ac:dyDescent="0.3">
      <c r="W1533" s="72"/>
    </row>
    <row r="1534" spans="23:23" x14ac:dyDescent="0.3">
      <c r="W1534" s="72"/>
    </row>
    <row r="1535" spans="23:23" x14ac:dyDescent="0.3">
      <c r="W1535" s="72"/>
    </row>
    <row r="1536" spans="23:23" x14ac:dyDescent="0.3">
      <c r="W1536" s="72"/>
    </row>
    <row r="1537" spans="23:23" x14ac:dyDescent="0.3">
      <c r="W1537" s="72"/>
    </row>
    <row r="1538" spans="23:23" x14ac:dyDescent="0.3">
      <c r="W1538" s="72"/>
    </row>
    <row r="1539" spans="23:23" x14ac:dyDescent="0.3">
      <c r="W1539" s="72"/>
    </row>
    <row r="1540" spans="23:23" x14ac:dyDescent="0.3">
      <c r="W1540" s="72"/>
    </row>
    <row r="1541" spans="23:23" x14ac:dyDescent="0.3">
      <c r="W1541" s="72"/>
    </row>
    <row r="1542" spans="23:23" x14ac:dyDescent="0.3">
      <c r="W1542" s="72"/>
    </row>
    <row r="1543" spans="23:23" x14ac:dyDescent="0.3">
      <c r="W1543" s="72"/>
    </row>
    <row r="1544" spans="23:23" x14ac:dyDescent="0.3">
      <c r="W1544" s="72"/>
    </row>
    <row r="1545" spans="23:23" x14ac:dyDescent="0.3">
      <c r="W1545" s="72"/>
    </row>
    <row r="1546" spans="23:23" x14ac:dyDescent="0.3">
      <c r="W1546" s="72"/>
    </row>
    <row r="1547" spans="23:23" x14ac:dyDescent="0.3">
      <c r="W1547" s="72"/>
    </row>
    <row r="1548" spans="23:23" x14ac:dyDescent="0.3">
      <c r="W1548" s="72"/>
    </row>
    <row r="1549" spans="23:23" x14ac:dyDescent="0.3">
      <c r="W1549" s="72"/>
    </row>
    <row r="1550" spans="23:23" x14ac:dyDescent="0.3">
      <c r="W1550" s="72"/>
    </row>
    <row r="1551" spans="23:23" x14ac:dyDescent="0.3">
      <c r="W1551" s="72"/>
    </row>
    <row r="1552" spans="23:23" x14ac:dyDescent="0.3">
      <c r="W1552" s="72"/>
    </row>
    <row r="1553" spans="23:23" x14ac:dyDescent="0.3">
      <c r="W1553" s="72"/>
    </row>
    <row r="1554" spans="23:23" x14ac:dyDescent="0.3">
      <c r="W1554" s="72"/>
    </row>
    <row r="1555" spans="23:23" x14ac:dyDescent="0.3">
      <c r="W1555" s="72"/>
    </row>
    <row r="1556" spans="23:23" x14ac:dyDescent="0.3">
      <c r="W1556" s="72"/>
    </row>
    <row r="1557" spans="23:23" x14ac:dyDescent="0.3">
      <c r="W1557" s="72"/>
    </row>
    <row r="1558" spans="23:23" x14ac:dyDescent="0.3">
      <c r="W1558" s="72"/>
    </row>
    <row r="1559" spans="23:23" x14ac:dyDescent="0.3">
      <c r="W1559" s="72"/>
    </row>
    <row r="1560" spans="23:23" x14ac:dyDescent="0.3">
      <c r="W1560" s="72"/>
    </row>
    <row r="1561" spans="23:23" x14ac:dyDescent="0.3">
      <c r="W1561" s="72"/>
    </row>
    <row r="1562" spans="23:23" x14ac:dyDescent="0.3">
      <c r="W1562" s="72"/>
    </row>
    <row r="1563" spans="23:23" x14ac:dyDescent="0.3">
      <c r="W1563" s="72"/>
    </row>
    <row r="1564" spans="23:23" x14ac:dyDescent="0.3">
      <c r="W1564" s="72"/>
    </row>
    <row r="1565" spans="23:23" x14ac:dyDescent="0.3">
      <c r="W1565" s="72"/>
    </row>
    <row r="1566" spans="23:23" x14ac:dyDescent="0.3">
      <c r="W1566" s="72"/>
    </row>
    <row r="1567" spans="23:23" x14ac:dyDescent="0.3">
      <c r="W1567" s="72"/>
    </row>
    <row r="1568" spans="23:23" x14ac:dyDescent="0.3">
      <c r="W1568" s="72"/>
    </row>
    <row r="1569" spans="23:23" x14ac:dyDescent="0.3">
      <c r="W1569" s="72"/>
    </row>
    <row r="1570" spans="23:23" x14ac:dyDescent="0.3">
      <c r="W1570" s="72"/>
    </row>
    <row r="1571" spans="23:23" x14ac:dyDescent="0.3">
      <c r="W1571" s="72"/>
    </row>
    <row r="1572" spans="23:23" x14ac:dyDescent="0.3">
      <c r="W1572" s="72"/>
    </row>
    <row r="1573" spans="23:23" x14ac:dyDescent="0.3">
      <c r="W1573" s="72"/>
    </row>
    <row r="1574" spans="23:23" x14ac:dyDescent="0.3">
      <c r="W1574" s="72"/>
    </row>
    <row r="1575" spans="23:23" x14ac:dyDescent="0.3">
      <c r="W1575" s="72"/>
    </row>
    <row r="1576" spans="23:23" x14ac:dyDescent="0.3">
      <c r="W1576" s="72"/>
    </row>
    <row r="1577" spans="23:23" x14ac:dyDescent="0.3">
      <c r="W1577" s="72"/>
    </row>
    <row r="1578" spans="23:23" x14ac:dyDescent="0.3">
      <c r="W1578" s="72"/>
    </row>
    <row r="1579" spans="23:23" x14ac:dyDescent="0.3">
      <c r="W1579" s="72"/>
    </row>
    <row r="1580" spans="23:23" x14ac:dyDescent="0.3">
      <c r="W1580" s="72"/>
    </row>
    <row r="1581" spans="23:23" x14ac:dyDescent="0.3">
      <c r="W1581" s="72"/>
    </row>
    <row r="1582" spans="23:23" x14ac:dyDescent="0.3">
      <c r="W1582" s="72"/>
    </row>
    <row r="1583" spans="23:23" x14ac:dyDescent="0.3">
      <c r="W1583" s="72"/>
    </row>
    <row r="1584" spans="23:23" x14ac:dyDescent="0.3">
      <c r="W1584" s="72"/>
    </row>
    <row r="1585" spans="23:23" x14ac:dyDescent="0.3">
      <c r="W1585" s="72"/>
    </row>
    <row r="1586" spans="23:23" x14ac:dyDescent="0.3">
      <c r="W1586" s="72"/>
    </row>
    <row r="1587" spans="23:23" x14ac:dyDescent="0.3">
      <c r="W1587" s="72"/>
    </row>
    <row r="1588" spans="23:23" x14ac:dyDescent="0.3">
      <c r="W1588" s="72"/>
    </row>
    <row r="1589" spans="23:23" x14ac:dyDescent="0.3">
      <c r="W1589" s="72"/>
    </row>
    <row r="1590" spans="23:23" x14ac:dyDescent="0.3">
      <c r="W1590" s="72"/>
    </row>
    <row r="1591" spans="23:23" x14ac:dyDescent="0.3">
      <c r="W1591" s="72"/>
    </row>
    <row r="1592" spans="23:23" x14ac:dyDescent="0.3">
      <c r="W1592" s="72"/>
    </row>
    <row r="1593" spans="23:23" x14ac:dyDescent="0.3">
      <c r="W1593" s="72"/>
    </row>
    <row r="1594" spans="23:23" x14ac:dyDescent="0.3">
      <c r="W1594" s="72"/>
    </row>
    <row r="1595" spans="23:23" x14ac:dyDescent="0.3">
      <c r="W1595" s="72"/>
    </row>
    <row r="1596" spans="23:23" x14ac:dyDescent="0.3">
      <c r="W1596" s="72"/>
    </row>
    <row r="1597" spans="23:23" x14ac:dyDescent="0.3">
      <c r="W1597" s="72"/>
    </row>
    <row r="1598" spans="23:23" x14ac:dyDescent="0.3">
      <c r="W1598" s="72"/>
    </row>
    <row r="1599" spans="23:23" x14ac:dyDescent="0.3">
      <c r="W1599" s="72"/>
    </row>
    <row r="1600" spans="23:23" x14ac:dyDescent="0.3">
      <c r="W1600" s="72"/>
    </row>
    <row r="1601" spans="23:23" x14ac:dyDescent="0.3">
      <c r="W1601" s="72"/>
    </row>
    <row r="1602" spans="23:23" x14ac:dyDescent="0.3">
      <c r="W1602" s="72"/>
    </row>
    <row r="1603" spans="23:23" x14ac:dyDescent="0.3">
      <c r="W1603" s="72"/>
    </row>
    <row r="1604" spans="23:23" x14ac:dyDescent="0.3">
      <c r="W1604" s="72"/>
    </row>
    <row r="1605" spans="23:23" x14ac:dyDescent="0.3">
      <c r="W1605" s="72"/>
    </row>
    <row r="1606" spans="23:23" x14ac:dyDescent="0.3">
      <c r="W1606" s="72"/>
    </row>
    <row r="1607" spans="23:23" x14ac:dyDescent="0.3">
      <c r="W1607" s="72"/>
    </row>
    <row r="1608" spans="23:23" x14ac:dyDescent="0.3">
      <c r="W1608" s="72"/>
    </row>
    <row r="1609" spans="23:23" x14ac:dyDescent="0.3">
      <c r="W1609" s="72"/>
    </row>
    <row r="1610" spans="23:23" x14ac:dyDescent="0.3">
      <c r="W1610" s="72"/>
    </row>
    <row r="1611" spans="23:23" x14ac:dyDescent="0.3">
      <c r="W1611" s="72"/>
    </row>
    <row r="1612" spans="23:23" x14ac:dyDescent="0.3">
      <c r="W1612" s="72"/>
    </row>
    <row r="1613" spans="23:23" x14ac:dyDescent="0.3">
      <c r="W1613" s="72"/>
    </row>
    <row r="1614" spans="23:23" x14ac:dyDescent="0.3">
      <c r="W1614" s="72"/>
    </row>
    <row r="1615" spans="23:23" x14ac:dyDescent="0.3">
      <c r="W1615" s="72"/>
    </row>
    <row r="1616" spans="23:23" x14ac:dyDescent="0.3">
      <c r="W1616" s="72"/>
    </row>
    <row r="1617" spans="23:23" x14ac:dyDescent="0.3">
      <c r="W1617" s="72"/>
    </row>
    <row r="1618" spans="23:23" x14ac:dyDescent="0.3">
      <c r="W1618" s="72"/>
    </row>
    <row r="1619" spans="23:23" x14ac:dyDescent="0.3">
      <c r="W1619" s="72"/>
    </row>
    <row r="1620" spans="23:23" x14ac:dyDescent="0.3">
      <c r="W1620" s="72"/>
    </row>
    <row r="1621" spans="23:23" x14ac:dyDescent="0.3">
      <c r="W1621" s="72"/>
    </row>
    <row r="1622" spans="23:23" x14ac:dyDescent="0.3">
      <c r="W1622" s="72"/>
    </row>
    <row r="1623" spans="23:23" x14ac:dyDescent="0.3">
      <c r="W1623" s="72"/>
    </row>
    <row r="1624" spans="23:23" x14ac:dyDescent="0.3">
      <c r="W1624" s="72"/>
    </row>
    <row r="1625" spans="23:23" x14ac:dyDescent="0.3">
      <c r="W1625" s="72"/>
    </row>
    <row r="1626" spans="23:23" x14ac:dyDescent="0.3">
      <c r="W1626" s="72"/>
    </row>
    <row r="1627" spans="23:23" x14ac:dyDescent="0.3">
      <c r="W1627" s="72"/>
    </row>
    <row r="1628" spans="23:23" x14ac:dyDescent="0.3">
      <c r="W1628" s="72"/>
    </row>
    <row r="1629" spans="23:23" x14ac:dyDescent="0.3">
      <c r="W1629" s="72"/>
    </row>
    <row r="1630" spans="23:23" x14ac:dyDescent="0.3">
      <c r="W1630" s="72"/>
    </row>
    <row r="1631" spans="23:23" x14ac:dyDescent="0.3">
      <c r="W1631" s="72"/>
    </row>
    <row r="1632" spans="23:23" x14ac:dyDescent="0.3">
      <c r="W1632" s="72"/>
    </row>
    <row r="1633" spans="23:23" x14ac:dyDescent="0.3">
      <c r="W1633" s="72"/>
    </row>
    <row r="1634" spans="23:23" x14ac:dyDescent="0.3">
      <c r="W1634" s="72"/>
    </row>
    <row r="1635" spans="23:23" x14ac:dyDescent="0.3">
      <c r="W1635" s="72"/>
    </row>
    <row r="1636" spans="23:23" x14ac:dyDescent="0.3">
      <c r="W1636" s="72"/>
    </row>
    <row r="1637" spans="23:23" x14ac:dyDescent="0.3">
      <c r="W1637" s="72"/>
    </row>
    <row r="1638" spans="23:23" x14ac:dyDescent="0.3">
      <c r="W1638" s="72"/>
    </row>
    <row r="1639" spans="23:23" x14ac:dyDescent="0.3">
      <c r="W1639" s="72"/>
    </row>
    <row r="1640" spans="23:23" x14ac:dyDescent="0.3">
      <c r="W1640" s="72"/>
    </row>
    <row r="1641" spans="23:23" x14ac:dyDescent="0.3">
      <c r="W1641" s="72"/>
    </row>
    <row r="1642" spans="23:23" x14ac:dyDescent="0.3">
      <c r="W1642" s="72"/>
    </row>
    <row r="1643" spans="23:23" x14ac:dyDescent="0.3">
      <c r="W1643" s="72"/>
    </row>
    <row r="1644" spans="23:23" x14ac:dyDescent="0.3">
      <c r="W1644" s="72"/>
    </row>
    <row r="1645" spans="23:23" x14ac:dyDescent="0.3">
      <c r="W1645" s="72"/>
    </row>
    <row r="1646" spans="23:23" x14ac:dyDescent="0.3">
      <c r="W1646" s="72"/>
    </row>
    <row r="1647" spans="23:23" x14ac:dyDescent="0.3">
      <c r="W1647" s="72"/>
    </row>
    <row r="1648" spans="23:23" x14ac:dyDescent="0.3">
      <c r="W1648" s="72"/>
    </row>
    <row r="1649" spans="23:23" x14ac:dyDescent="0.3">
      <c r="W1649" s="72"/>
    </row>
    <row r="1650" spans="23:23" x14ac:dyDescent="0.3">
      <c r="W1650" s="72"/>
    </row>
    <row r="1651" spans="23:23" x14ac:dyDescent="0.3">
      <c r="W1651" s="72"/>
    </row>
    <row r="1652" spans="23:23" x14ac:dyDescent="0.3">
      <c r="W1652" s="72"/>
    </row>
    <row r="1653" spans="23:23" x14ac:dyDescent="0.3">
      <c r="W1653" s="72"/>
    </row>
    <row r="1654" spans="23:23" x14ac:dyDescent="0.3">
      <c r="W1654" s="72"/>
    </row>
    <row r="1655" spans="23:23" x14ac:dyDescent="0.3">
      <c r="W1655" s="72"/>
    </row>
    <row r="1656" spans="23:23" x14ac:dyDescent="0.3">
      <c r="W1656" s="72"/>
    </row>
    <row r="1657" spans="23:23" x14ac:dyDescent="0.3">
      <c r="W1657" s="72"/>
    </row>
    <row r="1658" spans="23:23" x14ac:dyDescent="0.3">
      <c r="W1658" s="72"/>
    </row>
    <row r="1659" spans="23:23" x14ac:dyDescent="0.3">
      <c r="W1659" s="72"/>
    </row>
    <row r="1660" spans="23:23" x14ac:dyDescent="0.3">
      <c r="W1660" s="72"/>
    </row>
    <row r="1661" spans="23:23" x14ac:dyDescent="0.3">
      <c r="W1661" s="72"/>
    </row>
    <row r="1662" spans="23:23" x14ac:dyDescent="0.3">
      <c r="W1662" s="72"/>
    </row>
    <row r="1663" spans="23:23" x14ac:dyDescent="0.3">
      <c r="W1663" s="72"/>
    </row>
    <row r="1664" spans="23:23" x14ac:dyDescent="0.3">
      <c r="W1664" s="72"/>
    </row>
    <row r="1665" spans="23:23" x14ac:dyDescent="0.3">
      <c r="W1665" s="72"/>
    </row>
    <row r="1666" spans="23:23" x14ac:dyDescent="0.3">
      <c r="W1666" s="72"/>
    </row>
    <row r="1667" spans="23:23" x14ac:dyDescent="0.3">
      <c r="W1667" s="72"/>
    </row>
    <row r="1668" spans="23:23" x14ac:dyDescent="0.3">
      <c r="W1668" s="72"/>
    </row>
    <row r="1669" spans="23:23" x14ac:dyDescent="0.3">
      <c r="W1669" s="72"/>
    </row>
    <row r="1670" spans="23:23" x14ac:dyDescent="0.3">
      <c r="W1670" s="72"/>
    </row>
    <row r="1671" spans="23:23" x14ac:dyDescent="0.3">
      <c r="W1671" s="72"/>
    </row>
    <row r="1672" spans="23:23" x14ac:dyDescent="0.3">
      <c r="W1672" s="72"/>
    </row>
    <row r="1673" spans="23:23" x14ac:dyDescent="0.3">
      <c r="W1673" s="72"/>
    </row>
    <row r="1674" spans="23:23" x14ac:dyDescent="0.3">
      <c r="W1674" s="72"/>
    </row>
    <row r="1675" spans="23:23" x14ac:dyDescent="0.3">
      <c r="W1675" s="72"/>
    </row>
    <row r="1676" spans="23:23" x14ac:dyDescent="0.3">
      <c r="W1676" s="72"/>
    </row>
    <row r="1677" spans="23:23" x14ac:dyDescent="0.3">
      <c r="W1677" s="72"/>
    </row>
    <row r="1678" spans="23:23" x14ac:dyDescent="0.3">
      <c r="W1678" s="72"/>
    </row>
    <row r="1679" spans="23:23" x14ac:dyDescent="0.3">
      <c r="W1679" s="72"/>
    </row>
    <row r="1680" spans="23:23" x14ac:dyDescent="0.3">
      <c r="W1680" s="72"/>
    </row>
    <row r="1681" spans="23:23" x14ac:dyDescent="0.3">
      <c r="W1681" s="72"/>
    </row>
    <row r="1682" spans="23:23" x14ac:dyDescent="0.3">
      <c r="W1682" s="72"/>
    </row>
    <row r="1683" spans="23:23" x14ac:dyDescent="0.3">
      <c r="W1683" s="72"/>
    </row>
    <row r="1684" spans="23:23" x14ac:dyDescent="0.3">
      <c r="W1684" s="72"/>
    </row>
    <row r="1685" spans="23:23" x14ac:dyDescent="0.3">
      <c r="W1685" s="72"/>
    </row>
    <row r="1686" spans="23:23" x14ac:dyDescent="0.3">
      <c r="W1686" s="72"/>
    </row>
    <row r="1687" spans="23:23" x14ac:dyDescent="0.3">
      <c r="W1687" s="72"/>
    </row>
    <row r="1688" spans="23:23" x14ac:dyDescent="0.3">
      <c r="W1688" s="72"/>
    </row>
    <row r="1689" spans="23:23" x14ac:dyDescent="0.3">
      <c r="W1689" s="72"/>
    </row>
    <row r="1690" spans="23:23" x14ac:dyDescent="0.3">
      <c r="W1690" s="72"/>
    </row>
    <row r="1691" spans="23:23" x14ac:dyDescent="0.3">
      <c r="W1691" s="72"/>
    </row>
    <row r="1692" spans="23:23" x14ac:dyDescent="0.3">
      <c r="W1692" s="72"/>
    </row>
    <row r="1693" spans="23:23" x14ac:dyDescent="0.3">
      <c r="W1693" s="72"/>
    </row>
    <row r="1694" spans="23:23" x14ac:dyDescent="0.3">
      <c r="W1694" s="72"/>
    </row>
    <row r="1695" spans="23:23" x14ac:dyDescent="0.3">
      <c r="W1695" s="72"/>
    </row>
    <row r="1696" spans="23:23" x14ac:dyDescent="0.3">
      <c r="W1696" s="72"/>
    </row>
    <row r="1697" spans="23:23" x14ac:dyDescent="0.3">
      <c r="W1697" s="72"/>
    </row>
    <row r="1698" spans="23:23" x14ac:dyDescent="0.3">
      <c r="W1698" s="72"/>
    </row>
    <row r="1699" spans="23:23" x14ac:dyDescent="0.3">
      <c r="W1699" s="72"/>
    </row>
    <row r="1700" spans="23:23" x14ac:dyDescent="0.3">
      <c r="W1700" s="72"/>
    </row>
    <row r="1701" spans="23:23" x14ac:dyDescent="0.3">
      <c r="W1701" s="72"/>
    </row>
    <row r="1702" spans="23:23" x14ac:dyDescent="0.3">
      <c r="W1702" s="72"/>
    </row>
    <row r="1703" spans="23:23" x14ac:dyDescent="0.3">
      <c r="W1703" s="72"/>
    </row>
    <row r="1704" spans="23:23" x14ac:dyDescent="0.3">
      <c r="W1704" s="72"/>
    </row>
    <row r="1705" spans="23:23" x14ac:dyDescent="0.3">
      <c r="W1705" s="72"/>
    </row>
    <row r="1706" spans="23:23" x14ac:dyDescent="0.3">
      <c r="W1706" s="72"/>
    </row>
    <row r="1707" spans="23:23" x14ac:dyDescent="0.3">
      <c r="W1707" s="72"/>
    </row>
    <row r="1708" spans="23:23" x14ac:dyDescent="0.3">
      <c r="W1708" s="72"/>
    </row>
    <row r="1709" spans="23:23" x14ac:dyDescent="0.3">
      <c r="W1709" s="72"/>
    </row>
    <row r="1710" spans="23:23" x14ac:dyDescent="0.3">
      <c r="W1710" s="72"/>
    </row>
    <row r="1711" spans="23:23" x14ac:dyDescent="0.3">
      <c r="W1711" s="72"/>
    </row>
    <row r="1712" spans="23:23" x14ac:dyDescent="0.3">
      <c r="W1712" s="72"/>
    </row>
    <row r="1713" spans="23:23" x14ac:dyDescent="0.3">
      <c r="W1713" s="72"/>
    </row>
    <row r="1714" spans="23:23" x14ac:dyDescent="0.3">
      <c r="W1714" s="72"/>
    </row>
    <row r="1715" spans="23:23" x14ac:dyDescent="0.3">
      <c r="W1715" s="72"/>
    </row>
    <row r="1716" spans="23:23" x14ac:dyDescent="0.3">
      <c r="W1716" s="72"/>
    </row>
    <row r="1717" spans="23:23" x14ac:dyDescent="0.3">
      <c r="W1717" s="72"/>
    </row>
    <row r="1718" spans="23:23" x14ac:dyDescent="0.3">
      <c r="W1718" s="72"/>
    </row>
    <row r="1719" spans="23:23" x14ac:dyDescent="0.3">
      <c r="W1719" s="72"/>
    </row>
    <row r="1720" spans="23:23" x14ac:dyDescent="0.3">
      <c r="W1720" s="72"/>
    </row>
    <row r="1721" spans="23:23" x14ac:dyDescent="0.3">
      <c r="W1721" s="72"/>
    </row>
    <row r="1722" spans="23:23" x14ac:dyDescent="0.3">
      <c r="W1722" s="72"/>
    </row>
    <row r="1723" spans="23:23" x14ac:dyDescent="0.3">
      <c r="W1723" s="72"/>
    </row>
    <row r="1724" spans="23:23" x14ac:dyDescent="0.3">
      <c r="W1724" s="72"/>
    </row>
    <row r="1725" spans="23:23" x14ac:dyDescent="0.3">
      <c r="W1725" s="72"/>
    </row>
    <row r="1726" spans="23:23" x14ac:dyDescent="0.3">
      <c r="W1726" s="72"/>
    </row>
    <row r="1727" spans="23:23" x14ac:dyDescent="0.3">
      <c r="W1727" s="72"/>
    </row>
    <row r="1728" spans="23:23" x14ac:dyDescent="0.3">
      <c r="W1728" s="72"/>
    </row>
    <row r="1729" spans="23:23" x14ac:dyDescent="0.3">
      <c r="W1729" s="72"/>
    </row>
    <row r="1730" spans="23:23" x14ac:dyDescent="0.3">
      <c r="W1730" s="72"/>
    </row>
    <row r="1731" spans="23:23" x14ac:dyDescent="0.3">
      <c r="W1731" s="72"/>
    </row>
    <row r="1732" spans="23:23" x14ac:dyDescent="0.3">
      <c r="W1732" s="72"/>
    </row>
    <row r="1733" spans="23:23" x14ac:dyDescent="0.3">
      <c r="W1733" s="72"/>
    </row>
    <row r="1734" spans="23:23" x14ac:dyDescent="0.3">
      <c r="W1734" s="72"/>
    </row>
    <row r="1735" spans="23:23" x14ac:dyDescent="0.3">
      <c r="W1735" s="72"/>
    </row>
    <row r="1736" spans="23:23" x14ac:dyDescent="0.3">
      <c r="W1736" s="72"/>
    </row>
    <row r="1737" spans="23:23" x14ac:dyDescent="0.3">
      <c r="W1737" s="72"/>
    </row>
    <row r="1738" spans="23:23" x14ac:dyDescent="0.3">
      <c r="W1738" s="72"/>
    </row>
    <row r="1739" spans="23:23" x14ac:dyDescent="0.3">
      <c r="W1739" s="72"/>
    </row>
    <row r="1740" spans="23:23" x14ac:dyDescent="0.3">
      <c r="W1740" s="72"/>
    </row>
    <row r="1741" spans="23:23" x14ac:dyDescent="0.3">
      <c r="W1741" s="72"/>
    </row>
    <row r="1742" spans="23:23" x14ac:dyDescent="0.3">
      <c r="W1742" s="72"/>
    </row>
    <row r="1743" spans="23:23" x14ac:dyDescent="0.3">
      <c r="W1743" s="72"/>
    </row>
    <row r="1744" spans="23:23" x14ac:dyDescent="0.3">
      <c r="W1744" s="72"/>
    </row>
    <row r="1745" spans="23:23" x14ac:dyDescent="0.3">
      <c r="W1745" s="72"/>
    </row>
    <row r="1746" spans="23:23" x14ac:dyDescent="0.3">
      <c r="W1746" s="72"/>
    </row>
    <row r="1747" spans="23:23" x14ac:dyDescent="0.3">
      <c r="W1747" s="72"/>
    </row>
    <row r="1748" spans="23:23" x14ac:dyDescent="0.3">
      <c r="W1748" s="72"/>
    </row>
    <row r="1749" spans="23:23" x14ac:dyDescent="0.3">
      <c r="W1749" s="72"/>
    </row>
    <row r="1750" spans="23:23" x14ac:dyDescent="0.3">
      <c r="W1750" s="72"/>
    </row>
    <row r="1751" spans="23:23" x14ac:dyDescent="0.3">
      <c r="W1751" s="72"/>
    </row>
    <row r="1752" spans="23:23" x14ac:dyDescent="0.3">
      <c r="W1752" s="72"/>
    </row>
    <row r="1753" spans="23:23" x14ac:dyDescent="0.3">
      <c r="W1753" s="72"/>
    </row>
    <row r="1754" spans="23:23" x14ac:dyDescent="0.3">
      <c r="W1754" s="72"/>
    </row>
    <row r="1755" spans="23:23" x14ac:dyDescent="0.3">
      <c r="W1755" s="72"/>
    </row>
    <row r="1756" spans="23:23" x14ac:dyDescent="0.3">
      <c r="W1756" s="72"/>
    </row>
    <row r="1757" spans="23:23" x14ac:dyDescent="0.3">
      <c r="W1757" s="72"/>
    </row>
    <row r="1758" spans="23:23" x14ac:dyDescent="0.3">
      <c r="W1758" s="72"/>
    </row>
    <row r="1759" spans="23:23" x14ac:dyDescent="0.3">
      <c r="W1759" s="72"/>
    </row>
    <row r="1760" spans="23:23" x14ac:dyDescent="0.3">
      <c r="W1760" s="72"/>
    </row>
    <row r="1761" spans="23:23" x14ac:dyDescent="0.3">
      <c r="W1761" s="72"/>
    </row>
    <row r="1762" spans="23:23" x14ac:dyDescent="0.3">
      <c r="W1762" s="72"/>
    </row>
    <row r="1763" spans="23:23" x14ac:dyDescent="0.3">
      <c r="W1763" s="72"/>
    </row>
    <row r="1764" spans="23:23" x14ac:dyDescent="0.3">
      <c r="W1764" s="72"/>
    </row>
    <row r="1765" spans="23:23" x14ac:dyDescent="0.3">
      <c r="W1765" s="72"/>
    </row>
    <row r="1766" spans="23:23" x14ac:dyDescent="0.3">
      <c r="W1766" s="72"/>
    </row>
    <row r="1767" spans="23:23" x14ac:dyDescent="0.3">
      <c r="W1767" s="72"/>
    </row>
    <row r="1768" spans="23:23" x14ac:dyDescent="0.3">
      <c r="W1768" s="72"/>
    </row>
    <row r="1769" spans="23:23" x14ac:dyDescent="0.3">
      <c r="W1769" s="72"/>
    </row>
    <row r="1770" spans="23:23" x14ac:dyDescent="0.3">
      <c r="W1770" s="72"/>
    </row>
    <row r="1771" spans="23:23" x14ac:dyDescent="0.3">
      <c r="W1771" s="72"/>
    </row>
    <row r="1772" spans="23:23" x14ac:dyDescent="0.3">
      <c r="W1772" s="72"/>
    </row>
    <row r="1773" spans="23:23" x14ac:dyDescent="0.3">
      <c r="W1773" s="72"/>
    </row>
    <row r="1774" spans="23:23" x14ac:dyDescent="0.3">
      <c r="W1774" s="72"/>
    </row>
    <row r="1775" spans="23:23" x14ac:dyDescent="0.3">
      <c r="W1775" s="72"/>
    </row>
    <row r="1776" spans="23:23" x14ac:dyDescent="0.3">
      <c r="W1776" s="72"/>
    </row>
    <row r="1777" spans="23:23" x14ac:dyDescent="0.3">
      <c r="W1777" s="72"/>
    </row>
    <row r="1778" spans="23:23" x14ac:dyDescent="0.3">
      <c r="W1778" s="72"/>
    </row>
    <row r="1779" spans="23:23" x14ac:dyDescent="0.3">
      <c r="W1779" s="72"/>
    </row>
    <row r="1780" spans="23:23" x14ac:dyDescent="0.3">
      <c r="W1780" s="72"/>
    </row>
    <row r="1781" spans="23:23" x14ac:dyDescent="0.3">
      <c r="W1781" s="72"/>
    </row>
    <row r="1782" spans="23:23" x14ac:dyDescent="0.3">
      <c r="W1782" s="72"/>
    </row>
    <row r="1783" spans="23:23" x14ac:dyDescent="0.3">
      <c r="W1783" s="72"/>
    </row>
    <row r="1784" spans="23:23" x14ac:dyDescent="0.3">
      <c r="W1784" s="72"/>
    </row>
    <row r="1785" spans="23:23" x14ac:dyDescent="0.3">
      <c r="W1785" s="72"/>
    </row>
    <row r="1786" spans="23:23" x14ac:dyDescent="0.3">
      <c r="W1786" s="72"/>
    </row>
    <row r="1787" spans="23:23" x14ac:dyDescent="0.3">
      <c r="W1787" s="72"/>
    </row>
    <row r="1788" spans="23:23" x14ac:dyDescent="0.3">
      <c r="W1788" s="72"/>
    </row>
    <row r="1789" spans="23:23" x14ac:dyDescent="0.3">
      <c r="W1789" s="72"/>
    </row>
    <row r="1790" spans="23:23" x14ac:dyDescent="0.3">
      <c r="W1790" s="72"/>
    </row>
    <row r="1791" spans="23:23" x14ac:dyDescent="0.3">
      <c r="W1791" s="72"/>
    </row>
    <row r="1792" spans="23:23" x14ac:dyDescent="0.3">
      <c r="W1792" s="72"/>
    </row>
    <row r="1793" spans="23:23" x14ac:dyDescent="0.3">
      <c r="W1793" s="72"/>
    </row>
    <row r="1794" spans="23:23" x14ac:dyDescent="0.3">
      <c r="W1794" s="72"/>
    </row>
    <row r="1795" spans="23:23" x14ac:dyDescent="0.3">
      <c r="W1795" s="72"/>
    </row>
    <row r="1796" spans="23:23" x14ac:dyDescent="0.3">
      <c r="W1796" s="72"/>
    </row>
    <row r="1797" spans="23:23" x14ac:dyDescent="0.3">
      <c r="W1797" s="72"/>
    </row>
    <row r="1798" spans="23:23" x14ac:dyDescent="0.3">
      <c r="W1798" s="72"/>
    </row>
    <row r="1799" spans="23:23" x14ac:dyDescent="0.3">
      <c r="W1799" s="72"/>
    </row>
    <row r="1800" spans="23:23" x14ac:dyDescent="0.3">
      <c r="W1800" s="72"/>
    </row>
    <row r="1801" spans="23:23" x14ac:dyDescent="0.3">
      <c r="W1801" s="72"/>
    </row>
    <row r="1802" spans="23:23" x14ac:dyDescent="0.3">
      <c r="W1802" s="72"/>
    </row>
    <row r="1803" spans="23:23" x14ac:dyDescent="0.3">
      <c r="W1803" s="72"/>
    </row>
    <row r="1804" spans="23:23" x14ac:dyDescent="0.3">
      <c r="W1804" s="72"/>
    </row>
    <row r="1805" spans="23:23" x14ac:dyDescent="0.3">
      <c r="W1805" s="72"/>
    </row>
    <row r="1806" spans="23:23" x14ac:dyDescent="0.3">
      <c r="W1806" s="72"/>
    </row>
    <row r="1807" spans="23:23" x14ac:dyDescent="0.3">
      <c r="W1807" s="72"/>
    </row>
    <row r="1808" spans="23:23" x14ac:dyDescent="0.3">
      <c r="W1808" s="72"/>
    </row>
    <row r="1809" spans="23:23" x14ac:dyDescent="0.3">
      <c r="W1809" s="72"/>
    </row>
    <row r="1810" spans="23:23" x14ac:dyDescent="0.3">
      <c r="W1810" s="72"/>
    </row>
    <row r="1811" spans="23:23" x14ac:dyDescent="0.3">
      <c r="W1811" s="72"/>
    </row>
    <row r="1812" spans="23:23" x14ac:dyDescent="0.3">
      <c r="W1812" s="72"/>
    </row>
    <row r="1813" spans="23:23" x14ac:dyDescent="0.3">
      <c r="W1813" s="72"/>
    </row>
    <row r="1814" spans="23:23" x14ac:dyDescent="0.3">
      <c r="W1814" s="72"/>
    </row>
    <row r="1815" spans="23:23" x14ac:dyDescent="0.3">
      <c r="W1815" s="72"/>
    </row>
    <row r="1816" spans="23:23" x14ac:dyDescent="0.3">
      <c r="W1816" s="72"/>
    </row>
    <row r="1817" spans="23:23" x14ac:dyDescent="0.3">
      <c r="W1817" s="72"/>
    </row>
    <row r="1818" spans="23:23" x14ac:dyDescent="0.3">
      <c r="W1818" s="72"/>
    </row>
    <row r="1819" spans="23:23" x14ac:dyDescent="0.3">
      <c r="W1819" s="72"/>
    </row>
    <row r="1820" spans="23:23" x14ac:dyDescent="0.3">
      <c r="W1820" s="72"/>
    </row>
    <row r="1821" spans="23:23" x14ac:dyDescent="0.3">
      <c r="W1821" s="72"/>
    </row>
    <row r="1822" spans="23:23" x14ac:dyDescent="0.3">
      <c r="W1822" s="72"/>
    </row>
    <row r="1823" spans="23:23" x14ac:dyDescent="0.3">
      <c r="W1823" s="72"/>
    </row>
    <row r="1824" spans="23:23" x14ac:dyDescent="0.3">
      <c r="W1824" s="72"/>
    </row>
    <row r="1825" spans="23:23" x14ac:dyDescent="0.3">
      <c r="W1825" s="72"/>
    </row>
    <row r="1826" spans="23:23" x14ac:dyDescent="0.3">
      <c r="W1826" s="72"/>
    </row>
    <row r="1827" spans="23:23" x14ac:dyDescent="0.3">
      <c r="W1827" s="72"/>
    </row>
    <row r="1828" spans="23:23" x14ac:dyDescent="0.3">
      <c r="W1828" s="72"/>
    </row>
    <row r="1829" spans="23:23" x14ac:dyDescent="0.3">
      <c r="W1829" s="72"/>
    </row>
    <row r="1830" spans="23:23" x14ac:dyDescent="0.3">
      <c r="W1830" s="72"/>
    </row>
    <row r="1831" spans="23:23" x14ac:dyDescent="0.3">
      <c r="W1831" s="72"/>
    </row>
    <row r="1832" spans="23:23" x14ac:dyDescent="0.3">
      <c r="W1832" s="72"/>
    </row>
    <row r="1833" spans="23:23" x14ac:dyDescent="0.3">
      <c r="W1833" s="72"/>
    </row>
    <row r="1834" spans="23:23" x14ac:dyDescent="0.3">
      <c r="W1834" s="72"/>
    </row>
    <row r="1835" spans="23:23" x14ac:dyDescent="0.3">
      <c r="W1835" s="72"/>
    </row>
    <row r="1836" spans="23:23" x14ac:dyDescent="0.3">
      <c r="W1836" s="72"/>
    </row>
    <row r="1837" spans="23:23" x14ac:dyDescent="0.3">
      <c r="W1837" s="72"/>
    </row>
    <row r="1838" spans="23:23" x14ac:dyDescent="0.3">
      <c r="W1838" s="72"/>
    </row>
    <row r="1839" spans="23:23" x14ac:dyDescent="0.3">
      <c r="W1839" s="72"/>
    </row>
    <row r="1840" spans="23:23" x14ac:dyDescent="0.3">
      <c r="W1840" s="72"/>
    </row>
    <row r="1841" spans="23:23" x14ac:dyDescent="0.3">
      <c r="W1841" s="72"/>
    </row>
    <row r="1842" spans="23:23" x14ac:dyDescent="0.3">
      <c r="W1842" s="72"/>
    </row>
    <row r="1843" spans="23:23" x14ac:dyDescent="0.3">
      <c r="W1843" s="72"/>
    </row>
    <row r="1844" spans="23:23" x14ac:dyDescent="0.3">
      <c r="W1844" s="72"/>
    </row>
    <row r="1845" spans="23:23" x14ac:dyDescent="0.3">
      <c r="W1845" s="72"/>
    </row>
    <row r="1846" spans="23:23" x14ac:dyDescent="0.3">
      <c r="W1846" s="72"/>
    </row>
    <row r="1847" spans="23:23" x14ac:dyDescent="0.3">
      <c r="W1847" s="72"/>
    </row>
    <row r="1848" spans="23:23" x14ac:dyDescent="0.3">
      <c r="W1848" s="72"/>
    </row>
    <row r="1849" spans="23:23" x14ac:dyDescent="0.3">
      <c r="W1849" s="72"/>
    </row>
    <row r="1850" spans="23:23" x14ac:dyDescent="0.3">
      <c r="W1850" s="72"/>
    </row>
    <row r="1851" spans="23:23" x14ac:dyDescent="0.3">
      <c r="W1851" s="72"/>
    </row>
    <row r="1852" spans="23:23" x14ac:dyDescent="0.3">
      <c r="W1852" s="72"/>
    </row>
    <row r="1853" spans="23:23" x14ac:dyDescent="0.3">
      <c r="W1853" s="72"/>
    </row>
    <row r="1854" spans="23:23" x14ac:dyDescent="0.3">
      <c r="W1854" s="72"/>
    </row>
    <row r="1855" spans="23:23" x14ac:dyDescent="0.3">
      <c r="W1855" s="72"/>
    </row>
    <row r="1856" spans="23:23" x14ac:dyDescent="0.3">
      <c r="W1856" s="72"/>
    </row>
    <row r="1857" spans="23:23" x14ac:dyDescent="0.3">
      <c r="W1857" s="72"/>
    </row>
    <row r="1858" spans="23:23" x14ac:dyDescent="0.3">
      <c r="W1858" s="72"/>
    </row>
    <row r="1859" spans="23:23" x14ac:dyDescent="0.3">
      <c r="W1859" s="72"/>
    </row>
    <row r="1860" spans="23:23" x14ac:dyDescent="0.3">
      <c r="W1860" s="72"/>
    </row>
    <row r="1861" spans="23:23" x14ac:dyDescent="0.3">
      <c r="W1861" s="72"/>
    </row>
    <row r="1862" spans="23:23" x14ac:dyDescent="0.3">
      <c r="W1862" s="72"/>
    </row>
    <row r="1863" spans="23:23" x14ac:dyDescent="0.3">
      <c r="W1863" s="72"/>
    </row>
    <row r="1864" spans="23:23" x14ac:dyDescent="0.3">
      <c r="W1864" s="72"/>
    </row>
    <row r="1865" spans="23:23" x14ac:dyDescent="0.3">
      <c r="W1865" s="72"/>
    </row>
    <row r="1866" spans="23:23" x14ac:dyDescent="0.3">
      <c r="W1866" s="72"/>
    </row>
    <row r="1867" spans="23:23" x14ac:dyDescent="0.3">
      <c r="W1867" s="72"/>
    </row>
    <row r="1868" spans="23:23" x14ac:dyDescent="0.3">
      <c r="W1868" s="72"/>
    </row>
    <row r="1869" spans="23:23" x14ac:dyDescent="0.3">
      <c r="W1869" s="72"/>
    </row>
    <row r="1870" spans="23:23" x14ac:dyDescent="0.3">
      <c r="W1870" s="72"/>
    </row>
    <row r="1871" spans="23:23" x14ac:dyDescent="0.3">
      <c r="W1871" s="72"/>
    </row>
    <row r="1872" spans="23:23" x14ac:dyDescent="0.3">
      <c r="W1872" s="72"/>
    </row>
    <row r="1873" spans="23:23" x14ac:dyDescent="0.3">
      <c r="W1873" s="72"/>
    </row>
    <row r="1874" spans="23:23" x14ac:dyDescent="0.3">
      <c r="W1874" s="72"/>
    </row>
    <row r="1875" spans="23:23" x14ac:dyDescent="0.3">
      <c r="W1875" s="72"/>
    </row>
    <row r="1876" spans="23:23" x14ac:dyDescent="0.3">
      <c r="W1876" s="72"/>
    </row>
    <row r="1877" spans="23:23" x14ac:dyDescent="0.3">
      <c r="W1877" s="72"/>
    </row>
    <row r="1878" spans="23:23" x14ac:dyDescent="0.3">
      <c r="W1878" s="72"/>
    </row>
    <row r="1879" spans="23:23" x14ac:dyDescent="0.3">
      <c r="W1879" s="72"/>
    </row>
    <row r="1880" spans="23:23" x14ac:dyDescent="0.3">
      <c r="W1880" s="72"/>
    </row>
    <row r="1881" spans="23:23" x14ac:dyDescent="0.3">
      <c r="W1881" s="72"/>
    </row>
    <row r="1882" spans="23:23" x14ac:dyDescent="0.3">
      <c r="W1882" s="72"/>
    </row>
    <row r="1883" spans="23:23" x14ac:dyDescent="0.3">
      <c r="W1883" s="72"/>
    </row>
    <row r="1884" spans="23:23" x14ac:dyDescent="0.3">
      <c r="W1884" s="72"/>
    </row>
    <row r="1885" spans="23:23" x14ac:dyDescent="0.3">
      <c r="W1885" s="72"/>
    </row>
    <row r="1886" spans="23:23" x14ac:dyDescent="0.3">
      <c r="W1886" s="72"/>
    </row>
    <row r="1887" spans="23:23" x14ac:dyDescent="0.3">
      <c r="W1887" s="72"/>
    </row>
    <row r="1888" spans="23:23" x14ac:dyDescent="0.3">
      <c r="W1888" s="72"/>
    </row>
    <row r="1889" spans="23:23" x14ac:dyDescent="0.3">
      <c r="W1889" s="72"/>
    </row>
    <row r="1890" spans="23:23" x14ac:dyDescent="0.3">
      <c r="W1890" s="72"/>
    </row>
    <row r="1891" spans="23:23" x14ac:dyDescent="0.3">
      <c r="W1891" s="72"/>
    </row>
    <row r="1892" spans="23:23" x14ac:dyDescent="0.3">
      <c r="W1892" s="72"/>
    </row>
    <row r="1893" spans="23:23" x14ac:dyDescent="0.3">
      <c r="W1893" s="72"/>
    </row>
    <row r="1894" spans="23:23" x14ac:dyDescent="0.3">
      <c r="W1894" s="72"/>
    </row>
    <row r="1895" spans="23:23" x14ac:dyDescent="0.3">
      <c r="W1895" s="72"/>
    </row>
    <row r="1896" spans="23:23" x14ac:dyDescent="0.3">
      <c r="W1896" s="72"/>
    </row>
    <row r="1897" spans="23:23" x14ac:dyDescent="0.3">
      <c r="W1897" s="72"/>
    </row>
    <row r="1898" spans="23:23" x14ac:dyDescent="0.3">
      <c r="W1898" s="72"/>
    </row>
    <row r="1899" spans="23:23" x14ac:dyDescent="0.3">
      <c r="W1899" s="72"/>
    </row>
    <row r="1900" spans="23:23" x14ac:dyDescent="0.3">
      <c r="W1900" s="72"/>
    </row>
    <row r="1901" spans="23:23" x14ac:dyDescent="0.3">
      <c r="W1901" s="72"/>
    </row>
    <row r="1902" spans="23:23" x14ac:dyDescent="0.3">
      <c r="W1902" s="72"/>
    </row>
    <row r="1903" spans="23:23" x14ac:dyDescent="0.3">
      <c r="W1903" s="72"/>
    </row>
    <row r="1904" spans="23:23" x14ac:dyDescent="0.3">
      <c r="W1904" s="72"/>
    </row>
    <row r="1905" spans="23:23" x14ac:dyDescent="0.3">
      <c r="W1905" s="72"/>
    </row>
    <row r="1906" spans="23:23" x14ac:dyDescent="0.3">
      <c r="W1906" s="72"/>
    </row>
    <row r="1907" spans="23:23" x14ac:dyDescent="0.3">
      <c r="W1907" s="72"/>
    </row>
    <row r="1908" spans="23:23" x14ac:dyDescent="0.3">
      <c r="W1908" s="72"/>
    </row>
    <row r="1909" spans="23:23" x14ac:dyDescent="0.3">
      <c r="W1909" s="72"/>
    </row>
    <row r="1910" spans="23:23" x14ac:dyDescent="0.3">
      <c r="W1910" s="72"/>
    </row>
    <row r="1911" spans="23:23" x14ac:dyDescent="0.3">
      <c r="W1911" s="72"/>
    </row>
    <row r="1912" spans="23:23" x14ac:dyDescent="0.3">
      <c r="W1912" s="72"/>
    </row>
    <row r="1913" spans="23:23" x14ac:dyDescent="0.3">
      <c r="W1913" s="72"/>
    </row>
    <row r="1914" spans="23:23" x14ac:dyDescent="0.3">
      <c r="W1914" s="72"/>
    </row>
    <row r="1915" spans="23:23" x14ac:dyDescent="0.3">
      <c r="W1915" s="72"/>
    </row>
    <row r="1916" spans="23:23" x14ac:dyDescent="0.3">
      <c r="W1916" s="72"/>
    </row>
    <row r="1917" spans="23:23" x14ac:dyDescent="0.3">
      <c r="W1917" s="72"/>
    </row>
    <row r="1918" spans="23:23" x14ac:dyDescent="0.3">
      <c r="W1918" s="72"/>
    </row>
    <row r="1919" spans="23:23" x14ac:dyDescent="0.3">
      <c r="W1919" s="72"/>
    </row>
    <row r="1920" spans="23:23" x14ac:dyDescent="0.3">
      <c r="W1920" s="72"/>
    </row>
    <row r="1921" spans="23:23" x14ac:dyDescent="0.3">
      <c r="W1921" s="72"/>
    </row>
    <row r="1922" spans="23:23" x14ac:dyDescent="0.3">
      <c r="W1922" s="72"/>
    </row>
    <row r="1923" spans="23:23" x14ac:dyDescent="0.3">
      <c r="W1923" s="72"/>
    </row>
    <row r="1924" spans="23:23" x14ac:dyDescent="0.3">
      <c r="W1924" s="72"/>
    </row>
    <row r="1925" spans="23:23" x14ac:dyDescent="0.3">
      <c r="W1925" s="72"/>
    </row>
    <row r="1926" spans="23:23" x14ac:dyDescent="0.3">
      <c r="W1926" s="72"/>
    </row>
    <row r="1927" spans="23:23" x14ac:dyDescent="0.3">
      <c r="W1927" s="72"/>
    </row>
    <row r="1928" spans="23:23" x14ac:dyDescent="0.3">
      <c r="W1928" s="72"/>
    </row>
    <row r="1929" spans="23:23" x14ac:dyDescent="0.3">
      <c r="W1929" s="72"/>
    </row>
    <row r="1930" spans="23:23" x14ac:dyDescent="0.3">
      <c r="W1930" s="72"/>
    </row>
    <row r="1931" spans="23:23" x14ac:dyDescent="0.3">
      <c r="W1931" s="72"/>
    </row>
    <row r="1932" spans="23:23" x14ac:dyDescent="0.3">
      <c r="W1932" s="72"/>
    </row>
    <row r="1933" spans="23:23" x14ac:dyDescent="0.3">
      <c r="W1933" s="72"/>
    </row>
    <row r="1934" spans="23:23" x14ac:dyDescent="0.3">
      <c r="W1934" s="72"/>
    </row>
    <row r="1935" spans="23:23" x14ac:dyDescent="0.3">
      <c r="W1935" s="72"/>
    </row>
    <row r="1936" spans="23:23" x14ac:dyDescent="0.3">
      <c r="W1936" s="72"/>
    </row>
    <row r="1937" spans="23:23" x14ac:dyDescent="0.3">
      <c r="W1937" s="72"/>
    </row>
    <row r="1938" spans="23:23" x14ac:dyDescent="0.3">
      <c r="W1938" s="72"/>
    </row>
    <row r="1939" spans="23:23" x14ac:dyDescent="0.3">
      <c r="W1939" s="72"/>
    </row>
    <row r="1940" spans="23:23" x14ac:dyDescent="0.3">
      <c r="W1940" s="72"/>
    </row>
    <row r="1941" spans="23:23" x14ac:dyDescent="0.3">
      <c r="W1941" s="72"/>
    </row>
    <row r="1942" spans="23:23" x14ac:dyDescent="0.3">
      <c r="W1942" s="72"/>
    </row>
    <row r="1943" spans="23:23" x14ac:dyDescent="0.3">
      <c r="W1943" s="72"/>
    </row>
    <row r="1944" spans="23:23" x14ac:dyDescent="0.3">
      <c r="W1944" s="72"/>
    </row>
    <row r="1945" spans="23:23" x14ac:dyDescent="0.3">
      <c r="W1945" s="72"/>
    </row>
    <row r="1946" spans="23:23" x14ac:dyDescent="0.3">
      <c r="W1946" s="72"/>
    </row>
    <row r="1947" spans="23:23" x14ac:dyDescent="0.3">
      <c r="W1947" s="72"/>
    </row>
    <row r="1948" spans="23:23" x14ac:dyDescent="0.3">
      <c r="W1948" s="72"/>
    </row>
    <row r="1949" spans="23:23" x14ac:dyDescent="0.3">
      <c r="W1949" s="72"/>
    </row>
    <row r="1950" spans="23:23" x14ac:dyDescent="0.3">
      <c r="W1950" s="72"/>
    </row>
    <row r="1951" spans="23:23" x14ac:dyDescent="0.3">
      <c r="W1951" s="72"/>
    </row>
    <row r="1952" spans="23:23" x14ac:dyDescent="0.3">
      <c r="W1952" s="72"/>
    </row>
    <row r="1953" spans="23:23" x14ac:dyDescent="0.3">
      <c r="W1953" s="72"/>
    </row>
    <row r="1954" spans="23:23" x14ac:dyDescent="0.3">
      <c r="W1954" s="72"/>
    </row>
    <row r="1955" spans="23:23" x14ac:dyDescent="0.3">
      <c r="W1955" s="72"/>
    </row>
    <row r="1956" spans="23:23" x14ac:dyDescent="0.3">
      <c r="W1956" s="72"/>
    </row>
    <row r="1957" spans="23:23" x14ac:dyDescent="0.3">
      <c r="W1957" s="72"/>
    </row>
    <row r="1958" spans="23:23" x14ac:dyDescent="0.3">
      <c r="W1958" s="72"/>
    </row>
    <row r="1959" spans="23:23" x14ac:dyDescent="0.3">
      <c r="W1959" s="72"/>
    </row>
    <row r="1960" spans="23:23" x14ac:dyDescent="0.3">
      <c r="W1960" s="72"/>
    </row>
    <row r="1961" spans="23:23" x14ac:dyDescent="0.3">
      <c r="W1961" s="72"/>
    </row>
    <row r="1962" spans="23:23" x14ac:dyDescent="0.3">
      <c r="W1962" s="72"/>
    </row>
    <row r="1963" spans="23:23" x14ac:dyDescent="0.3">
      <c r="W1963" s="72"/>
    </row>
    <row r="1964" spans="23:23" x14ac:dyDescent="0.3">
      <c r="W1964" s="72"/>
    </row>
    <row r="1965" spans="23:23" x14ac:dyDescent="0.3">
      <c r="W1965" s="72"/>
    </row>
    <row r="1966" spans="23:23" x14ac:dyDescent="0.3">
      <c r="W1966" s="72"/>
    </row>
    <row r="1967" spans="23:23" x14ac:dyDescent="0.3">
      <c r="W1967" s="72"/>
    </row>
    <row r="1968" spans="23:23" x14ac:dyDescent="0.3">
      <c r="W1968" s="72"/>
    </row>
    <row r="1969" spans="23:23" x14ac:dyDescent="0.3">
      <c r="W1969" s="72"/>
    </row>
    <row r="1970" spans="23:23" x14ac:dyDescent="0.3">
      <c r="W1970" s="72"/>
    </row>
    <row r="1971" spans="23:23" x14ac:dyDescent="0.3">
      <c r="W1971" s="72"/>
    </row>
    <row r="1972" spans="23:23" x14ac:dyDescent="0.3">
      <c r="W1972" s="72"/>
    </row>
    <row r="1973" spans="23:23" x14ac:dyDescent="0.3">
      <c r="W1973" s="72"/>
    </row>
    <row r="1974" spans="23:23" x14ac:dyDescent="0.3">
      <c r="W1974" s="72"/>
    </row>
    <row r="1975" spans="23:23" x14ac:dyDescent="0.3">
      <c r="W1975" s="72"/>
    </row>
    <row r="1976" spans="23:23" x14ac:dyDescent="0.3">
      <c r="W1976" s="72"/>
    </row>
    <row r="1977" spans="23:23" x14ac:dyDescent="0.3">
      <c r="W1977" s="72"/>
    </row>
    <row r="1978" spans="23:23" x14ac:dyDescent="0.3">
      <c r="W1978" s="72"/>
    </row>
    <row r="1979" spans="23:23" x14ac:dyDescent="0.3">
      <c r="W1979" s="72"/>
    </row>
    <row r="1980" spans="23:23" x14ac:dyDescent="0.3">
      <c r="W1980" s="72"/>
    </row>
    <row r="1981" spans="23:23" x14ac:dyDescent="0.3">
      <c r="W1981" s="72"/>
    </row>
    <row r="1982" spans="23:23" x14ac:dyDescent="0.3">
      <c r="W1982" s="72"/>
    </row>
    <row r="1983" spans="23:23" x14ac:dyDescent="0.3">
      <c r="W1983" s="72"/>
    </row>
    <row r="1984" spans="23:23" x14ac:dyDescent="0.3">
      <c r="W1984" s="72"/>
    </row>
    <row r="1985" spans="23:23" x14ac:dyDescent="0.3">
      <c r="W1985" s="72"/>
    </row>
    <row r="1986" spans="23:23" x14ac:dyDescent="0.3">
      <c r="W1986" s="72"/>
    </row>
    <row r="1987" spans="23:23" x14ac:dyDescent="0.3">
      <c r="W1987" s="72"/>
    </row>
    <row r="1988" spans="23:23" x14ac:dyDescent="0.3">
      <c r="W1988" s="72"/>
    </row>
    <row r="1989" spans="23:23" x14ac:dyDescent="0.3">
      <c r="W1989" s="72"/>
    </row>
    <row r="1990" spans="23:23" x14ac:dyDescent="0.3">
      <c r="W1990" s="72"/>
    </row>
    <row r="1991" spans="23:23" x14ac:dyDescent="0.3">
      <c r="W1991" s="72"/>
    </row>
    <row r="1992" spans="23:23" x14ac:dyDescent="0.3">
      <c r="W1992" s="72"/>
    </row>
    <row r="1993" spans="23:23" x14ac:dyDescent="0.3">
      <c r="W1993" s="72"/>
    </row>
    <row r="1994" spans="23:23" x14ac:dyDescent="0.3">
      <c r="W1994" s="72"/>
    </row>
    <row r="1995" spans="23:23" x14ac:dyDescent="0.3">
      <c r="W1995" s="72"/>
    </row>
    <row r="1996" spans="23:23" x14ac:dyDescent="0.3">
      <c r="W1996" s="72"/>
    </row>
    <row r="1997" spans="23:23" x14ac:dyDescent="0.3">
      <c r="W1997" s="72"/>
    </row>
    <row r="1998" spans="23:23" x14ac:dyDescent="0.3">
      <c r="W1998" s="72"/>
    </row>
    <row r="1999" spans="23:23" x14ac:dyDescent="0.3">
      <c r="W1999" s="72"/>
    </row>
    <row r="2000" spans="23:23" x14ac:dyDescent="0.3">
      <c r="W2000" s="72"/>
    </row>
    <row r="2001" spans="23:23" x14ac:dyDescent="0.3">
      <c r="W2001" s="72"/>
    </row>
    <row r="2002" spans="23:23" x14ac:dyDescent="0.3">
      <c r="W2002" s="72"/>
    </row>
    <row r="2003" spans="23:23" x14ac:dyDescent="0.3">
      <c r="W2003" s="72"/>
    </row>
    <row r="2004" spans="23:23" x14ac:dyDescent="0.3">
      <c r="W2004" s="72"/>
    </row>
    <row r="2005" spans="23:23" x14ac:dyDescent="0.3">
      <c r="W2005" s="72"/>
    </row>
    <row r="2006" spans="23:23" x14ac:dyDescent="0.3">
      <c r="W2006" s="72"/>
    </row>
    <row r="2007" spans="23:23" x14ac:dyDescent="0.3">
      <c r="W2007" s="72"/>
    </row>
    <row r="2008" spans="23:23" x14ac:dyDescent="0.3">
      <c r="W2008" s="72"/>
    </row>
    <row r="2009" spans="23:23" x14ac:dyDescent="0.3">
      <c r="W2009" s="72"/>
    </row>
    <row r="2010" spans="23:23" x14ac:dyDescent="0.3">
      <c r="W2010" s="72"/>
    </row>
    <row r="2011" spans="23:23" x14ac:dyDescent="0.3">
      <c r="W2011" s="72"/>
    </row>
    <row r="2012" spans="23:23" x14ac:dyDescent="0.3">
      <c r="W2012" s="72"/>
    </row>
    <row r="2013" spans="23:23" x14ac:dyDescent="0.3">
      <c r="W2013" s="72"/>
    </row>
    <row r="2014" spans="23:23" x14ac:dyDescent="0.3">
      <c r="W2014" s="72"/>
    </row>
    <row r="2015" spans="23:23" x14ac:dyDescent="0.3">
      <c r="W2015" s="72"/>
    </row>
    <row r="2016" spans="23:23" x14ac:dyDescent="0.3">
      <c r="W2016" s="72"/>
    </row>
    <row r="2017" spans="23:23" x14ac:dyDescent="0.3">
      <c r="W2017" s="72"/>
    </row>
    <row r="2018" spans="23:23" x14ac:dyDescent="0.3">
      <c r="W2018" s="72"/>
    </row>
    <row r="2019" spans="23:23" x14ac:dyDescent="0.3">
      <c r="W2019" s="72"/>
    </row>
    <row r="2020" spans="23:23" x14ac:dyDescent="0.3">
      <c r="W2020" s="72"/>
    </row>
    <row r="2021" spans="23:23" x14ac:dyDescent="0.3">
      <c r="W2021" s="72"/>
    </row>
    <row r="2022" spans="23:23" x14ac:dyDescent="0.3">
      <c r="W2022" s="72"/>
    </row>
    <row r="2023" spans="23:23" x14ac:dyDescent="0.3">
      <c r="W2023" s="72"/>
    </row>
    <row r="2024" spans="23:23" x14ac:dyDescent="0.3">
      <c r="W2024" s="72"/>
    </row>
    <row r="2025" spans="23:23" x14ac:dyDescent="0.3">
      <c r="W2025" s="72"/>
    </row>
    <row r="2026" spans="23:23" x14ac:dyDescent="0.3">
      <c r="W2026" s="72"/>
    </row>
    <row r="2027" spans="23:23" x14ac:dyDescent="0.3">
      <c r="W2027" s="72"/>
    </row>
    <row r="2028" spans="23:23" x14ac:dyDescent="0.3">
      <c r="W2028" s="72"/>
    </row>
    <row r="2029" spans="23:23" x14ac:dyDescent="0.3">
      <c r="W2029" s="72"/>
    </row>
    <row r="2030" spans="23:23" x14ac:dyDescent="0.3">
      <c r="W2030" s="72"/>
    </row>
    <row r="2031" spans="23:23" x14ac:dyDescent="0.3">
      <c r="W2031" s="72"/>
    </row>
    <row r="2032" spans="23:23" x14ac:dyDescent="0.3">
      <c r="W2032" s="72"/>
    </row>
    <row r="2033" spans="23:23" x14ac:dyDescent="0.3">
      <c r="W2033" s="72"/>
    </row>
    <row r="2034" spans="23:23" x14ac:dyDescent="0.3">
      <c r="W2034" s="72"/>
    </row>
    <row r="2035" spans="23:23" x14ac:dyDescent="0.3">
      <c r="W2035" s="72"/>
    </row>
    <row r="2036" spans="23:23" x14ac:dyDescent="0.3">
      <c r="W2036" s="72"/>
    </row>
    <row r="2037" spans="23:23" x14ac:dyDescent="0.3">
      <c r="W2037" s="72"/>
    </row>
    <row r="2038" spans="23:23" x14ac:dyDescent="0.3">
      <c r="W2038" s="72"/>
    </row>
    <row r="2039" spans="23:23" x14ac:dyDescent="0.3">
      <c r="W2039" s="72"/>
    </row>
    <row r="2040" spans="23:23" x14ac:dyDescent="0.3">
      <c r="W2040" s="72"/>
    </row>
    <row r="2041" spans="23:23" x14ac:dyDescent="0.3">
      <c r="W2041" s="72"/>
    </row>
    <row r="2042" spans="23:23" x14ac:dyDescent="0.3">
      <c r="W2042" s="72"/>
    </row>
    <row r="2043" spans="23:23" x14ac:dyDescent="0.3">
      <c r="W2043" s="72"/>
    </row>
    <row r="2044" spans="23:23" x14ac:dyDescent="0.3">
      <c r="W2044" s="72"/>
    </row>
    <row r="2045" spans="23:23" x14ac:dyDescent="0.3">
      <c r="W2045" s="72"/>
    </row>
    <row r="2046" spans="23:23" x14ac:dyDescent="0.3">
      <c r="W2046" s="72"/>
    </row>
    <row r="2047" spans="23:23" x14ac:dyDescent="0.3">
      <c r="W2047" s="72"/>
    </row>
    <row r="2048" spans="23:23" x14ac:dyDescent="0.3">
      <c r="W2048" s="72"/>
    </row>
    <row r="2049" spans="23:23" x14ac:dyDescent="0.3">
      <c r="W2049" s="72"/>
    </row>
    <row r="2050" spans="23:23" x14ac:dyDescent="0.3">
      <c r="W2050" s="72"/>
    </row>
    <row r="2051" spans="23:23" x14ac:dyDescent="0.3">
      <c r="W2051" s="72"/>
    </row>
    <row r="2052" spans="23:23" x14ac:dyDescent="0.3">
      <c r="W2052" s="72"/>
    </row>
    <row r="2053" spans="23:23" x14ac:dyDescent="0.3">
      <c r="W2053" s="72"/>
    </row>
    <row r="2054" spans="23:23" x14ac:dyDescent="0.3">
      <c r="W2054" s="72"/>
    </row>
    <row r="2055" spans="23:23" x14ac:dyDescent="0.3">
      <c r="W2055" s="72"/>
    </row>
    <row r="2056" spans="23:23" x14ac:dyDescent="0.3">
      <c r="W2056" s="72"/>
    </row>
    <row r="2057" spans="23:23" x14ac:dyDescent="0.3">
      <c r="W2057" s="72"/>
    </row>
    <row r="2058" spans="23:23" x14ac:dyDescent="0.3">
      <c r="W2058" s="72"/>
    </row>
    <row r="2059" spans="23:23" x14ac:dyDescent="0.3">
      <c r="W2059" s="72"/>
    </row>
    <row r="2060" spans="23:23" x14ac:dyDescent="0.3">
      <c r="W2060" s="72"/>
    </row>
    <row r="2061" spans="23:23" x14ac:dyDescent="0.3">
      <c r="W2061" s="72"/>
    </row>
    <row r="2062" spans="23:23" x14ac:dyDescent="0.3">
      <c r="W2062" s="72"/>
    </row>
    <row r="2063" spans="23:23" x14ac:dyDescent="0.3">
      <c r="W2063" s="72"/>
    </row>
    <row r="2064" spans="23:23" x14ac:dyDescent="0.3">
      <c r="W2064" s="72"/>
    </row>
    <row r="2065" spans="23:23" x14ac:dyDescent="0.3">
      <c r="W2065" s="72"/>
    </row>
    <row r="2066" spans="23:23" x14ac:dyDescent="0.3">
      <c r="W2066" s="72"/>
    </row>
    <row r="2067" spans="23:23" x14ac:dyDescent="0.3">
      <c r="W2067" s="72"/>
    </row>
    <row r="2068" spans="23:23" x14ac:dyDescent="0.3">
      <c r="W2068" s="72"/>
    </row>
    <row r="2069" spans="23:23" x14ac:dyDescent="0.3">
      <c r="W2069" s="72"/>
    </row>
    <row r="2070" spans="23:23" x14ac:dyDescent="0.3">
      <c r="W2070" s="72"/>
    </row>
    <row r="2071" spans="23:23" x14ac:dyDescent="0.3">
      <c r="W2071" s="72"/>
    </row>
    <row r="2072" spans="23:23" x14ac:dyDescent="0.3">
      <c r="W2072" s="72"/>
    </row>
    <row r="2073" spans="23:23" x14ac:dyDescent="0.3">
      <c r="W2073" s="72"/>
    </row>
    <row r="2074" spans="23:23" x14ac:dyDescent="0.3">
      <c r="W2074" s="72"/>
    </row>
    <row r="2075" spans="23:23" x14ac:dyDescent="0.3">
      <c r="W2075" s="72"/>
    </row>
    <row r="2076" spans="23:23" x14ac:dyDescent="0.3">
      <c r="W2076" s="72"/>
    </row>
    <row r="2077" spans="23:23" x14ac:dyDescent="0.3">
      <c r="W2077" s="72"/>
    </row>
    <row r="2078" spans="23:23" x14ac:dyDescent="0.3">
      <c r="W2078" s="72"/>
    </row>
    <row r="2079" spans="23:23" x14ac:dyDescent="0.3">
      <c r="W2079" s="72"/>
    </row>
    <row r="2080" spans="23:23" x14ac:dyDescent="0.3">
      <c r="W2080" s="72"/>
    </row>
    <row r="2081" spans="23:23" x14ac:dyDescent="0.3">
      <c r="W2081" s="72"/>
    </row>
    <row r="2082" spans="23:23" x14ac:dyDescent="0.3">
      <c r="W2082" s="72"/>
    </row>
    <row r="2083" spans="23:23" x14ac:dyDescent="0.3">
      <c r="W2083" s="72"/>
    </row>
    <row r="2084" spans="23:23" x14ac:dyDescent="0.3">
      <c r="W2084" s="72"/>
    </row>
    <row r="2085" spans="23:23" x14ac:dyDescent="0.3">
      <c r="W2085" s="72"/>
    </row>
    <row r="2086" spans="23:23" x14ac:dyDescent="0.3">
      <c r="W2086" s="72"/>
    </row>
    <row r="2087" spans="23:23" x14ac:dyDescent="0.3">
      <c r="W2087" s="72"/>
    </row>
    <row r="2088" spans="23:23" x14ac:dyDescent="0.3">
      <c r="W2088" s="72"/>
    </row>
    <row r="2089" spans="23:23" x14ac:dyDescent="0.3">
      <c r="W2089" s="72"/>
    </row>
    <row r="2090" spans="23:23" x14ac:dyDescent="0.3">
      <c r="W2090" s="72"/>
    </row>
    <row r="2091" spans="23:23" x14ac:dyDescent="0.3">
      <c r="W2091" s="72"/>
    </row>
    <row r="2092" spans="23:23" x14ac:dyDescent="0.3">
      <c r="W2092" s="72"/>
    </row>
    <row r="2093" spans="23:23" x14ac:dyDescent="0.3">
      <c r="W2093" s="72"/>
    </row>
    <row r="2094" spans="23:23" x14ac:dyDescent="0.3">
      <c r="W2094" s="72"/>
    </row>
    <row r="2095" spans="23:23" x14ac:dyDescent="0.3">
      <c r="W2095" s="72"/>
    </row>
    <row r="2096" spans="23:23" x14ac:dyDescent="0.3">
      <c r="W2096" s="72"/>
    </row>
    <row r="2097" spans="23:23" x14ac:dyDescent="0.3">
      <c r="W2097" s="72"/>
    </row>
    <row r="2098" spans="23:23" x14ac:dyDescent="0.3">
      <c r="W2098" s="72"/>
    </row>
    <row r="2099" spans="23:23" x14ac:dyDescent="0.3">
      <c r="W2099" s="72"/>
    </row>
    <row r="2100" spans="23:23" x14ac:dyDescent="0.3">
      <c r="W2100" s="72"/>
    </row>
    <row r="2101" spans="23:23" x14ac:dyDescent="0.3">
      <c r="W2101" s="72"/>
    </row>
    <row r="2102" spans="23:23" x14ac:dyDescent="0.3">
      <c r="W2102" s="72"/>
    </row>
    <row r="2103" spans="23:23" x14ac:dyDescent="0.3">
      <c r="W2103" s="72"/>
    </row>
    <row r="2104" spans="23:23" x14ac:dyDescent="0.3">
      <c r="W2104" s="72"/>
    </row>
    <row r="2105" spans="23:23" x14ac:dyDescent="0.3">
      <c r="W2105" s="72"/>
    </row>
    <row r="2106" spans="23:23" x14ac:dyDescent="0.3">
      <c r="W2106" s="72"/>
    </row>
    <row r="2107" spans="23:23" x14ac:dyDescent="0.3">
      <c r="W2107" s="72"/>
    </row>
    <row r="2108" spans="23:23" x14ac:dyDescent="0.3">
      <c r="W2108" s="72"/>
    </row>
    <row r="2109" spans="23:23" x14ac:dyDescent="0.3">
      <c r="W2109" s="72"/>
    </row>
    <row r="2110" spans="23:23" x14ac:dyDescent="0.3">
      <c r="W2110" s="72"/>
    </row>
    <row r="2111" spans="23:23" x14ac:dyDescent="0.3">
      <c r="W2111" s="72"/>
    </row>
    <row r="2112" spans="23:23" x14ac:dyDescent="0.3">
      <c r="W2112" s="72"/>
    </row>
    <row r="2113" spans="23:23" x14ac:dyDescent="0.3">
      <c r="W2113" s="72"/>
    </row>
    <row r="2114" spans="23:23" x14ac:dyDescent="0.3">
      <c r="W2114" s="72"/>
    </row>
    <row r="2115" spans="23:23" x14ac:dyDescent="0.3">
      <c r="W2115" s="72"/>
    </row>
    <row r="2116" spans="23:23" x14ac:dyDescent="0.3">
      <c r="W2116" s="72"/>
    </row>
    <row r="2117" spans="23:23" x14ac:dyDescent="0.3">
      <c r="W2117" s="72"/>
    </row>
    <row r="2118" spans="23:23" x14ac:dyDescent="0.3">
      <c r="W2118" s="72"/>
    </row>
    <row r="2119" spans="23:23" x14ac:dyDescent="0.3">
      <c r="W2119" s="72"/>
    </row>
    <row r="2120" spans="23:23" x14ac:dyDescent="0.3">
      <c r="W2120" s="72"/>
    </row>
    <row r="2121" spans="23:23" x14ac:dyDescent="0.3">
      <c r="W2121" s="72"/>
    </row>
    <row r="2122" spans="23:23" x14ac:dyDescent="0.3">
      <c r="W2122" s="72"/>
    </row>
    <row r="2123" spans="23:23" x14ac:dyDescent="0.3">
      <c r="W2123" s="72"/>
    </row>
    <row r="2124" spans="23:23" x14ac:dyDescent="0.3">
      <c r="W2124" s="72"/>
    </row>
    <row r="2125" spans="23:23" x14ac:dyDescent="0.3">
      <c r="W2125" s="72"/>
    </row>
    <row r="2126" spans="23:23" x14ac:dyDescent="0.3">
      <c r="W2126" s="72"/>
    </row>
    <row r="2127" spans="23:23" x14ac:dyDescent="0.3">
      <c r="W2127" s="72"/>
    </row>
    <row r="2128" spans="23:23" x14ac:dyDescent="0.3">
      <c r="W2128" s="72"/>
    </row>
    <row r="2129" spans="23:23" x14ac:dyDescent="0.3">
      <c r="W2129" s="72"/>
    </row>
    <row r="2130" spans="23:23" x14ac:dyDescent="0.3">
      <c r="W2130" s="72"/>
    </row>
    <row r="2131" spans="23:23" x14ac:dyDescent="0.3">
      <c r="W2131" s="72"/>
    </row>
    <row r="2132" spans="23:23" x14ac:dyDescent="0.3">
      <c r="W2132" s="72"/>
    </row>
    <row r="2133" spans="23:23" x14ac:dyDescent="0.3">
      <c r="W2133" s="72"/>
    </row>
    <row r="2134" spans="23:23" x14ac:dyDescent="0.3">
      <c r="W2134" s="72"/>
    </row>
    <row r="2135" spans="23:23" x14ac:dyDescent="0.3">
      <c r="W2135" s="72"/>
    </row>
    <row r="2136" spans="23:23" x14ac:dyDescent="0.3">
      <c r="W2136" s="72"/>
    </row>
    <row r="2137" spans="23:23" x14ac:dyDescent="0.3">
      <c r="W2137" s="72"/>
    </row>
    <row r="2138" spans="23:23" x14ac:dyDescent="0.3">
      <c r="W2138" s="72"/>
    </row>
    <row r="2139" spans="23:23" x14ac:dyDescent="0.3">
      <c r="W2139" s="72"/>
    </row>
    <row r="2140" spans="23:23" x14ac:dyDescent="0.3">
      <c r="W2140" s="72"/>
    </row>
    <row r="2141" spans="23:23" x14ac:dyDescent="0.3">
      <c r="W2141" s="72"/>
    </row>
    <row r="2142" spans="23:23" x14ac:dyDescent="0.3">
      <c r="W2142" s="72"/>
    </row>
    <row r="2143" spans="23:23" x14ac:dyDescent="0.3">
      <c r="W2143" s="72"/>
    </row>
    <row r="2144" spans="23:23" x14ac:dyDescent="0.3">
      <c r="W2144" s="72"/>
    </row>
    <row r="2145" spans="23:23" x14ac:dyDescent="0.3">
      <c r="W2145" s="72"/>
    </row>
    <row r="2146" spans="23:23" x14ac:dyDescent="0.3">
      <c r="W2146" s="72"/>
    </row>
    <row r="2147" spans="23:23" x14ac:dyDescent="0.3">
      <c r="W2147" s="72"/>
    </row>
    <row r="2148" spans="23:23" x14ac:dyDescent="0.3">
      <c r="W2148" s="72"/>
    </row>
    <row r="2149" spans="23:23" x14ac:dyDescent="0.3">
      <c r="W2149" s="72"/>
    </row>
    <row r="2150" spans="23:23" x14ac:dyDescent="0.3">
      <c r="W2150" s="72"/>
    </row>
    <row r="2151" spans="23:23" x14ac:dyDescent="0.3">
      <c r="W2151" s="72"/>
    </row>
    <row r="2152" spans="23:23" x14ac:dyDescent="0.3">
      <c r="W2152" s="72"/>
    </row>
    <row r="2153" spans="23:23" x14ac:dyDescent="0.3">
      <c r="W2153" s="72"/>
    </row>
    <row r="2154" spans="23:23" x14ac:dyDescent="0.3">
      <c r="W2154" s="72"/>
    </row>
    <row r="2155" spans="23:23" x14ac:dyDescent="0.3">
      <c r="W2155" s="72"/>
    </row>
    <row r="2156" spans="23:23" x14ac:dyDescent="0.3">
      <c r="W2156" s="72"/>
    </row>
    <row r="2157" spans="23:23" x14ac:dyDescent="0.3">
      <c r="W2157" s="72"/>
    </row>
    <row r="2158" spans="23:23" x14ac:dyDescent="0.3">
      <c r="W2158" s="72"/>
    </row>
    <row r="2159" spans="23:23" x14ac:dyDescent="0.3">
      <c r="W2159" s="72"/>
    </row>
    <row r="2160" spans="23:23" x14ac:dyDescent="0.3">
      <c r="W2160" s="72"/>
    </row>
    <row r="2161" spans="23:23" x14ac:dyDescent="0.3">
      <c r="W2161" s="72"/>
    </row>
    <row r="2162" spans="23:23" x14ac:dyDescent="0.3">
      <c r="W2162" s="72"/>
    </row>
    <row r="2163" spans="23:23" x14ac:dyDescent="0.3">
      <c r="W2163" s="72"/>
    </row>
    <row r="2164" spans="23:23" x14ac:dyDescent="0.3">
      <c r="W2164" s="72"/>
    </row>
    <row r="2165" spans="23:23" x14ac:dyDescent="0.3">
      <c r="W2165" s="72"/>
    </row>
    <row r="2166" spans="23:23" x14ac:dyDescent="0.3">
      <c r="W2166" s="72"/>
    </row>
    <row r="2167" spans="23:23" x14ac:dyDescent="0.3">
      <c r="W2167" s="72"/>
    </row>
    <row r="2168" spans="23:23" x14ac:dyDescent="0.3">
      <c r="W2168" s="72"/>
    </row>
    <row r="2169" spans="23:23" x14ac:dyDescent="0.3">
      <c r="W2169" s="72"/>
    </row>
    <row r="2170" spans="23:23" x14ac:dyDescent="0.3">
      <c r="W2170" s="72"/>
    </row>
    <row r="2171" spans="23:23" x14ac:dyDescent="0.3">
      <c r="W2171" s="72"/>
    </row>
    <row r="2172" spans="23:23" x14ac:dyDescent="0.3">
      <c r="W2172" s="72"/>
    </row>
    <row r="2173" spans="23:23" x14ac:dyDescent="0.3">
      <c r="W2173" s="72"/>
    </row>
    <row r="2174" spans="23:23" x14ac:dyDescent="0.3">
      <c r="W2174" s="72"/>
    </row>
    <row r="2175" spans="23:23" x14ac:dyDescent="0.3">
      <c r="W2175" s="72"/>
    </row>
    <row r="2176" spans="23:23" x14ac:dyDescent="0.3">
      <c r="W2176" s="72"/>
    </row>
    <row r="2177" spans="23:23" x14ac:dyDescent="0.3">
      <c r="W2177" s="72"/>
    </row>
    <row r="2178" spans="23:23" x14ac:dyDescent="0.3">
      <c r="W2178" s="72"/>
    </row>
    <row r="2179" spans="23:23" x14ac:dyDescent="0.3">
      <c r="W2179" s="72"/>
    </row>
    <row r="2180" spans="23:23" x14ac:dyDescent="0.3">
      <c r="W2180" s="72"/>
    </row>
    <row r="2181" spans="23:23" x14ac:dyDescent="0.3">
      <c r="W2181" s="72"/>
    </row>
    <row r="2182" spans="23:23" x14ac:dyDescent="0.3">
      <c r="W2182" s="72"/>
    </row>
    <row r="2183" spans="23:23" x14ac:dyDescent="0.3">
      <c r="W2183" s="72"/>
    </row>
    <row r="2184" spans="23:23" x14ac:dyDescent="0.3">
      <c r="W2184" s="72"/>
    </row>
    <row r="2185" spans="23:23" x14ac:dyDescent="0.3">
      <c r="W2185" s="72"/>
    </row>
    <row r="2186" spans="23:23" x14ac:dyDescent="0.3">
      <c r="W2186" s="72"/>
    </row>
    <row r="2187" spans="23:23" x14ac:dyDescent="0.3">
      <c r="W2187" s="72"/>
    </row>
    <row r="2188" spans="23:23" x14ac:dyDescent="0.3">
      <c r="W2188" s="72"/>
    </row>
    <row r="2189" spans="23:23" x14ac:dyDescent="0.3">
      <c r="W2189" s="72"/>
    </row>
    <row r="2190" spans="23:23" x14ac:dyDescent="0.3">
      <c r="W2190" s="72"/>
    </row>
    <row r="2191" spans="23:23" x14ac:dyDescent="0.3">
      <c r="W2191" s="72"/>
    </row>
    <row r="2192" spans="23:23" x14ac:dyDescent="0.3">
      <c r="W2192" s="72"/>
    </row>
    <row r="2193" spans="23:23" x14ac:dyDescent="0.3">
      <c r="W2193" s="72"/>
    </row>
    <row r="2194" spans="23:23" x14ac:dyDescent="0.3">
      <c r="W2194" s="72"/>
    </row>
    <row r="2195" spans="23:23" x14ac:dyDescent="0.3">
      <c r="W2195" s="72"/>
    </row>
    <row r="2196" spans="23:23" x14ac:dyDescent="0.3">
      <c r="W2196" s="72"/>
    </row>
    <row r="2197" spans="23:23" x14ac:dyDescent="0.3">
      <c r="W2197" s="72"/>
    </row>
    <row r="2198" spans="23:23" x14ac:dyDescent="0.3">
      <c r="W2198" s="72"/>
    </row>
    <row r="2199" spans="23:23" x14ac:dyDescent="0.3">
      <c r="W2199" s="72"/>
    </row>
    <row r="2200" spans="23:23" x14ac:dyDescent="0.3">
      <c r="W2200" s="72"/>
    </row>
    <row r="2201" spans="23:23" x14ac:dyDescent="0.3">
      <c r="W2201" s="72"/>
    </row>
    <row r="2202" spans="23:23" x14ac:dyDescent="0.3">
      <c r="W2202" s="72"/>
    </row>
    <row r="2203" spans="23:23" x14ac:dyDescent="0.3">
      <c r="W2203" s="72"/>
    </row>
    <row r="2204" spans="23:23" x14ac:dyDescent="0.3">
      <c r="W2204" s="72"/>
    </row>
    <row r="2205" spans="23:23" x14ac:dyDescent="0.3">
      <c r="W2205" s="72"/>
    </row>
    <row r="2206" spans="23:23" x14ac:dyDescent="0.3">
      <c r="W2206" s="72"/>
    </row>
    <row r="2207" spans="23:23" x14ac:dyDescent="0.3">
      <c r="W2207" s="72"/>
    </row>
    <row r="2208" spans="23:23" x14ac:dyDescent="0.3">
      <c r="W2208" s="72"/>
    </row>
    <row r="2209" spans="23:23" x14ac:dyDescent="0.3">
      <c r="W2209" s="72"/>
    </row>
    <row r="2210" spans="23:23" x14ac:dyDescent="0.3">
      <c r="W2210" s="72"/>
    </row>
    <row r="2211" spans="23:23" x14ac:dyDescent="0.3">
      <c r="W2211" s="72"/>
    </row>
    <row r="2212" spans="23:23" x14ac:dyDescent="0.3">
      <c r="W2212" s="72"/>
    </row>
    <row r="2213" spans="23:23" x14ac:dyDescent="0.3">
      <c r="W2213" s="72"/>
    </row>
    <row r="2214" spans="23:23" x14ac:dyDescent="0.3">
      <c r="W2214" s="72"/>
    </row>
    <row r="2215" spans="23:23" x14ac:dyDescent="0.3">
      <c r="W2215" s="72"/>
    </row>
    <row r="2216" spans="23:23" x14ac:dyDescent="0.3">
      <c r="W2216" s="72"/>
    </row>
    <row r="2217" spans="23:23" x14ac:dyDescent="0.3">
      <c r="W2217" s="72"/>
    </row>
    <row r="2218" spans="23:23" x14ac:dyDescent="0.3">
      <c r="W2218" s="72"/>
    </row>
    <row r="2219" spans="23:23" x14ac:dyDescent="0.3">
      <c r="W2219" s="72"/>
    </row>
    <row r="2220" spans="23:23" x14ac:dyDescent="0.3">
      <c r="W2220" s="72"/>
    </row>
    <row r="2221" spans="23:23" x14ac:dyDescent="0.3">
      <c r="W2221" s="72"/>
    </row>
    <row r="2222" spans="23:23" x14ac:dyDescent="0.3">
      <c r="W2222" s="72"/>
    </row>
    <row r="2223" spans="23:23" x14ac:dyDescent="0.3">
      <c r="W2223" s="72"/>
    </row>
    <row r="2224" spans="23:23" x14ac:dyDescent="0.3">
      <c r="W2224" s="72"/>
    </row>
    <row r="2225" spans="23:23" x14ac:dyDescent="0.3">
      <c r="W2225" s="72"/>
    </row>
    <row r="2226" spans="23:23" x14ac:dyDescent="0.3">
      <c r="W2226" s="72"/>
    </row>
    <row r="2227" spans="23:23" x14ac:dyDescent="0.3">
      <c r="W2227" s="72"/>
    </row>
    <row r="2228" spans="23:23" x14ac:dyDescent="0.3">
      <c r="W2228" s="72"/>
    </row>
    <row r="2229" spans="23:23" x14ac:dyDescent="0.3">
      <c r="W2229" s="72"/>
    </row>
    <row r="2230" spans="23:23" x14ac:dyDescent="0.3">
      <c r="W2230" s="72"/>
    </row>
    <row r="2231" spans="23:23" x14ac:dyDescent="0.3">
      <c r="W2231" s="72"/>
    </row>
    <row r="2232" spans="23:23" x14ac:dyDescent="0.3">
      <c r="W2232" s="72"/>
    </row>
    <row r="2233" spans="23:23" x14ac:dyDescent="0.3">
      <c r="W2233" s="72"/>
    </row>
    <row r="2234" spans="23:23" x14ac:dyDescent="0.3">
      <c r="W2234" s="72"/>
    </row>
    <row r="2235" spans="23:23" x14ac:dyDescent="0.3">
      <c r="W2235" s="72"/>
    </row>
    <row r="2236" spans="23:23" x14ac:dyDescent="0.3">
      <c r="W2236" s="72"/>
    </row>
    <row r="2237" spans="23:23" x14ac:dyDescent="0.3">
      <c r="W2237" s="72"/>
    </row>
    <row r="2238" spans="23:23" x14ac:dyDescent="0.3">
      <c r="W2238" s="72"/>
    </row>
    <row r="2239" spans="23:23" x14ac:dyDescent="0.3">
      <c r="W2239" s="72"/>
    </row>
    <row r="2240" spans="23:23" x14ac:dyDescent="0.3">
      <c r="W2240" s="72"/>
    </row>
    <row r="2241" spans="23:23" x14ac:dyDescent="0.3">
      <c r="W2241" s="72"/>
    </row>
    <row r="2242" spans="23:23" x14ac:dyDescent="0.3">
      <c r="W2242" s="72"/>
    </row>
    <row r="2243" spans="23:23" x14ac:dyDescent="0.3">
      <c r="W2243" s="72"/>
    </row>
    <row r="2244" spans="23:23" x14ac:dyDescent="0.3">
      <c r="W2244" s="72"/>
    </row>
    <row r="2245" spans="23:23" x14ac:dyDescent="0.3">
      <c r="W2245" s="72"/>
    </row>
    <row r="2246" spans="23:23" x14ac:dyDescent="0.3">
      <c r="W2246" s="72"/>
    </row>
    <row r="2247" spans="23:23" x14ac:dyDescent="0.3">
      <c r="W2247" s="72"/>
    </row>
    <row r="2248" spans="23:23" x14ac:dyDescent="0.3">
      <c r="W2248" s="72"/>
    </row>
    <row r="2249" spans="23:23" x14ac:dyDescent="0.3">
      <c r="W2249" s="72"/>
    </row>
    <row r="2250" spans="23:23" x14ac:dyDescent="0.3">
      <c r="W2250" s="72"/>
    </row>
    <row r="2251" spans="23:23" x14ac:dyDescent="0.3">
      <c r="W2251" s="72"/>
    </row>
    <row r="2252" spans="23:23" x14ac:dyDescent="0.3">
      <c r="W2252" s="72"/>
    </row>
    <row r="2253" spans="23:23" x14ac:dyDescent="0.3">
      <c r="W2253" s="72"/>
    </row>
    <row r="2254" spans="23:23" x14ac:dyDescent="0.3">
      <c r="W2254" s="72"/>
    </row>
    <row r="2255" spans="23:23" x14ac:dyDescent="0.3">
      <c r="W2255" s="72"/>
    </row>
    <row r="2256" spans="23:23" x14ac:dyDescent="0.3">
      <c r="W2256" s="72"/>
    </row>
    <row r="2257" spans="23:23" x14ac:dyDescent="0.3">
      <c r="W2257" s="72"/>
    </row>
    <row r="2258" spans="23:23" x14ac:dyDescent="0.3">
      <c r="W2258" s="72"/>
    </row>
    <row r="2259" spans="23:23" x14ac:dyDescent="0.3">
      <c r="W2259" s="72"/>
    </row>
    <row r="2260" spans="23:23" x14ac:dyDescent="0.3">
      <c r="W2260" s="72"/>
    </row>
    <row r="2261" spans="23:23" x14ac:dyDescent="0.3">
      <c r="W2261" s="72"/>
    </row>
    <row r="2262" spans="23:23" x14ac:dyDescent="0.3">
      <c r="W2262" s="72"/>
    </row>
    <row r="2263" spans="23:23" x14ac:dyDescent="0.3">
      <c r="W2263" s="72"/>
    </row>
    <row r="2264" spans="23:23" x14ac:dyDescent="0.3">
      <c r="W2264" s="72"/>
    </row>
    <row r="2265" spans="23:23" x14ac:dyDescent="0.3">
      <c r="W2265" s="72"/>
    </row>
    <row r="2266" spans="23:23" x14ac:dyDescent="0.3">
      <c r="W2266" s="72"/>
    </row>
    <row r="2267" spans="23:23" x14ac:dyDescent="0.3">
      <c r="W2267" s="72"/>
    </row>
    <row r="2268" spans="23:23" x14ac:dyDescent="0.3">
      <c r="W2268" s="72"/>
    </row>
    <row r="2269" spans="23:23" x14ac:dyDescent="0.3">
      <c r="W2269" s="72"/>
    </row>
    <row r="2270" spans="23:23" x14ac:dyDescent="0.3">
      <c r="W2270" s="72"/>
    </row>
    <row r="2271" spans="23:23" x14ac:dyDescent="0.3">
      <c r="W2271" s="72"/>
    </row>
    <row r="2272" spans="23:23" x14ac:dyDescent="0.3">
      <c r="W2272" s="72"/>
    </row>
    <row r="2273" spans="23:23" x14ac:dyDescent="0.3">
      <c r="W2273" s="72"/>
    </row>
    <row r="2274" spans="23:23" x14ac:dyDescent="0.3">
      <c r="W2274" s="72"/>
    </row>
    <row r="2275" spans="23:23" x14ac:dyDescent="0.3">
      <c r="W2275" s="72"/>
    </row>
    <row r="2276" spans="23:23" x14ac:dyDescent="0.3">
      <c r="W2276" s="72"/>
    </row>
    <row r="2277" spans="23:23" x14ac:dyDescent="0.3">
      <c r="W2277" s="72"/>
    </row>
    <row r="2278" spans="23:23" x14ac:dyDescent="0.3">
      <c r="W2278" s="72"/>
    </row>
    <row r="2279" spans="23:23" x14ac:dyDescent="0.3">
      <c r="W2279" s="72"/>
    </row>
    <row r="2280" spans="23:23" x14ac:dyDescent="0.3">
      <c r="W2280" s="72"/>
    </row>
    <row r="2281" spans="23:23" x14ac:dyDescent="0.3">
      <c r="W2281" s="72"/>
    </row>
    <row r="2282" spans="23:23" x14ac:dyDescent="0.3">
      <c r="W2282" s="72"/>
    </row>
    <row r="2283" spans="23:23" x14ac:dyDescent="0.3">
      <c r="W2283" s="72"/>
    </row>
    <row r="2284" spans="23:23" x14ac:dyDescent="0.3">
      <c r="W2284" s="72"/>
    </row>
    <row r="2285" spans="23:23" x14ac:dyDescent="0.3">
      <c r="W2285" s="72"/>
    </row>
    <row r="2286" spans="23:23" x14ac:dyDescent="0.3">
      <c r="W2286" s="72"/>
    </row>
    <row r="2287" spans="23:23" x14ac:dyDescent="0.3">
      <c r="W2287" s="72"/>
    </row>
    <row r="2288" spans="23:23" x14ac:dyDescent="0.3">
      <c r="W2288" s="72"/>
    </row>
    <row r="2289" spans="23:23" x14ac:dyDescent="0.3">
      <c r="W2289" s="72"/>
    </row>
    <row r="2290" spans="23:23" x14ac:dyDescent="0.3">
      <c r="W2290" s="72"/>
    </row>
    <row r="2291" spans="23:23" x14ac:dyDescent="0.3">
      <c r="W2291" s="72"/>
    </row>
    <row r="2292" spans="23:23" x14ac:dyDescent="0.3">
      <c r="W2292" s="72"/>
    </row>
    <row r="2293" spans="23:23" x14ac:dyDescent="0.3">
      <c r="W2293" s="72"/>
    </row>
    <row r="2294" spans="23:23" x14ac:dyDescent="0.3">
      <c r="W2294" s="72"/>
    </row>
    <row r="2295" spans="23:23" x14ac:dyDescent="0.3">
      <c r="W2295" s="72"/>
    </row>
    <row r="2296" spans="23:23" x14ac:dyDescent="0.3">
      <c r="W2296" s="72"/>
    </row>
    <row r="2297" spans="23:23" x14ac:dyDescent="0.3">
      <c r="W2297" s="72"/>
    </row>
    <row r="2298" spans="23:23" x14ac:dyDescent="0.3">
      <c r="W2298" s="72"/>
    </row>
    <row r="2299" spans="23:23" x14ac:dyDescent="0.3">
      <c r="W2299" s="72"/>
    </row>
    <row r="2300" spans="23:23" x14ac:dyDescent="0.3">
      <c r="W2300" s="72"/>
    </row>
    <row r="2301" spans="23:23" x14ac:dyDescent="0.3">
      <c r="W2301" s="72"/>
    </row>
    <row r="2302" spans="23:23" x14ac:dyDescent="0.3">
      <c r="W2302" s="72"/>
    </row>
    <row r="2303" spans="23:23" x14ac:dyDescent="0.3">
      <c r="W2303" s="72"/>
    </row>
    <row r="2304" spans="23:23" x14ac:dyDescent="0.3">
      <c r="W2304" s="72"/>
    </row>
    <row r="2305" spans="23:23" x14ac:dyDescent="0.3">
      <c r="W2305" s="72"/>
    </row>
    <row r="2306" spans="23:23" x14ac:dyDescent="0.3">
      <c r="W2306" s="72"/>
    </row>
    <row r="2307" spans="23:23" x14ac:dyDescent="0.3">
      <c r="W2307" s="72"/>
    </row>
    <row r="2308" spans="23:23" x14ac:dyDescent="0.3">
      <c r="W2308" s="72"/>
    </row>
    <row r="2309" spans="23:23" x14ac:dyDescent="0.3">
      <c r="W2309" s="72"/>
    </row>
    <row r="2310" spans="23:23" x14ac:dyDescent="0.3">
      <c r="W2310" s="72"/>
    </row>
    <row r="2311" spans="23:23" x14ac:dyDescent="0.3">
      <c r="W2311" s="72"/>
    </row>
    <row r="2312" spans="23:23" x14ac:dyDescent="0.3">
      <c r="W2312" s="72"/>
    </row>
    <row r="2313" spans="23:23" x14ac:dyDescent="0.3">
      <c r="W2313" s="72"/>
    </row>
    <row r="2314" spans="23:23" x14ac:dyDescent="0.3">
      <c r="W2314" s="72"/>
    </row>
    <row r="2315" spans="23:23" x14ac:dyDescent="0.3">
      <c r="W2315" s="72"/>
    </row>
    <row r="2316" spans="23:23" x14ac:dyDescent="0.3">
      <c r="W2316" s="72"/>
    </row>
    <row r="2317" spans="23:23" x14ac:dyDescent="0.3">
      <c r="W2317" s="72"/>
    </row>
    <row r="2318" spans="23:23" x14ac:dyDescent="0.3">
      <c r="W2318" s="72"/>
    </row>
    <row r="2319" spans="23:23" x14ac:dyDescent="0.3">
      <c r="W2319" s="72"/>
    </row>
    <row r="2320" spans="23:23" x14ac:dyDescent="0.3">
      <c r="W2320" s="72"/>
    </row>
    <row r="2321" spans="23:23" x14ac:dyDescent="0.3">
      <c r="W2321" s="72"/>
    </row>
    <row r="2322" spans="23:23" x14ac:dyDescent="0.3">
      <c r="W2322" s="72"/>
    </row>
    <row r="2323" spans="23:23" x14ac:dyDescent="0.3">
      <c r="W2323" s="72"/>
    </row>
    <row r="2324" spans="23:23" x14ac:dyDescent="0.3">
      <c r="W2324" s="72"/>
    </row>
    <row r="2325" spans="23:23" x14ac:dyDescent="0.3">
      <c r="W2325" s="72"/>
    </row>
    <row r="2326" spans="23:23" x14ac:dyDescent="0.3">
      <c r="W2326" s="72"/>
    </row>
    <row r="2327" spans="23:23" x14ac:dyDescent="0.3">
      <c r="W2327" s="72"/>
    </row>
    <row r="2328" spans="23:23" x14ac:dyDescent="0.3">
      <c r="W2328" s="72"/>
    </row>
    <row r="2329" spans="23:23" x14ac:dyDescent="0.3">
      <c r="W2329" s="72"/>
    </row>
    <row r="2330" spans="23:23" x14ac:dyDescent="0.3">
      <c r="W2330" s="72"/>
    </row>
    <row r="2331" spans="23:23" x14ac:dyDescent="0.3">
      <c r="W2331" s="72"/>
    </row>
    <row r="2332" spans="23:23" x14ac:dyDescent="0.3">
      <c r="W2332" s="72"/>
    </row>
    <row r="2333" spans="23:23" x14ac:dyDescent="0.3">
      <c r="W2333" s="72"/>
    </row>
    <row r="2334" spans="23:23" x14ac:dyDescent="0.3">
      <c r="W2334" s="72"/>
    </row>
    <row r="2335" spans="23:23" x14ac:dyDescent="0.3">
      <c r="W2335" s="72"/>
    </row>
    <row r="2336" spans="23:23" x14ac:dyDescent="0.3">
      <c r="W2336" s="72"/>
    </row>
    <row r="2337" spans="23:23" x14ac:dyDescent="0.3">
      <c r="W2337" s="72"/>
    </row>
    <row r="2338" spans="23:23" x14ac:dyDescent="0.3">
      <c r="W2338" s="72"/>
    </row>
    <row r="2339" spans="23:23" x14ac:dyDescent="0.3">
      <c r="W2339" s="72"/>
    </row>
    <row r="2340" spans="23:23" x14ac:dyDescent="0.3">
      <c r="W2340" s="72"/>
    </row>
    <row r="2341" spans="23:23" x14ac:dyDescent="0.3">
      <c r="W2341" s="72"/>
    </row>
    <row r="2342" spans="23:23" x14ac:dyDescent="0.3">
      <c r="W2342" s="72"/>
    </row>
    <row r="2343" spans="23:23" x14ac:dyDescent="0.3">
      <c r="W2343" s="72"/>
    </row>
    <row r="2344" spans="23:23" x14ac:dyDescent="0.3">
      <c r="W2344" s="72"/>
    </row>
    <row r="2345" spans="23:23" x14ac:dyDescent="0.3">
      <c r="W2345" s="72"/>
    </row>
    <row r="2346" spans="23:23" x14ac:dyDescent="0.3">
      <c r="W2346" s="72"/>
    </row>
    <row r="2347" spans="23:23" x14ac:dyDescent="0.3">
      <c r="W2347" s="72"/>
    </row>
    <row r="2348" spans="23:23" x14ac:dyDescent="0.3">
      <c r="W2348" s="72"/>
    </row>
    <row r="2349" spans="23:23" x14ac:dyDescent="0.3">
      <c r="W2349" s="72"/>
    </row>
    <row r="2350" spans="23:23" x14ac:dyDescent="0.3">
      <c r="W2350" s="72"/>
    </row>
    <row r="2351" spans="23:23" x14ac:dyDescent="0.3">
      <c r="W2351" s="72"/>
    </row>
    <row r="2352" spans="23:23" x14ac:dyDescent="0.3">
      <c r="W2352" s="72"/>
    </row>
    <row r="2353" spans="23:23" x14ac:dyDescent="0.3">
      <c r="W2353" s="72"/>
    </row>
    <row r="2354" spans="23:23" x14ac:dyDescent="0.3">
      <c r="W2354" s="72"/>
    </row>
    <row r="2355" spans="23:23" x14ac:dyDescent="0.3">
      <c r="W2355" s="72"/>
    </row>
    <row r="2356" spans="23:23" x14ac:dyDescent="0.3">
      <c r="W2356" s="72"/>
    </row>
    <row r="2357" spans="23:23" x14ac:dyDescent="0.3">
      <c r="W2357" s="72"/>
    </row>
    <row r="2358" spans="23:23" x14ac:dyDescent="0.3">
      <c r="W2358" s="72"/>
    </row>
    <row r="2359" spans="23:23" x14ac:dyDescent="0.3">
      <c r="W2359" s="72"/>
    </row>
    <row r="2360" spans="23:23" x14ac:dyDescent="0.3">
      <c r="W2360" s="72"/>
    </row>
    <row r="2361" spans="23:23" x14ac:dyDescent="0.3">
      <c r="W2361" s="72"/>
    </row>
    <row r="2362" spans="23:23" x14ac:dyDescent="0.3">
      <c r="W2362" s="72"/>
    </row>
    <row r="2363" spans="23:23" x14ac:dyDescent="0.3">
      <c r="W2363" s="72"/>
    </row>
    <row r="2364" spans="23:23" x14ac:dyDescent="0.3">
      <c r="W2364" s="72"/>
    </row>
    <row r="2365" spans="23:23" x14ac:dyDescent="0.3">
      <c r="W2365" s="72"/>
    </row>
    <row r="2366" spans="23:23" x14ac:dyDescent="0.3">
      <c r="W2366" s="72"/>
    </row>
    <row r="2367" spans="23:23" x14ac:dyDescent="0.3">
      <c r="W2367" s="72"/>
    </row>
    <row r="2368" spans="23:23" x14ac:dyDescent="0.3">
      <c r="W2368" s="72"/>
    </row>
  </sheetData>
  <scenarios current="0" show="0" sqref="N51">
    <scenario name="Original" locked="1" count="1" user="cloud" comment="Created by cloud on 17-02-2026">
      <inputCells r="H51" val="10"/>
    </scenario>
    <scenario name="Increased_Quantity" locked="1" count="1" user="cloud" comment="Created by cloud on 17-02-2026">
      <inputCells r="H51" val="5"/>
    </scenario>
  </scenarios>
  <mergeCells count="1">
    <mergeCell ref="S2:S5"/>
  </mergeCells>
  <conditionalFormatting sqref="I2:I251">
    <cfRule type="iconSet" priority="1">
      <iconSet iconSet="3Arrows">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E9CF-1F59-4C44-8A26-C0BB03F1CABC}">
  <sheetPr>
    <outlinePr summaryBelow="0"/>
  </sheetPr>
  <dimension ref="B1:F11"/>
  <sheetViews>
    <sheetView showGridLines="0" workbookViewId="0">
      <selection activeCell="J11" sqref="J11"/>
    </sheetView>
  </sheetViews>
  <sheetFormatPr defaultRowHeight="14.4" outlineLevelRow="1" outlineLevelCol="1" x14ac:dyDescent="0.3"/>
  <cols>
    <col min="2" max="2" width="57.6640625" bestFit="1" customWidth="1"/>
    <col min="3" max="3" width="6.33203125" bestFit="1" customWidth="1"/>
    <col min="4" max="6" width="16.109375" bestFit="1" customWidth="1" outlineLevel="1"/>
  </cols>
  <sheetData>
    <row r="1" spans="2:6" ht="15" thickBot="1" x14ac:dyDescent="0.35"/>
    <row r="2" spans="2:6" ht="15.6" x14ac:dyDescent="0.3">
      <c r="B2" s="67" t="s">
        <v>411</v>
      </c>
      <c r="C2" s="4"/>
      <c r="D2" s="70" t="s">
        <v>413</v>
      </c>
      <c r="E2" s="70" t="s">
        <v>408</v>
      </c>
      <c r="F2" s="70" t="s">
        <v>410</v>
      </c>
    </row>
    <row r="3" spans="2:6" ht="15.6" collapsed="1" x14ac:dyDescent="0.3">
      <c r="B3" s="68"/>
      <c r="C3" s="5"/>
      <c r="D3" s="69"/>
      <c r="E3" s="69"/>
      <c r="F3" s="69"/>
    </row>
    <row r="4" spans="2:6" ht="20.399999999999999" hidden="1" outlineLevel="1" x14ac:dyDescent="0.3">
      <c r="B4" s="2"/>
      <c r="C4" s="2"/>
      <c r="E4" s="3" t="s">
        <v>409</v>
      </c>
      <c r="F4" s="3" t="s">
        <v>409</v>
      </c>
    </row>
    <row r="5" spans="2:6" x14ac:dyDescent="0.3">
      <c r="B5" s="12" t="s">
        <v>412</v>
      </c>
      <c r="C5" s="12"/>
      <c r="D5" s="6"/>
      <c r="E5" s="6"/>
      <c r="F5" s="6"/>
    </row>
    <row r="6" spans="2:6" outlineLevel="1" x14ac:dyDescent="0.3">
      <c r="B6" s="7"/>
      <c r="C6" s="7" t="s">
        <v>406</v>
      </c>
      <c r="D6" s="8">
        <v>10</v>
      </c>
      <c r="E6" s="9">
        <v>10</v>
      </c>
      <c r="F6" s="9">
        <v>5</v>
      </c>
    </row>
    <row r="7" spans="2:6" x14ac:dyDescent="0.3">
      <c r="B7" s="12" t="s">
        <v>414</v>
      </c>
      <c r="C7" s="12"/>
      <c r="D7" s="6"/>
      <c r="E7" s="6"/>
      <c r="F7" s="6"/>
    </row>
    <row r="8" spans="2:6" ht="15" outlineLevel="1" thickBot="1" x14ac:dyDescent="0.35">
      <c r="B8" s="10"/>
      <c r="C8" s="10" t="s">
        <v>407</v>
      </c>
      <c r="D8" s="11">
        <v>8999.9</v>
      </c>
      <c r="E8" s="11">
        <v>8999.9</v>
      </c>
      <c r="F8" s="11">
        <v>4499.95</v>
      </c>
    </row>
    <row r="9" spans="2:6" x14ac:dyDescent="0.3">
      <c r="B9" t="s">
        <v>415</v>
      </c>
    </row>
    <row r="10" spans="2:6" x14ac:dyDescent="0.3">
      <c r="B10" t="s">
        <v>416</v>
      </c>
    </row>
    <row r="11" spans="2:6" x14ac:dyDescent="0.3">
      <c r="B11" t="s">
        <v>417</v>
      </c>
    </row>
  </sheetData>
  <mergeCells count="4">
    <mergeCell ref="B2:B3"/>
    <mergeCell ref="D2:D3"/>
    <mergeCell ref="E2:E3"/>
    <mergeCell ref="F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DEB10-6E76-4709-8F67-F12FBDFE956E}">
  <dimension ref="A1:I18"/>
  <sheetViews>
    <sheetView workbookViewId="0">
      <selection activeCell="A3" sqref="A3:B3"/>
    </sheetView>
  </sheetViews>
  <sheetFormatPr defaultRowHeight="14.4" x14ac:dyDescent="0.3"/>
  <cols>
    <col min="1" max="1" width="15.6640625" bestFit="1" customWidth="1"/>
    <col min="2" max="2" width="12.6640625" bestFit="1" customWidth="1"/>
    <col min="3" max="3" width="13.44140625" bestFit="1" customWidth="1"/>
    <col min="4" max="4" width="12.6640625" bestFit="1" customWidth="1"/>
    <col min="5" max="5" width="12" bestFit="1" customWidth="1"/>
    <col min="6" max="9" width="12.6640625" bestFit="1" customWidth="1"/>
  </cols>
  <sheetData>
    <row r="1" spans="1:9" x14ac:dyDescent="0.3">
      <c r="A1" s="51" t="s">
        <v>419</v>
      </c>
      <c r="B1" s="51"/>
    </row>
    <row r="2" spans="1:9" x14ac:dyDescent="0.3">
      <c r="A2" s="51"/>
      <c r="B2" s="51"/>
    </row>
    <row r="3" spans="1:9" x14ac:dyDescent="0.3">
      <c r="A3" s="52" t="s">
        <v>420</v>
      </c>
      <c r="B3" s="53"/>
    </row>
    <row r="4" spans="1:9" x14ac:dyDescent="0.3">
      <c r="A4" s="15" t="s">
        <v>421</v>
      </c>
      <c r="B4" s="15">
        <v>0.54321111900134622</v>
      </c>
    </row>
    <row r="5" spans="1:9" x14ac:dyDescent="0.3">
      <c r="A5" s="15" t="s">
        <v>422</v>
      </c>
      <c r="B5" s="15">
        <v>0.29507831980669469</v>
      </c>
    </row>
    <row r="6" spans="1:9" x14ac:dyDescent="0.3">
      <c r="A6" s="15" t="s">
        <v>423</v>
      </c>
      <c r="B6" s="15">
        <v>0.29222438587878657</v>
      </c>
    </row>
    <row r="7" spans="1:9" x14ac:dyDescent="0.3">
      <c r="A7" s="15" t="s">
        <v>424</v>
      </c>
      <c r="B7" s="15">
        <v>977.68943151820827</v>
      </c>
    </row>
    <row r="8" spans="1:9" x14ac:dyDescent="0.3">
      <c r="A8" s="15" t="s">
        <v>425</v>
      </c>
      <c r="B8" s="15">
        <v>249</v>
      </c>
    </row>
    <row r="10" spans="1:9" x14ac:dyDescent="0.3">
      <c r="A10" s="13" t="s">
        <v>426</v>
      </c>
    </row>
    <row r="11" spans="1:9" x14ac:dyDescent="0.3">
      <c r="A11" s="14"/>
      <c r="B11" s="14" t="s">
        <v>431</v>
      </c>
      <c r="C11" s="14" t="s">
        <v>432</v>
      </c>
      <c r="D11" s="14" t="s">
        <v>433</v>
      </c>
      <c r="E11" s="14" t="s">
        <v>434</v>
      </c>
      <c r="F11" s="14" t="s">
        <v>435</v>
      </c>
    </row>
    <row r="12" spans="1:9" x14ac:dyDescent="0.3">
      <c r="A12" s="15" t="s">
        <v>427</v>
      </c>
      <c r="B12" s="15">
        <v>1</v>
      </c>
      <c r="C12" s="15">
        <v>98831464.016199529</v>
      </c>
      <c r="D12" s="15">
        <v>98831464.016199529</v>
      </c>
      <c r="E12" s="15">
        <v>103.3935358212661</v>
      </c>
      <c r="F12" s="15">
        <v>1.6274532661911763E-20</v>
      </c>
    </row>
    <row r="13" spans="1:9" x14ac:dyDescent="0.3">
      <c r="A13" s="15" t="s">
        <v>428</v>
      </c>
      <c r="B13" s="15">
        <v>247</v>
      </c>
      <c r="C13" s="15">
        <v>236101526.25209212</v>
      </c>
      <c r="D13" s="15">
        <v>955876.62450239726</v>
      </c>
      <c r="E13" s="15"/>
      <c r="F13" s="15"/>
    </row>
    <row r="14" spans="1:9" x14ac:dyDescent="0.3">
      <c r="A14" s="15" t="s">
        <v>429</v>
      </c>
      <c r="B14" s="15">
        <v>248</v>
      </c>
      <c r="C14" s="15">
        <v>334932990.26829165</v>
      </c>
      <c r="D14" s="15"/>
      <c r="E14" s="15"/>
      <c r="F14" s="15"/>
    </row>
    <row r="16" spans="1:9" x14ac:dyDescent="0.3">
      <c r="A16" s="14"/>
      <c r="B16" s="14" t="s">
        <v>436</v>
      </c>
      <c r="C16" s="14" t="s">
        <v>424</v>
      </c>
      <c r="D16" s="14" t="s">
        <v>437</v>
      </c>
      <c r="E16" s="14" t="s">
        <v>438</v>
      </c>
      <c r="F16" s="14" t="s">
        <v>439</v>
      </c>
      <c r="G16" s="14" t="s">
        <v>440</v>
      </c>
      <c r="H16" s="14" t="s">
        <v>441</v>
      </c>
      <c r="I16" s="14" t="s">
        <v>442</v>
      </c>
    </row>
    <row r="17" spans="1:9" x14ac:dyDescent="0.3">
      <c r="A17" s="15" t="s">
        <v>430</v>
      </c>
      <c r="B17" s="15">
        <v>-401.88287905628385</v>
      </c>
      <c r="C17" s="15">
        <v>145.74675347626695</v>
      </c>
      <c r="D17" s="15">
        <v>-2.7574053587528145</v>
      </c>
      <c r="E17" s="15">
        <v>6.2613635430339874E-3</v>
      </c>
      <c r="F17" s="15">
        <v>-688.9478352231971</v>
      </c>
      <c r="G17" s="15">
        <v>-114.81792288937061</v>
      </c>
      <c r="H17" s="15">
        <v>-688.9478352231971</v>
      </c>
      <c r="I17" s="15">
        <v>-114.81792288937061</v>
      </c>
    </row>
    <row r="18" spans="1:9" x14ac:dyDescent="0.3">
      <c r="A18" s="15">
        <v>3</v>
      </c>
      <c r="B18" s="15">
        <v>441.74900677846466</v>
      </c>
      <c r="C18" s="15">
        <v>43.443908266259619</v>
      </c>
      <c r="D18" s="15">
        <v>10.168261199500453</v>
      </c>
      <c r="E18" s="15">
        <v>1.6274532661910246E-20</v>
      </c>
      <c r="F18" s="15">
        <v>356.18124403441152</v>
      </c>
      <c r="G18" s="15">
        <v>527.3167695225178</v>
      </c>
      <c r="H18" s="15">
        <v>356.18124403441152</v>
      </c>
      <c r="I18" s="15">
        <v>527.3167695225178</v>
      </c>
    </row>
  </sheetData>
  <mergeCells count="2">
    <mergeCell ref="A1: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475B6-323C-45C7-9EF6-A956803074D4}">
  <dimension ref="A2:V99"/>
  <sheetViews>
    <sheetView zoomScale="85" zoomScaleNormal="85" workbookViewId="0">
      <selection activeCell="Q55" sqref="Q55"/>
    </sheetView>
  </sheetViews>
  <sheetFormatPr defaultRowHeight="14.4" x14ac:dyDescent="0.3"/>
  <cols>
    <col min="1" max="1" width="13.44140625" bestFit="1" customWidth="1"/>
    <col min="2" max="2" width="22.44140625" bestFit="1" customWidth="1"/>
  </cols>
  <sheetData>
    <row r="2" spans="1:18" x14ac:dyDescent="0.3">
      <c r="A2" s="57" t="s">
        <v>470</v>
      </c>
      <c r="B2" s="57"/>
    </row>
    <row r="3" spans="1:18" x14ac:dyDescent="0.3">
      <c r="A3" s="57"/>
      <c r="B3" s="57"/>
    </row>
    <row r="4" spans="1:18" x14ac:dyDescent="0.3">
      <c r="A4" s="1"/>
      <c r="B4" s="1"/>
    </row>
    <row r="6" spans="1:18" x14ac:dyDescent="0.3">
      <c r="A6" s="19" t="s">
        <v>445</v>
      </c>
      <c r="B6" s="19" t="s">
        <v>447</v>
      </c>
    </row>
    <row r="7" spans="1:18" x14ac:dyDescent="0.3">
      <c r="A7" s="21" t="s">
        <v>21</v>
      </c>
      <c r="B7" s="15">
        <v>41288.340000000018</v>
      </c>
    </row>
    <row r="8" spans="1:18" x14ac:dyDescent="0.3">
      <c r="A8" s="21" t="s">
        <v>63</v>
      </c>
      <c r="B8" s="15">
        <v>59288.389999999992</v>
      </c>
    </row>
    <row r="9" spans="1:18" x14ac:dyDescent="0.3">
      <c r="A9" s="21" t="s">
        <v>40</v>
      </c>
      <c r="B9" s="15">
        <v>50538.340000000011</v>
      </c>
    </row>
    <row r="10" spans="1:18" x14ac:dyDescent="0.3">
      <c r="A10" s="21" t="s">
        <v>35</v>
      </c>
      <c r="B10" s="15">
        <v>41898.80000000001</v>
      </c>
    </row>
    <row r="11" spans="1:18" x14ac:dyDescent="0.3">
      <c r="A11" s="21" t="s">
        <v>50</v>
      </c>
      <c r="B11" s="15">
        <v>41408.680000000015</v>
      </c>
    </row>
    <row r="12" spans="1:18" x14ac:dyDescent="0.3">
      <c r="A12" s="20" t="s">
        <v>446</v>
      </c>
      <c r="B12" s="19">
        <v>234422.55000000005</v>
      </c>
    </row>
    <row r="14" spans="1:18" x14ac:dyDescent="0.3">
      <c r="A14" s="58" t="s">
        <v>448</v>
      </c>
      <c r="B14" s="58"/>
      <c r="C14" s="58"/>
      <c r="D14" s="58"/>
      <c r="E14" s="58"/>
      <c r="F14" s="58"/>
      <c r="H14" s="55" t="s">
        <v>481</v>
      </c>
      <c r="I14" s="55"/>
      <c r="J14" s="55"/>
      <c r="L14" s="55" t="s">
        <v>482</v>
      </c>
      <c r="M14" s="55"/>
      <c r="N14" s="55"/>
      <c r="O14" s="55"/>
      <c r="P14" s="55"/>
      <c r="Q14" s="55"/>
      <c r="R14" s="55"/>
    </row>
    <row r="15" spans="1:18" x14ac:dyDescent="0.3">
      <c r="A15" s="58"/>
      <c r="B15" s="58"/>
      <c r="C15" s="58"/>
      <c r="D15" s="58"/>
      <c r="E15" s="58"/>
      <c r="F15" s="58"/>
      <c r="H15" s="55"/>
      <c r="I15" s="55"/>
      <c r="J15" s="55"/>
      <c r="L15" s="55"/>
      <c r="M15" s="55"/>
      <c r="N15" s="55"/>
      <c r="O15" s="55"/>
      <c r="P15" s="55"/>
      <c r="Q15" s="55"/>
      <c r="R15" s="55"/>
    </row>
    <row r="16" spans="1:18" x14ac:dyDescent="0.3">
      <c r="A16" s="58"/>
      <c r="B16" s="58"/>
      <c r="C16" s="58"/>
      <c r="D16" s="58"/>
      <c r="E16" s="58"/>
      <c r="F16" s="58"/>
    </row>
    <row r="35" spans="1:2" x14ac:dyDescent="0.3">
      <c r="A35" s="57" t="s">
        <v>471</v>
      </c>
      <c r="B35" s="57"/>
    </row>
    <row r="36" spans="1:2" x14ac:dyDescent="0.3">
      <c r="A36" s="57"/>
      <c r="B36" s="57"/>
    </row>
    <row r="39" spans="1:2" x14ac:dyDescent="0.3">
      <c r="A39" s="19" t="s">
        <v>445</v>
      </c>
      <c r="B39" s="19" t="s">
        <v>447</v>
      </c>
    </row>
    <row r="40" spans="1:2" x14ac:dyDescent="0.3">
      <c r="A40" s="21" t="s">
        <v>450</v>
      </c>
      <c r="B40" s="15">
        <v>10000.000000000007</v>
      </c>
    </row>
    <row r="41" spans="1:2" x14ac:dyDescent="0.3">
      <c r="A41" s="22" t="s">
        <v>450</v>
      </c>
      <c r="B41" s="15">
        <v>10000.000000000007</v>
      </c>
    </row>
    <row r="42" spans="1:2" x14ac:dyDescent="0.3">
      <c r="A42" s="23" t="s">
        <v>450</v>
      </c>
      <c r="B42" s="15">
        <v>10000.000000000007</v>
      </c>
    </row>
    <row r="43" spans="1:2" x14ac:dyDescent="0.3">
      <c r="A43" s="21" t="s">
        <v>451</v>
      </c>
      <c r="B43" s="15">
        <v>165944.77999999997</v>
      </c>
    </row>
    <row r="44" spans="1:2" x14ac:dyDescent="0.3">
      <c r="A44" s="22" t="s">
        <v>453</v>
      </c>
      <c r="B44" s="15">
        <v>62758.180000000008</v>
      </c>
    </row>
    <row r="45" spans="1:2" x14ac:dyDescent="0.3">
      <c r="A45" s="23" t="s">
        <v>454</v>
      </c>
      <c r="B45" s="15">
        <v>20919.330000000002</v>
      </c>
    </row>
    <row r="46" spans="1:2" x14ac:dyDescent="0.3">
      <c r="A46" s="23" t="s">
        <v>455</v>
      </c>
      <c r="B46" s="15">
        <v>17039.349999999999</v>
      </c>
    </row>
    <row r="47" spans="1:2" x14ac:dyDescent="0.3">
      <c r="A47" s="23" t="s">
        <v>456</v>
      </c>
      <c r="B47" s="15">
        <v>24799.500000000011</v>
      </c>
    </row>
    <row r="48" spans="1:2" x14ac:dyDescent="0.3">
      <c r="A48" s="22" t="s">
        <v>457</v>
      </c>
      <c r="B48" s="15">
        <v>47228.339999999982</v>
      </c>
    </row>
    <row r="49" spans="1:2" x14ac:dyDescent="0.3">
      <c r="A49" s="23" t="s">
        <v>458</v>
      </c>
      <c r="B49" s="15">
        <v>18479.399999999994</v>
      </c>
    </row>
    <row r="50" spans="1:2" x14ac:dyDescent="0.3">
      <c r="A50" s="23" t="s">
        <v>459</v>
      </c>
      <c r="B50" s="15">
        <v>15759.429999999997</v>
      </c>
    </row>
    <row r="51" spans="1:2" x14ac:dyDescent="0.3">
      <c r="A51" s="23" t="s">
        <v>460</v>
      </c>
      <c r="B51" s="15">
        <v>12989.509999999998</v>
      </c>
    </row>
    <row r="52" spans="1:2" x14ac:dyDescent="0.3">
      <c r="A52" s="22" t="s">
        <v>461</v>
      </c>
      <c r="B52" s="15">
        <v>55958.259999999995</v>
      </c>
    </row>
    <row r="53" spans="1:2" x14ac:dyDescent="0.3">
      <c r="A53" s="23" t="s">
        <v>462</v>
      </c>
      <c r="B53" s="15">
        <v>20609.52</v>
      </c>
    </row>
    <row r="54" spans="1:2" x14ac:dyDescent="0.3">
      <c r="A54" s="23" t="s">
        <v>463</v>
      </c>
      <c r="B54" s="15">
        <v>12309.439999999999</v>
      </c>
    </row>
    <row r="55" spans="1:2" x14ac:dyDescent="0.3">
      <c r="A55" s="23" t="s">
        <v>464</v>
      </c>
      <c r="B55" s="15">
        <v>23039.3</v>
      </c>
    </row>
    <row r="56" spans="1:2" x14ac:dyDescent="0.3">
      <c r="A56" s="21" t="s">
        <v>452</v>
      </c>
      <c r="B56" s="15">
        <v>68747.739999999991</v>
      </c>
    </row>
    <row r="57" spans="1:2" x14ac:dyDescent="0.3">
      <c r="A57" s="22" t="s">
        <v>465</v>
      </c>
      <c r="B57" s="15">
        <v>61767.909999999996</v>
      </c>
    </row>
    <row r="58" spans="1:2" x14ac:dyDescent="0.3">
      <c r="A58" s="23" t="s">
        <v>466</v>
      </c>
      <c r="B58" s="15">
        <v>25799.15</v>
      </c>
    </row>
    <row r="59" spans="1:2" x14ac:dyDescent="0.3">
      <c r="A59" s="23" t="s">
        <v>467</v>
      </c>
      <c r="B59" s="15">
        <v>16069.380000000001</v>
      </c>
    </row>
    <row r="60" spans="1:2" x14ac:dyDescent="0.3">
      <c r="A60" s="23" t="s">
        <v>468</v>
      </c>
      <c r="B60" s="15">
        <v>19899.379999999997</v>
      </c>
    </row>
    <row r="61" spans="1:2" x14ac:dyDescent="0.3">
      <c r="A61" s="22" t="s">
        <v>453</v>
      </c>
      <c r="B61" s="15">
        <v>6979.8300000000008</v>
      </c>
    </row>
    <row r="62" spans="1:2" x14ac:dyDescent="0.3">
      <c r="A62" s="23" t="s">
        <v>454</v>
      </c>
      <c r="B62" s="15">
        <v>6979.8300000000008</v>
      </c>
    </row>
    <row r="63" spans="1:2" x14ac:dyDescent="0.3">
      <c r="A63" s="20" t="s">
        <v>446</v>
      </c>
      <c r="B63" s="19">
        <v>244692.52</v>
      </c>
    </row>
    <row r="65" spans="1:22" x14ac:dyDescent="0.3">
      <c r="A65" s="58" t="s">
        <v>472</v>
      </c>
      <c r="B65" s="58"/>
      <c r="C65" s="58"/>
      <c r="D65" s="58"/>
      <c r="E65" s="58"/>
      <c r="F65" s="58"/>
      <c r="H65" s="54" t="s">
        <v>481</v>
      </c>
      <c r="I65" s="54"/>
      <c r="J65" s="54"/>
      <c r="K65" s="54"/>
      <c r="L65" s="54"/>
      <c r="M65" s="54"/>
      <c r="N65" s="54"/>
      <c r="P65" s="55" t="s">
        <v>482</v>
      </c>
      <c r="Q65" s="55"/>
      <c r="R65" s="55"/>
      <c r="S65" s="55"/>
      <c r="T65" s="55"/>
      <c r="U65" s="55"/>
      <c r="V65" s="55"/>
    </row>
    <row r="66" spans="1:22" x14ac:dyDescent="0.3">
      <c r="A66" s="58"/>
      <c r="B66" s="58"/>
      <c r="C66" s="58"/>
      <c r="D66" s="58"/>
      <c r="E66" s="58"/>
      <c r="F66" s="58"/>
      <c r="H66" s="54"/>
      <c r="I66" s="54"/>
      <c r="J66" s="54"/>
      <c r="K66" s="54"/>
      <c r="L66" s="54"/>
      <c r="M66" s="54"/>
      <c r="N66" s="54"/>
      <c r="P66" s="55"/>
      <c r="Q66" s="55"/>
      <c r="R66" s="55"/>
      <c r="S66" s="55"/>
      <c r="T66" s="55"/>
      <c r="U66" s="55"/>
      <c r="V66" s="55"/>
    </row>
    <row r="67" spans="1:22" x14ac:dyDescent="0.3">
      <c r="A67" s="58"/>
      <c r="B67" s="58"/>
      <c r="C67" s="58"/>
      <c r="D67" s="58"/>
      <c r="E67" s="58"/>
      <c r="F67" s="58"/>
    </row>
    <row r="86" spans="1:2" x14ac:dyDescent="0.3">
      <c r="A86" s="57" t="s">
        <v>473</v>
      </c>
      <c r="B86" s="57"/>
    </row>
    <row r="87" spans="1:2" x14ac:dyDescent="0.3">
      <c r="A87" s="57"/>
      <c r="B87" s="57"/>
    </row>
    <row r="90" spans="1:2" x14ac:dyDescent="0.3">
      <c r="A90" s="19" t="s">
        <v>445</v>
      </c>
      <c r="B90" s="19" t="s">
        <v>469</v>
      </c>
    </row>
    <row r="91" spans="1:2" x14ac:dyDescent="0.3">
      <c r="A91" s="21" t="s">
        <v>33</v>
      </c>
      <c r="B91" s="15">
        <v>43</v>
      </c>
    </row>
    <row r="92" spans="1:2" x14ac:dyDescent="0.3">
      <c r="A92" s="21" t="s">
        <v>19</v>
      </c>
      <c r="B92" s="15">
        <v>131</v>
      </c>
    </row>
    <row r="93" spans="1:2" x14ac:dyDescent="0.3">
      <c r="A93" s="21" t="s">
        <v>46</v>
      </c>
      <c r="B93" s="15">
        <v>76</v>
      </c>
    </row>
    <row r="94" spans="1:2" x14ac:dyDescent="0.3">
      <c r="A94" s="21" t="s">
        <v>449</v>
      </c>
      <c r="B94" s="15">
        <v>2</v>
      </c>
    </row>
    <row r="95" spans="1:2" x14ac:dyDescent="0.3">
      <c r="A95" s="20" t="s">
        <v>446</v>
      </c>
      <c r="B95" s="19">
        <v>252</v>
      </c>
    </row>
    <row r="97" spans="1:18" x14ac:dyDescent="0.3">
      <c r="A97" s="58" t="s">
        <v>474</v>
      </c>
      <c r="B97" s="58"/>
      <c r="C97" s="58"/>
      <c r="D97" s="58"/>
      <c r="E97" s="58"/>
      <c r="F97" s="58"/>
      <c r="H97" s="56" t="s">
        <v>481</v>
      </c>
      <c r="I97" s="56"/>
      <c r="J97" s="56"/>
      <c r="L97" s="55" t="s">
        <v>482</v>
      </c>
      <c r="M97" s="55"/>
      <c r="N97" s="55"/>
      <c r="O97" s="55"/>
      <c r="P97" s="55"/>
      <c r="Q97" s="55"/>
      <c r="R97" s="55"/>
    </row>
    <row r="98" spans="1:18" x14ac:dyDescent="0.3">
      <c r="A98" s="58"/>
      <c r="B98" s="58"/>
      <c r="C98" s="58"/>
      <c r="D98" s="58"/>
      <c r="E98" s="58"/>
      <c r="F98" s="58"/>
      <c r="H98" s="56"/>
      <c r="I98" s="56"/>
      <c r="J98" s="56"/>
      <c r="L98" s="55"/>
      <c r="M98" s="55"/>
      <c r="N98" s="55"/>
      <c r="O98" s="55"/>
      <c r="P98" s="55"/>
      <c r="Q98" s="55"/>
      <c r="R98" s="55"/>
    </row>
    <row r="99" spans="1:18" x14ac:dyDescent="0.3">
      <c r="A99" s="58"/>
      <c r="B99" s="58"/>
      <c r="C99" s="58"/>
      <c r="D99" s="58"/>
      <c r="E99" s="58"/>
      <c r="F99" s="58"/>
    </row>
  </sheetData>
  <mergeCells count="12">
    <mergeCell ref="A2:B3"/>
    <mergeCell ref="A35:B36"/>
    <mergeCell ref="A65:F67"/>
    <mergeCell ref="A86:B87"/>
    <mergeCell ref="A97:F99"/>
    <mergeCell ref="A14:F16"/>
    <mergeCell ref="H65:N66"/>
    <mergeCell ref="H14:J15"/>
    <mergeCell ref="H97:J98"/>
    <mergeCell ref="P65:V66"/>
    <mergeCell ref="L14:R15"/>
    <mergeCell ref="L97:R98"/>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3170-1082-439F-88DD-A4E8D9EF46C0}">
  <dimension ref="A1:BW585"/>
  <sheetViews>
    <sheetView showGridLines="0" zoomScale="115" zoomScaleNormal="115" workbookViewId="0">
      <selection activeCell="I6" sqref="I6"/>
    </sheetView>
  </sheetViews>
  <sheetFormatPr defaultRowHeight="14.4" x14ac:dyDescent="0.3"/>
  <cols>
    <col min="1" max="1" width="14.44140625" customWidth="1"/>
    <col min="2" max="2" width="11.109375" bestFit="1" customWidth="1"/>
    <col min="3" max="3" width="17.88671875" bestFit="1" customWidth="1"/>
    <col min="4" max="4" width="16.88671875" bestFit="1" customWidth="1"/>
    <col min="5" max="5" width="9.77734375" bestFit="1" customWidth="1"/>
  </cols>
  <sheetData>
    <row r="1" spans="1:75" ht="14.4" customHeight="1" x14ac:dyDescent="0.3">
      <c r="A1" s="63" t="s">
        <v>475</v>
      </c>
      <c r="B1" s="63"/>
      <c r="C1" s="63"/>
      <c r="D1" s="63"/>
      <c r="E1" s="29"/>
      <c r="F1" s="24"/>
      <c r="G1" s="24"/>
      <c r="H1" s="24"/>
      <c r="I1" s="24"/>
      <c r="J1" s="56" t="s">
        <v>474</v>
      </c>
      <c r="K1" s="56"/>
      <c r="L1" s="56"/>
      <c r="M1" s="56"/>
      <c r="N1" s="56"/>
      <c r="O1" s="56"/>
      <c r="P1" s="56"/>
      <c r="Q1" s="56"/>
      <c r="R1" s="35"/>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row>
    <row r="2" spans="1:75" ht="14.4" customHeight="1" x14ac:dyDescent="0.3">
      <c r="A2" s="63"/>
      <c r="B2" s="63"/>
      <c r="C2" s="63"/>
      <c r="D2" s="63"/>
      <c r="E2" s="29"/>
      <c r="F2" s="24"/>
      <c r="G2" s="24"/>
      <c r="H2" s="24"/>
      <c r="I2" s="24"/>
      <c r="J2" s="56"/>
      <c r="K2" s="56"/>
      <c r="L2" s="56"/>
      <c r="M2" s="56"/>
      <c r="N2" s="56"/>
      <c r="O2" s="56"/>
      <c r="P2" s="56"/>
      <c r="Q2" s="56"/>
      <c r="R2" s="35"/>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row>
    <row r="3" spans="1:75" ht="14.4" customHeight="1" x14ac:dyDescent="0.3">
      <c r="A3" s="64"/>
      <c r="B3" s="64"/>
      <c r="C3" s="64"/>
      <c r="D3" s="64"/>
      <c r="E3" s="29"/>
      <c r="F3" s="24"/>
      <c r="G3" s="24"/>
      <c r="H3" s="24"/>
      <c r="I3" s="24"/>
      <c r="J3" s="56"/>
      <c r="K3" s="56"/>
      <c r="L3" s="56"/>
      <c r="M3" s="56"/>
      <c r="N3" s="56"/>
      <c r="O3" s="56"/>
      <c r="P3" s="56"/>
      <c r="Q3" s="56"/>
      <c r="R3" s="35"/>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row>
    <row r="4" spans="1:75" ht="14.4" customHeight="1" x14ac:dyDescent="0.3">
      <c r="A4" s="34" t="s">
        <v>476</v>
      </c>
      <c r="B4" s="34" t="s">
        <v>477</v>
      </c>
      <c r="C4" s="34" t="s">
        <v>478</v>
      </c>
      <c r="D4" s="34" t="s">
        <v>479</v>
      </c>
      <c r="E4" s="31"/>
      <c r="F4" s="30"/>
      <c r="G4" s="24"/>
      <c r="H4" s="24"/>
      <c r="I4" s="24"/>
      <c r="J4" s="35"/>
      <c r="K4" s="35"/>
      <c r="L4" s="35"/>
      <c r="M4" s="35"/>
      <c r="N4" s="35"/>
      <c r="O4" s="35"/>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row>
    <row r="5" spans="1:75" x14ac:dyDescent="0.3">
      <c r="A5" s="32">
        <f>SUM(DATASET!N:N)</f>
        <v>244692.52000000037</v>
      </c>
      <c r="B5" s="15">
        <f>COUNTA(DATASET!A:A)</f>
        <v>251</v>
      </c>
      <c r="C5" s="33">
        <f>AVERAGE(DATASET!N:N)</f>
        <v>974.87059760956322</v>
      </c>
      <c r="D5" s="15">
        <f>SUM(DATASET!H:H)</f>
        <v>759.11123456927294</v>
      </c>
      <c r="E5" s="27"/>
      <c r="F5" s="28"/>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row>
    <row r="6" spans="1:75" x14ac:dyDescent="0.3">
      <c r="A6" s="25"/>
      <c r="B6" s="26"/>
      <c r="C6" s="26"/>
      <c r="D6" s="26"/>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row>
    <row r="7" spans="1:75"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row>
    <row r="8" spans="1:75"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row>
    <row r="9" spans="1:75"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row>
    <row r="10" spans="1:75"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row>
    <row r="11" spans="1:75" x14ac:dyDescent="0.3">
      <c r="A11" s="58" t="s">
        <v>448</v>
      </c>
      <c r="B11" s="58"/>
      <c r="C11" s="58"/>
      <c r="D11" s="58"/>
      <c r="E11" s="58"/>
      <c r="F11" s="58"/>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row>
    <row r="12" spans="1:75" x14ac:dyDescent="0.3">
      <c r="A12" s="58"/>
      <c r="B12" s="58"/>
      <c r="C12" s="58"/>
      <c r="D12" s="58"/>
      <c r="E12" s="58"/>
      <c r="F12" s="58"/>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row>
    <row r="13" spans="1:75" x14ac:dyDescent="0.3">
      <c r="A13" s="58"/>
      <c r="B13" s="58"/>
      <c r="C13" s="58"/>
      <c r="D13" s="58"/>
      <c r="E13" s="58"/>
      <c r="F13" s="58"/>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row>
    <row r="14" spans="1:75"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row>
    <row r="15" spans="1:75"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row>
    <row r="16" spans="1:75"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row>
    <row r="17" spans="1:75"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row>
    <row r="18" spans="1:75"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row>
    <row r="19" spans="1:75"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row>
    <row r="20" spans="1:75"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row>
    <row r="21" spans="1:75"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row>
    <row r="22" spans="1:75"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row>
    <row r="23" spans="1:75"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row>
    <row r="24" spans="1:75" ht="14.4" customHeight="1" x14ac:dyDescent="0.3">
      <c r="A24" s="24"/>
      <c r="B24" s="24"/>
      <c r="C24" s="24"/>
      <c r="D24" s="24"/>
      <c r="E24" s="24"/>
      <c r="F24" s="24"/>
      <c r="G24" s="24"/>
      <c r="H24" s="24"/>
      <c r="I24" s="24"/>
      <c r="J24" s="56" t="s">
        <v>480</v>
      </c>
      <c r="K24" s="56"/>
      <c r="L24" s="56"/>
      <c r="M24" s="56"/>
      <c r="N24" s="56"/>
      <c r="O24" s="56"/>
      <c r="P24" s="56"/>
      <c r="Q24" s="36"/>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row>
    <row r="25" spans="1:75" ht="14.4" customHeight="1" x14ac:dyDescent="0.3">
      <c r="A25" s="59"/>
      <c r="B25" s="60"/>
      <c r="C25" s="60"/>
      <c r="D25" s="60"/>
      <c r="E25" s="60"/>
      <c r="F25" s="60"/>
      <c r="G25" s="24"/>
      <c r="H25" s="24"/>
      <c r="I25" s="24"/>
      <c r="J25" s="56"/>
      <c r="K25" s="56"/>
      <c r="L25" s="56"/>
      <c r="M25" s="56"/>
      <c r="N25" s="56"/>
      <c r="O25" s="56"/>
      <c r="P25" s="56"/>
      <c r="Q25" s="36"/>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row>
    <row r="26" spans="1:75" ht="14.4" customHeight="1" x14ac:dyDescent="0.3">
      <c r="A26" s="61"/>
      <c r="B26" s="62"/>
      <c r="C26" s="62"/>
      <c r="D26" s="62"/>
      <c r="E26" s="62"/>
      <c r="F26" s="62"/>
      <c r="G26" s="24"/>
      <c r="H26" s="24"/>
      <c r="I26" s="24"/>
      <c r="J26" s="56"/>
      <c r="K26" s="56"/>
      <c r="L26" s="56"/>
      <c r="M26" s="56"/>
      <c r="N26" s="56"/>
      <c r="O26" s="56"/>
      <c r="P26" s="56"/>
      <c r="Q26" s="36"/>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row>
    <row r="27" spans="1:75" x14ac:dyDescent="0.3">
      <c r="A27" s="61"/>
      <c r="B27" s="62"/>
      <c r="C27" s="62"/>
      <c r="D27" s="62"/>
      <c r="E27" s="62"/>
      <c r="F27" s="62"/>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row>
    <row r="28" spans="1:75" x14ac:dyDescent="0.3">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row>
    <row r="29" spans="1:75" x14ac:dyDescent="0.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row>
    <row r="30" spans="1:75" x14ac:dyDescent="0.3">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row>
    <row r="31" spans="1:75" x14ac:dyDescent="0.3">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row>
    <row r="32" spans="1:75" x14ac:dyDescent="0.3">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row>
    <row r="33" spans="1:75" x14ac:dyDescent="0.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row>
    <row r="34" spans="1:75" x14ac:dyDescent="0.3">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row>
    <row r="35" spans="1:75" x14ac:dyDescent="0.3">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row>
    <row r="36" spans="1:75" x14ac:dyDescent="0.3">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row>
    <row r="37" spans="1:75" x14ac:dyDescent="0.3">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row>
    <row r="38" spans="1:75"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row>
    <row r="39" spans="1:75"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row>
    <row r="40" spans="1:75"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row>
    <row r="41" spans="1:75"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row>
    <row r="42" spans="1:75"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row>
    <row r="43" spans="1:75"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row>
    <row r="44" spans="1:75"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row>
    <row r="45" spans="1:75"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row>
    <row r="46" spans="1:75"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row>
    <row r="47" spans="1:75"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row>
    <row r="48" spans="1:75"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row>
    <row r="49" spans="1:75"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row>
    <row r="50" spans="1:75"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row>
    <row r="51" spans="1:75"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row>
    <row r="52" spans="1:75"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row>
    <row r="53" spans="1:75"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row>
    <row r="54" spans="1:75"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row>
    <row r="55" spans="1:75"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row>
    <row r="56" spans="1:75"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row>
    <row r="57" spans="1:75"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row>
    <row r="58" spans="1:75"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row>
    <row r="59" spans="1:75"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row>
    <row r="60" spans="1:75"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row>
    <row r="61" spans="1:75"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row>
    <row r="62" spans="1:75"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row>
    <row r="63" spans="1:75"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row>
    <row r="64" spans="1:75"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row>
    <row r="65" spans="1:75"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row>
    <row r="66" spans="1:75"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row>
    <row r="67" spans="1:75"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row>
    <row r="68" spans="1:75"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row>
    <row r="69" spans="1:75"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row>
    <row r="70" spans="1:75"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row>
    <row r="71" spans="1:75"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row>
    <row r="72" spans="1:75"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row>
    <row r="73" spans="1:75"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row>
    <row r="74" spans="1:75"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row>
    <row r="75" spans="1:75"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row>
    <row r="76" spans="1:75"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row>
    <row r="77" spans="1:75"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row>
    <row r="78" spans="1:75"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row>
    <row r="79" spans="1:75"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row>
    <row r="80" spans="1:75"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row>
    <row r="81" spans="1:75"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row>
    <row r="82" spans="1:75"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row>
    <row r="83" spans="1:75"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row>
    <row r="84" spans="1:75"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row>
    <row r="85" spans="1:75"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row>
    <row r="86" spans="1:75"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row>
    <row r="87" spans="1:75"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row>
    <row r="88" spans="1:75"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row>
    <row r="89" spans="1:75"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row>
    <row r="90" spans="1:75"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row>
    <row r="91" spans="1:75"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row>
    <row r="92" spans="1:75"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row>
    <row r="93" spans="1:75"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row>
    <row r="94" spans="1:75"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row>
    <row r="95" spans="1:75"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row>
    <row r="96" spans="1:75"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row>
    <row r="97" spans="1:75"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row>
    <row r="98" spans="1:75"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row>
    <row r="99" spans="1:75"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row>
    <row r="100" spans="1:75"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row>
    <row r="101" spans="1:75"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row>
    <row r="102" spans="1:75"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row>
    <row r="103" spans="1:75"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row>
    <row r="104" spans="1:75"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row>
    <row r="105" spans="1:75"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row>
    <row r="106" spans="1:75"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row>
    <row r="107" spans="1:75"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row>
    <row r="108" spans="1:75"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row>
    <row r="109" spans="1:75"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row>
    <row r="110" spans="1:75"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row>
    <row r="111" spans="1:75"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row>
    <row r="112" spans="1:75"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row>
    <row r="113" spans="1:75"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row>
    <row r="114" spans="1:75"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row>
    <row r="115" spans="1:75"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row>
    <row r="116" spans="1:75"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row>
    <row r="117" spans="1:75"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row>
    <row r="118" spans="1:75"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row>
    <row r="119" spans="1:75"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row>
    <row r="120" spans="1:75"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row>
    <row r="121" spans="1:75"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row>
    <row r="122" spans="1:75"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row>
    <row r="123" spans="1:75"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row>
    <row r="124" spans="1:75"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row>
    <row r="125" spans="1:75"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row>
    <row r="126" spans="1:75"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row>
    <row r="127" spans="1:75"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row>
    <row r="128" spans="1:75"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row>
    <row r="129" spans="1:75"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row>
    <row r="130" spans="1:75"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row>
    <row r="131" spans="1:75"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row>
    <row r="132" spans="1:75"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row>
    <row r="133" spans="1:75"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row>
    <row r="134" spans="1:75"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row>
    <row r="135" spans="1:75"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row>
    <row r="136" spans="1:75"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row>
    <row r="137" spans="1:75"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row>
    <row r="138" spans="1:75"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row>
    <row r="139" spans="1:75"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row>
    <row r="140" spans="1:75"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row>
    <row r="141" spans="1:75"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row>
    <row r="142" spans="1:75"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row>
    <row r="143" spans="1:75"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row>
    <row r="144" spans="1:75"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row>
    <row r="145" spans="1:75"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row>
    <row r="146" spans="1:75"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row>
    <row r="147" spans="1:75"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row>
    <row r="148" spans="1:75"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row>
    <row r="149" spans="1:75"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row>
    <row r="150" spans="1:75"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row>
    <row r="151" spans="1:75"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row>
    <row r="152" spans="1:75"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row>
    <row r="153" spans="1:75"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row>
    <row r="154" spans="1:75"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row>
    <row r="155" spans="1:75"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row>
    <row r="156" spans="1:75"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row>
    <row r="157" spans="1:75"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row>
    <row r="158" spans="1:75"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row>
    <row r="159" spans="1:75"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row>
    <row r="160" spans="1:75"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row>
    <row r="161" spans="1:75"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row>
    <row r="162" spans="1:75"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row>
    <row r="163" spans="1:75"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row>
    <row r="164" spans="1:75"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row>
    <row r="165" spans="1:75"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row>
    <row r="166" spans="1:75"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row>
    <row r="167" spans="1:75"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row>
    <row r="168" spans="1:75"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row>
    <row r="169" spans="1:75"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row>
    <row r="170" spans="1:75"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row>
    <row r="171" spans="1:75"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row>
    <row r="172" spans="1:75"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row>
    <row r="173" spans="1:75"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row>
    <row r="174" spans="1:75"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row>
    <row r="175" spans="1:75"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row>
    <row r="176" spans="1:75"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row>
    <row r="177" spans="1:75"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row>
    <row r="178" spans="1:75"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row>
    <row r="179" spans="1:75"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row>
    <row r="180" spans="1:75"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row>
    <row r="181" spans="1:75"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row>
    <row r="182" spans="1:75"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row>
    <row r="183" spans="1:75"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row>
    <row r="184" spans="1:75"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row>
    <row r="185" spans="1:75"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row>
    <row r="186" spans="1:75"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row>
    <row r="187" spans="1:75"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row>
    <row r="188" spans="1:75"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row>
    <row r="189" spans="1:75"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row>
    <row r="190" spans="1:75"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row>
    <row r="191" spans="1:75"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row>
    <row r="192" spans="1:75"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row>
    <row r="193" spans="1:75"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row>
    <row r="194" spans="1:75"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row>
    <row r="195" spans="1:75"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row>
    <row r="196" spans="1:75"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row>
    <row r="197" spans="1:75"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row>
    <row r="198" spans="1:75"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row>
    <row r="199" spans="1:75"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row>
    <row r="200" spans="1:75"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row>
    <row r="201" spans="1:75"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row>
    <row r="202" spans="1:75"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row>
    <row r="203" spans="1:75"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row>
    <row r="204" spans="1:75"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row>
    <row r="205" spans="1:75"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row>
    <row r="206" spans="1:75"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row>
    <row r="207" spans="1:75"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row>
    <row r="208" spans="1:75"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row>
    <row r="209" spans="1:75"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row>
    <row r="210" spans="1:75"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row>
    <row r="211" spans="1:75"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row>
    <row r="212" spans="1:75"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row>
    <row r="213" spans="1:75"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row>
    <row r="214" spans="1:75"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row>
    <row r="215" spans="1:75"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row>
    <row r="216" spans="1:75"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row>
    <row r="217" spans="1:75"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row>
    <row r="218" spans="1:75"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row>
    <row r="219" spans="1:75"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row>
    <row r="220" spans="1:75"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row>
    <row r="221" spans="1:75"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row>
    <row r="222" spans="1:75"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row>
    <row r="223" spans="1:75"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row>
    <row r="224" spans="1:75"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row>
    <row r="225" spans="1:75"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row>
    <row r="226" spans="1:75"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row>
    <row r="227" spans="1:75"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row>
    <row r="228" spans="1:75"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row>
    <row r="229" spans="1:75"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row>
    <row r="230" spans="1:75"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row>
    <row r="231" spans="1:75"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row>
    <row r="232" spans="1:75"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row>
    <row r="233" spans="1:75"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row>
    <row r="234" spans="1:75"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row>
    <row r="235" spans="1:75"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row>
    <row r="236" spans="1:75"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row>
    <row r="237" spans="1:75"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row>
    <row r="238" spans="1:75"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row>
    <row r="239" spans="1:75"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row>
    <row r="240" spans="1:75"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row>
    <row r="241" spans="1:75"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row>
    <row r="242" spans="1:75"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row>
    <row r="243" spans="1:75"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row>
    <row r="244" spans="1:75"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row>
    <row r="245" spans="1:75"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row>
    <row r="246" spans="1:75"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row>
    <row r="247" spans="1:75"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row>
    <row r="248" spans="1:75"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row>
    <row r="249" spans="1:75"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row>
    <row r="250" spans="1:75"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row>
    <row r="251" spans="1:75"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row>
    <row r="252" spans="1:75"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row>
    <row r="253" spans="1:75"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row>
    <row r="254" spans="1:75"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row>
    <row r="255" spans="1:75"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row>
    <row r="256" spans="1:75"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row>
    <row r="257" spans="1:75"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row>
    <row r="258" spans="1:75"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row>
    <row r="259" spans="1:75"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row>
    <row r="260" spans="1:75"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row>
    <row r="261" spans="1:75"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row>
    <row r="262" spans="1:75"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row>
    <row r="263" spans="1:75"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row>
    <row r="264" spans="1:75"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row>
    <row r="265" spans="1:75"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row>
    <row r="266" spans="1:75"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row>
    <row r="267" spans="1:75"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row>
    <row r="268" spans="1:75"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row>
    <row r="269" spans="1:75"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row>
    <row r="270" spans="1:75"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row>
    <row r="271" spans="1:75"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row>
    <row r="272" spans="1:75"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row>
    <row r="273" spans="1:75"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row>
    <row r="274" spans="1:75"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row>
    <row r="275" spans="1:75"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row>
    <row r="276" spans="1:75"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row>
    <row r="277" spans="1:75"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row>
    <row r="278" spans="1:75"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row>
    <row r="279" spans="1:75"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row>
    <row r="280" spans="1:75"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row>
    <row r="281" spans="1:75"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row>
    <row r="282" spans="1:75"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row>
    <row r="283" spans="1:75"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row>
    <row r="284" spans="1:75"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row>
    <row r="285" spans="1:75"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row>
    <row r="286" spans="1:75"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row>
    <row r="287" spans="1:75"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row>
    <row r="288" spans="1:75"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row>
    <row r="289" spans="1:75"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row>
    <row r="290" spans="1:75"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row>
    <row r="291" spans="1:75"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row>
    <row r="292" spans="1:75"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row>
    <row r="293" spans="1:75"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row>
    <row r="294" spans="1:75"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row>
    <row r="295" spans="1:75"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row>
    <row r="296" spans="1:75"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row>
    <row r="297" spans="1:75"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row>
    <row r="298" spans="1:75"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row>
    <row r="299" spans="1:75"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row>
    <row r="300" spans="1:75"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row>
    <row r="301" spans="1:75"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row>
    <row r="302" spans="1:75"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row>
    <row r="303" spans="1:75"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row>
    <row r="304" spans="1:75"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row>
    <row r="305" spans="1:75"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row>
    <row r="306" spans="1:75"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row>
    <row r="307" spans="1:75"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row>
    <row r="308" spans="1:75"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row>
    <row r="309" spans="1:75"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row>
    <row r="310" spans="1:75"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row>
    <row r="311" spans="1:75"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row>
    <row r="312" spans="1:75"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row>
    <row r="313" spans="1:75"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row>
    <row r="314" spans="1:75"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row>
    <row r="315" spans="1:75"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row>
    <row r="316" spans="1:75"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row>
    <row r="317" spans="1:75"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row>
    <row r="318" spans="1:75"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row>
    <row r="319" spans="1:75"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row>
    <row r="320" spans="1:75"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row>
    <row r="321" spans="1:75"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row>
    <row r="322" spans="1:75"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row>
    <row r="323" spans="1:75"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row>
    <row r="324" spans="1:75"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row>
    <row r="325" spans="1:75"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row>
    <row r="326" spans="1:75"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row>
    <row r="327" spans="1:75"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row>
    <row r="328" spans="1:75"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row>
    <row r="329" spans="1:75"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row>
    <row r="330" spans="1:75"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row>
    <row r="331" spans="1:75"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row>
    <row r="332" spans="1:75"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row>
    <row r="333" spans="1:75"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row>
    <row r="334" spans="1:75"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row>
    <row r="335" spans="1:75"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row>
    <row r="336" spans="1:75"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row>
    <row r="337" spans="1:75"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row>
    <row r="338" spans="1:75"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row>
    <row r="339" spans="1:75"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row>
    <row r="340" spans="1:75"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row>
    <row r="341" spans="1:75"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row>
    <row r="342" spans="1:75"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row>
    <row r="343" spans="1:75"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row>
    <row r="344" spans="1:75"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row>
    <row r="345" spans="1:75"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row>
    <row r="346" spans="1:75"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row>
    <row r="347" spans="1:75"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row>
    <row r="348" spans="1:75"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row>
    <row r="349" spans="1:75"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row>
    <row r="350" spans="1:75"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row>
    <row r="351" spans="1:75"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row>
    <row r="352" spans="1:75"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row>
    <row r="353" spans="1:75"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row>
    <row r="354" spans="1:75"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row>
    <row r="355" spans="1:75"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row>
    <row r="356" spans="1:75"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row>
    <row r="357" spans="1:75"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row>
    <row r="358" spans="1:75"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row>
    <row r="359" spans="1:75"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row>
    <row r="360" spans="1:75"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row>
    <row r="361" spans="1:75"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row>
    <row r="362" spans="1:75"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row>
    <row r="363" spans="1:75"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row>
    <row r="364" spans="1:75"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row>
    <row r="365" spans="1:75"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row>
    <row r="366" spans="1:75"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row>
    <row r="367" spans="1:75"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row>
    <row r="368" spans="1:75"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row>
    <row r="369" spans="1:75"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row>
    <row r="370" spans="1:75"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row>
    <row r="371" spans="1:75"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row>
    <row r="372" spans="1:75"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row>
    <row r="373" spans="1:75"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row>
    <row r="374" spans="1:75"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row>
    <row r="375" spans="1:75"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row>
    <row r="376" spans="1:75"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row>
    <row r="377" spans="1:75"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row>
    <row r="378" spans="1:75"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row>
    <row r="379" spans="1:75"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row>
    <row r="380" spans="1:75"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row>
    <row r="381" spans="1:75"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row>
    <row r="382" spans="1:75"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row>
    <row r="383" spans="1:75"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row>
    <row r="384" spans="1:75"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row>
    <row r="385" spans="1:75"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row>
    <row r="386" spans="1:75"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row>
    <row r="387" spans="1:75"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row>
    <row r="388" spans="1:75"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row>
    <row r="389" spans="1:75"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row>
    <row r="390" spans="1:75"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row>
    <row r="391" spans="1:75"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row>
    <row r="392" spans="1:75"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row>
    <row r="393" spans="1:75"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row>
    <row r="394" spans="1:75"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row>
    <row r="395" spans="1:75"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row>
    <row r="396" spans="1:75"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row>
    <row r="397" spans="1:75"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row>
    <row r="398" spans="1:75"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row>
    <row r="399" spans="1:75"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row>
    <row r="400" spans="1:75"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row>
    <row r="401" spans="1:75"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row>
    <row r="402" spans="1:75"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row>
    <row r="403" spans="1:75"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row>
    <row r="404" spans="1:75"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row>
    <row r="405" spans="1:75"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row>
    <row r="406" spans="1:75"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row>
    <row r="407" spans="1:75"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row>
    <row r="408" spans="1:75"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row>
    <row r="409" spans="1:75"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row>
    <row r="410" spans="1:75"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row>
    <row r="411" spans="1:75"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row>
    <row r="412" spans="1:75"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row>
    <row r="413" spans="1:75"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row>
    <row r="414" spans="1:75"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row>
    <row r="415" spans="1:75"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row>
    <row r="416" spans="1:75"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row>
    <row r="417" spans="1:75"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row>
    <row r="418" spans="1:75"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row>
    <row r="419" spans="1:75"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row>
    <row r="420" spans="1:75"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row>
    <row r="421" spans="1:75"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row>
    <row r="422" spans="1:75"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row>
    <row r="423" spans="1:75"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row>
    <row r="424" spans="1:75"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row>
    <row r="425" spans="1:75"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row>
    <row r="426" spans="1:75"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row>
    <row r="427" spans="1:75"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row>
    <row r="428" spans="1:75"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row>
    <row r="429" spans="1:75"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row>
    <row r="430" spans="1:75"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row>
    <row r="431" spans="1:75"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row>
    <row r="432" spans="1:75"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row>
    <row r="433" spans="1:75"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row>
    <row r="434" spans="1:75"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row>
    <row r="435" spans="1:75"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row>
    <row r="436" spans="1:75"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row>
    <row r="437" spans="1:75"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row>
    <row r="438" spans="1:75"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row>
    <row r="439" spans="1:75"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row>
    <row r="440" spans="1:75"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row>
    <row r="441" spans="1:75"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row>
    <row r="442" spans="1:75"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row>
    <row r="443" spans="1:75"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row>
    <row r="444" spans="1:75"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row>
    <row r="445" spans="1:75"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row>
    <row r="446" spans="1:75"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row>
    <row r="447" spans="1:75"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row>
    <row r="448" spans="1:75"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row>
    <row r="449" spans="1:75"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row>
    <row r="450" spans="1:75"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row>
    <row r="451" spans="1:75"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row>
    <row r="452" spans="1:75"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row>
    <row r="453" spans="1:75"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row>
    <row r="454" spans="1:75"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row>
    <row r="455" spans="1:75"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row>
    <row r="456" spans="1:75"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row>
    <row r="457" spans="1:75"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row>
    <row r="458" spans="1:75"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row>
    <row r="459" spans="1:75"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row>
    <row r="460" spans="1:75"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row>
    <row r="461" spans="1:75"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row>
    <row r="462" spans="1:75"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row>
    <row r="463" spans="1:75"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row>
    <row r="464" spans="1:75"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row>
    <row r="465" spans="1:75"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row>
    <row r="466" spans="1:75"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row>
    <row r="467" spans="1:75"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row>
    <row r="468" spans="1:75"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row>
    <row r="469" spans="1:75"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row>
    <row r="470" spans="1:75"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row>
    <row r="471" spans="1:75"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row>
    <row r="472" spans="1:75"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row>
    <row r="473" spans="1:75"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row>
    <row r="474" spans="1:75"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row>
    <row r="475" spans="1:75"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row>
    <row r="476" spans="1:75"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row>
    <row r="477" spans="1:75"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row>
    <row r="478" spans="1:75"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row>
    <row r="479" spans="1:75"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row>
    <row r="480" spans="1:75"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row>
    <row r="481" spans="1:75"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row>
    <row r="482" spans="1:75"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row>
    <row r="483" spans="1:75"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row>
    <row r="484" spans="1:75"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row>
    <row r="485" spans="1:75"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row>
    <row r="486" spans="1:75"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row>
    <row r="487" spans="1:75"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row>
    <row r="488" spans="1:75"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row>
    <row r="489" spans="1:75"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row>
    <row r="490" spans="1:75"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row>
    <row r="491" spans="1:75"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row>
    <row r="492" spans="1:75"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row>
    <row r="493" spans="1:75"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row>
    <row r="494" spans="1:75"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row>
    <row r="495" spans="1:75"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row>
    <row r="496" spans="1:75"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row>
    <row r="497" spans="1:75"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row>
    <row r="498" spans="1:75"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row>
    <row r="499" spans="1:75"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row>
    <row r="500" spans="1:75"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row>
    <row r="501" spans="1:75"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row>
    <row r="502" spans="1:75"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row>
    <row r="503" spans="1:75"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row>
    <row r="504" spans="1:75"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row>
    <row r="505" spans="1:75"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row>
    <row r="506" spans="1:75"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row>
    <row r="507" spans="1:75"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row>
    <row r="508" spans="1:75"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row>
    <row r="509" spans="1:75"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row>
    <row r="510" spans="1:75"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row>
    <row r="511" spans="1:75"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row>
    <row r="512" spans="1:75"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row>
    <row r="513" spans="1:75"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row>
    <row r="514" spans="1:75"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row>
    <row r="515" spans="1:75"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row>
    <row r="516" spans="1:75"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row>
    <row r="517" spans="1:75"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row>
    <row r="518" spans="1:75"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row>
    <row r="519" spans="1:75"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row>
    <row r="520" spans="1:75"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row>
    <row r="521" spans="1:75"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row>
    <row r="522" spans="1:75"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row>
    <row r="523" spans="1:75"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row>
    <row r="524" spans="1:75"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row>
    <row r="525" spans="1:75"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row>
    <row r="526" spans="1:75"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row>
    <row r="527" spans="1:75"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row>
    <row r="528" spans="1:75"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row>
    <row r="529" spans="1:75"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row>
    <row r="530" spans="1:75"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row>
    <row r="531" spans="1:75"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row>
    <row r="532" spans="1:75"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row>
    <row r="533" spans="1:75"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row>
    <row r="534" spans="1:75"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row>
    <row r="535" spans="1:75"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row>
    <row r="536" spans="1:75"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row>
    <row r="537" spans="1:75"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row>
    <row r="538" spans="1:75"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row>
    <row r="539" spans="1:75"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row>
    <row r="540" spans="1:75"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row>
    <row r="541" spans="1:75"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row>
    <row r="542" spans="1:75"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row>
    <row r="543" spans="1:75"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row>
    <row r="544" spans="1:75"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row>
    <row r="545" spans="1:75"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row>
    <row r="546" spans="1:75"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row>
    <row r="547" spans="1:75"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row>
    <row r="548" spans="1:75"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row>
    <row r="549" spans="1:75"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row>
    <row r="550" spans="1:75"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row>
    <row r="551" spans="1:75"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row>
    <row r="552" spans="1:75"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row>
    <row r="553" spans="1:75"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row>
    <row r="554" spans="1:75"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row>
    <row r="555" spans="1:75"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row>
    <row r="556" spans="1:75"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row>
    <row r="557" spans="1:75"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row>
    <row r="558" spans="1:75"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row>
    <row r="559" spans="1:75"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row>
    <row r="560" spans="1:75"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row>
    <row r="561" spans="1:75"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row>
    <row r="562" spans="1:75"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row>
    <row r="563" spans="1:75"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row>
    <row r="564" spans="1:75"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row>
    <row r="565" spans="1:75"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row>
    <row r="566" spans="1:75"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row>
    <row r="567" spans="1:75"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row>
    <row r="568" spans="1:75"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row>
    <row r="569" spans="1:75"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row>
    <row r="570" spans="1:75"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row>
    <row r="571" spans="1:75"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row>
    <row r="572" spans="1:75"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row>
    <row r="573" spans="1:75"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row>
    <row r="574" spans="1:75"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row>
    <row r="575" spans="1:75"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row>
    <row r="576" spans="1:75" x14ac:dyDescent="0.3">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row>
    <row r="577" spans="1:75" x14ac:dyDescent="0.3">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row>
    <row r="578" spans="1:75" x14ac:dyDescent="0.3">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row>
    <row r="579" spans="1:75" x14ac:dyDescent="0.3">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row>
    <row r="580" spans="1:75" x14ac:dyDescent="0.3">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row>
    <row r="581" spans="1:75" x14ac:dyDescent="0.3">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row>
    <row r="582" spans="1:75" x14ac:dyDescent="0.3">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row>
    <row r="583" spans="1:75" x14ac:dyDescent="0.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row>
    <row r="584" spans="1:75" x14ac:dyDescent="0.3">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row>
    <row r="585" spans="1:75" x14ac:dyDescent="0.3">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row>
  </sheetData>
  <mergeCells count="5">
    <mergeCell ref="A25:F27"/>
    <mergeCell ref="J24:P26"/>
    <mergeCell ref="A1:D3"/>
    <mergeCell ref="J1:Q3"/>
    <mergeCell ref="A11:F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19DC0-E19B-439C-88D0-0E13C625ED43}">
  <dimension ref="F5:S22"/>
  <sheetViews>
    <sheetView showGridLines="0" workbookViewId="0">
      <selection activeCell="O15" sqref="O15"/>
    </sheetView>
  </sheetViews>
  <sheetFormatPr defaultRowHeight="14.4" x14ac:dyDescent="0.3"/>
  <sheetData>
    <row r="5" spans="6:19" ht="31.2" x14ac:dyDescent="0.3">
      <c r="F5" s="65" t="s">
        <v>492</v>
      </c>
      <c r="G5" s="65"/>
      <c r="H5" s="65"/>
      <c r="I5" s="65"/>
      <c r="J5" s="65"/>
    </row>
    <row r="6" spans="6:19" ht="18" x14ac:dyDescent="0.35">
      <c r="F6" s="66"/>
      <c r="G6" s="66"/>
      <c r="H6" s="66"/>
      <c r="I6" s="66"/>
      <c r="J6" s="66"/>
      <c r="K6" s="66"/>
      <c r="L6" s="66"/>
      <c r="M6" s="66"/>
      <c r="N6" s="66"/>
      <c r="O6" s="66"/>
      <c r="P6" s="66"/>
      <c r="Q6" s="8"/>
      <c r="R6" s="8"/>
      <c r="S6" s="8"/>
    </row>
    <row r="7" spans="6:19" ht="18" x14ac:dyDescent="0.35">
      <c r="F7" s="66" t="s">
        <v>493</v>
      </c>
      <c r="G7" s="66"/>
      <c r="H7" s="66"/>
      <c r="I7" s="66"/>
      <c r="J7" s="66"/>
      <c r="K7" s="66"/>
      <c r="L7" s="66"/>
      <c r="M7" s="66"/>
      <c r="N7" s="66"/>
      <c r="O7" s="66"/>
      <c r="P7" s="66"/>
      <c r="Q7" s="8"/>
      <c r="R7" s="8"/>
      <c r="S7" s="8"/>
    </row>
    <row r="8" spans="6:19" ht="18" x14ac:dyDescent="0.35">
      <c r="F8" s="66"/>
      <c r="G8" s="66"/>
      <c r="H8" s="66"/>
      <c r="I8" s="66"/>
      <c r="J8" s="66"/>
      <c r="K8" s="66"/>
      <c r="L8" s="66"/>
      <c r="M8" s="66"/>
      <c r="N8" s="66"/>
      <c r="O8" s="66"/>
      <c r="P8" s="66"/>
      <c r="Q8" s="8"/>
      <c r="R8" s="8"/>
      <c r="S8" s="8"/>
    </row>
    <row r="9" spans="6:19" ht="18" x14ac:dyDescent="0.35">
      <c r="F9" s="66" t="s">
        <v>499</v>
      </c>
      <c r="G9" s="66"/>
      <c r="H9" s="66"/>
      <c r="I9" s="66"/>
      <c r="J9" s="66"/>
      <c r="K9" s="66"/>
      <c r="L9" s="66"/>
      <c r="M9" s="66"/>
      <c r="N9" s="66"/>
      <c r="O9" s="66"/>
      <c r="P9" s="66"/>
      <c r="Q9" s="8"/>
      <c r="R9" s="8"/>
      <c r="S9" s="8"/>
    </row>
    <row r="10" spans="6:19" ht="18" x14ac:dyDescent="0.35">
      <c r="F10" s="66"/>
      <c r="G10" s="66"/>
      <c r="H10" s="66"/>
      <c r="I10" s="66"/>
      <c r="J10" s="66"/>
      <c r="K10" s="66"/>
      <c r="L10" s="66"/>
      <c r="M10" s="66"/>
      <c r="N10" s="66"/>
      <c r="O10" s="66"/>
      <c r="P10" s="66"/>
      <c r="Q10" s="8"/>
      <c r="R10" s="8"/>
      <c r="S10" s="8"/>
    </row>
    <row r="11" spans="6:19" ht="18" x14ac:dyDescent="0.35">
      <c r="F11" s="66" t="s">
        <v>494</v>
      </c>
      <c r="G11" s="66"/>
      <c r="H11" s="66"/>
      <c r="I11" s="66"/>
      <c r="J11" s="66"/>
      <c r="K11" s="66"/>
      <c r="L11" s="66"/>
      <c r="M11" s="66"/>
      <c r="N11" s="66"/>
      <c r="O11" s="66"/>
      <c r="P11" s="66"/>
      <c r="Q11" s="8"/>
      <c r="R11" s="8"/>
      <c r="S11" s="8"/>
    </row>
    <row r="12" spans="6:19" ht="18" x14ac:dyDescent="0.35">
      <c r="F12" s="66"/>
      <c r="G12" s="66"/>
      <c r="H12" s="66"/>
      <c r="I12" s="66"/>
      <c r="J12" s="66"/>
      <c r="K12" s="66"/>
      <c r="L12" s="66"/>
      <c r="M12" s="66"/>
      <c r="N12" s="66"/>
      <c r="O12" s="66"/>
      <c r="P12" s="66"/>
      <c r="Q12" s="8"/>
      <c r="R12" s="8"/>
      <c r="S12" s="8"/>
    </row>
    <row r="13" spans="6:19" ht="18" x14ac:dyDescent="0.35">
      <c r="F13" s="66" t="s">
        <v>495</v>
      </c>
      <c r="G13" s="66"/>
      <c r="H13" s="66"/>
      <c r="I13" s="66"/>
      <c r="J13" s="66"/>
      <c r="K13" s="66"/>
      <c r="L13" s="66"/>
      <c r="M13" s="66"/>
      <c r="N13" s="66"/>
      <c r="O13" s="66"/>
      <c r="P13" s="66"/>
      <c r="Q13" s="8"/>
      <c r="R13" s="8"/>
      <c r="S13" s="8"/>
    </row>
    <row r="14" spans="6:19" ht="18" x14ac:dyDescent="0.35">
      <c r="F14" s="66"/>
      <c r="G14" s="66"/>
      <c r="H14" s="66"/>
      <c r="I14" s="66"/>
      <c r="J14" s="66"/>
      <c r="K14" s="66"/>
      <c r="L14" s="66"/>
      <c r="M14" s="66"/>
      <c r="N14" s="66"/>
      <c r="O14" s="66"/>
      <c r="P14" s="66"/>
      <c r="Q14" s="8"/>
      <c r="R14" s="8"/>
      <c r="S14" s="8"/>
    </row>
    <row r="15" spans="6:19" ht="18" x14ac:dyDescent="0.35">
      <c r="F15" s="66" t="s">
        <v>496</v>
      </c>
      <c r="G15" s="66"/>
      <c r="H15" s="66"/>
      <c r="I15" s="66"/>
      <c r="J15" s="66"/>
      <c r="K15" s="66"/>
      <c r="L15" s="66"/>
      <c r="M15" s="66"/>
      <c r="N15" s="66"/>
      <c r="O15" s="66"/>
      <c r="P15" s="66"/>
      <c r="Q15" s="8"/>
      <c r="R15" s="8"/>
      <c r="S15" s="8"/>
    </row>
    <row r="16" spans="6:19" ht="18" x14ac:dyDescent="0.35">
      <c r="F16" s="66"/>
      <c r="G16" s="66"/>
      <c r="H16" s="66"/>
      <c r="I16" s="66"/>
      <c r="J16" s="66"/>
      <c r="K16" s="66"/>
      <c r="L16" s="66"/>
      <c r="M16" s="66"/>
      <c r="N16" s="66"/>
      <c r="O16" s="66"/>
      <c r="P16" s="66"/>
      <c r="Q16" s="8"/>
      <c r="R16" s="8"/>
      <c r="S16" s="8"/>
    </row>
    <row r="17" spans="6:19" ht="18" x14ac:dyDescent="0.35">
      <c r="F17" s="66" t="s">
        <v>497</v>
      </c>
      <c r="G17" s="66"/>
      <c r="H17" s="66"/>
      <c r="I17" s="66"/>
      <c r="J17" s="66"/>
      <c r="K17" s="66"/>
      <c r="L17" s="66"/>
      <c r="M17" s="66"/>
      <c r="N17" s="66"/>
      <c r="O17" s="66"/>
      <c r="P17" s="66"/>
      <c r="Q17" s="8"/>
      <c r="R17" s="8"/>
      <c r="S17" s="8"/>
    </row>
    <row r="18" spans="6:19" ht="18" x14ac:dyDescent="0.35">
      <c r="F18" s="66"/>
      <c r="G18" s="66"/>
      <c r="H18" s="66"/>
      <c r="I18" s="66"/>
      <c r="J18" s="66"/>
      <c r="K18" s="66"/>
      <c r="L18" s="66"/>
      <c r="M18" s="66"/>
      <c r="N18" s="66"/>
      <c r="O18" s="66"/>
      <c r="P18" s="66"/>
      <c r="Q18" s="8"/>
      <c r="R18" s="8"/>
      <c r="S18" s="8"/>
    </row>
    <row r="19" spans="6:19" ht="18" x14ac:dyDescent="0.35">
      <c r="F19" s="66" t="s">
        <v>491</v>
      </c>
      <c r="G19" s="66"/>
      <c r="H19" s="66"/>
      <c r="I19" s="66"/>
      <c r="J19" s="66"/>
      <c r="K19" s="66"/>
      <c r="L19" s="66"/>
      <c r="M19" s="66"/>
      <c r="N19" s="66"/>
      <c r="O19" s="66"/>
      <c r="P19" s="66"/>
      <c r="Q19" s="8"/>
      <c r="R19" s="8"/>
      <c r="S19" s="8"/>
    </row>
    <row r="20" spans="6:19" ht="18" x14ac:dyDescent="0.35">
      <c r="F20" s="66"/>
      <c r="G20" s="66"/>
      <c r="H20" s="66"/>
      <c r="I20" s="66"/>
      <c r="J20" s="66"/>
      <c r="K20" s="66"/>
      <c r="L20" s="66"/>
      <c r="M20" s="66"/>
      <c r="N20" s="66"/>
      <c r="O20" s="66"/>
      <c r="P20" s="66"/>
      <c r="Q20" s="8"/>
      <c r="R20" s="8"/>
      <c r="S20" s="8"/>
    </row>
    <row r="21" spans="6:19" ht="18" x14ac:dyDescent="0.35">
      <c r="F21" s="66" t="s">
        <v>498</v>
      </c>
      <c r="G21" s="66"/>
      <c r="H21" s="66"/>
      <c r="I21" s="66"/>
      <c r="J21" s="66"/>
      <c r="K21" s="66"/>
      <c r="L21" s="66"/>
      <c r="M21" s="66"/>
      <c r="N21" s="66"/>
      <c r="O21" s="66"/>
      <c r="P21" s="66"/>
      <c r="Q21" s="8"/>
      <c r="R21" s="8"/>
      <c r="S21" s="8"/>
    </row>
    <row r="22" spans="6:19" ht="18" x14ac:dyDescent="0.35">
      <c r="F22" s="66"/>
      <c r="G22" s="66"/>
      <c r="H22" s="66"/>
      <c r="I22" s="66"/>
      <c r="J22" s="66"/>
      <c r="K22" s="66"/>
      <c r="L22" s="66"/>
      <c r="M22" s="66"/>
      <c r="N22" s="66"/>
      <c r="O22" s="66"/>
      <c r="P22" s="66"/>
      <c r="Q22" s="8"/>
      <c r="R22" s="8"/>
      <c r="S22" s="8"/>
    </row>
  </sheetData>
  <mergeCells count="1">
    <mergeCell ref="F5: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SENERIO SUMMARY</vt:lpstr>
      <vt:lpstr>LINER REGRESSION</vt:lpstr>
      <vt:lpstr>PIVOT TABLE</vt:lpstr>
      <vt:lpstr>DASHBOARD</vt:lpstr>
      <vt:lpstr>PROJECT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vishu movaliya</dc:creator>
  <cp:lastModifiedBy>vishu movaliya</cp:lastModifiedBy>
  <dcterms:created xsi:type="dcterms:W3CDTF">2026-02-17T08:03:33Z</dcterms:created>
  <dcterms:modified xsi:type="dcterms:W3CDTF">2026-02-24T14:33:38Z</dcterms:modified>
</cp:coreProperties>
</file>