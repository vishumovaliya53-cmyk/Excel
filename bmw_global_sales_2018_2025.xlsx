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Excel\"/>
    </mc:Choice>
  </mc:AlternateContent>
  <xr:revisionPtr revIDLastSave="0" documentId="13_ncr:1_{74A84331-D660-4F06-A06C-A85E7649D671}" xr6:coauthVersionLast="47" xr6:coauthVersionMax="47" xr10:uidLastSave="{00000000-0000-0000-0000-000000000000}"/>
  <bookViews>
    <workbookView xWindow="-108" yWindow="-108" windowWidth="23256" windowHeight="12456" activeTab="1" xr2:uid="{28C00D63-5D61-4EBB-90AB-197DCB55FA5A}"/>
  </bookViews>
  <sheets>
    <sheet name="DATASET" sheetId="1" r:id="rId1"/>
    <sheet name="PIVOT TABLE" sheetId="2" r:id="rId2"/>
  </sheets>
  <definedNames>
    <definedName name="NativeTimeline_Date">#N/A</definedName>
    <definedName name="Slicer_Dat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5"/>
      </x15:timelineCacheRefs>
    </ext>
  </extLst>
</workbook>
</file>

<file path=xl/calcChain.xml><?xml version="1.0" encoding="utf-8"?>
<calcChain xmlns="http://schemas.openxmlformats.org/spreadsheetml/2006/main">
  <c r="N15" i="1" l="1"/>
  <c r="N11" i="1"/>
  <c r="N7" i="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 i="1"/>
</calcChain>
</file>

<file path=xl/sharedStrings.xml><?xml version="1.0" encoding="utf-8"?>
<sst xmlns="http://schemas.openxmlformats.org/spreadsheetml/2006/main" count="431" uniqueCount="34">
  <si>
    <t>Year</t>
  </si>
  <si>
    <t>Month</t>
  </si>
  <si>
    <t>Region</t>
  </si>
  <si>
    <t>Model</t>
  </si>
  <si>
    <t>Units_Sold</t>
  </si>
  <si>
    <t>Avg_Price_EUR</t>
  </si>
  <si>
    <t>Revenue_EUR</t>
  </si>
  <si>
    <t>BEV_Share</t>
  </si>
  <si>
    <t>Premium_Share</t>
  </si>
  <si>
    <t>GDP_Growth</t>
  </si>
  <si>
    <t>Fuel_Price_Index</t>
  </si>
  <si>
    <t>Europe</t>
  </si>
  <si>
    <t>3 Series</t>
  </si>
  <si>
    <t>5 Series</t>
  </si>
  <si>
    <t>X3</t>
  </si>
  <si>
    <t>X5</t>
  </si>
  <si>
    <t>X7</t>
  </si>
  <si>
    <t>i4</t>
  </si>
  <si>
    <t>iX</t>
  </si>
  <si>
    <t>MINI</t>
  </si>
  <si>
    <t>China</t>
  </si>
  <si>
    <t>USA</t>
  </si>
  <si>
    <t>RestOfWorld</t>
  </si>
  <si>
    <t>Date</t>
  </si>
  <si>
    <t>FORMAT DATA TYPE</t>
  </si>
  <si>
    <t>REMOVE EXTRA SPACE</t>
  </si>
  <si>
    <t xml:space="preserve">  </t>
  </si>
  <si>
    <t>Row Labels</t>
  </si>
  <si>
    <t>Grand Total</t>
  </si>
  <si>
    <t>Sum of Units_Sold</t>
  </si>
  <si>
    <t>VLOOKUP</t>
  </si>
  <si>
    <t>201+A2:K1958</t>
  </si>
  <si>
    <t>INDEX - MATCH</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</si>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</sst>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quot;₹&quot;\ #,##0.00"/>
  </numFmts>
  <fonts count="23">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0"/>
      <color theme="0"/>
      <name val="Aptos Narrow"/>
      <family val="2"/>
      <scheme val="minor"/>
    </font>
    <font>
      <b/>
      <sz val="14"/>
      <color theme="0"/>
      <name val="Aptos Narrow"/>
      <family val="2"/>
      <scheme val="minor"/>
    </font>
    <font>
      <b/>
      <sz val="12"/>
      <color theme="0"/>
      <name val="Aptos Narrow"/>
      <family val="2"/>
      <scheme val="minor"/>
    </font>
    <font>
      <b/>
      <sz val="10"/>
      <color theme="0"/>
      <name val="Aptos Narrow"/>
      <family val="2"/>
      <scheme val="minor"/>
    </font>
    <font>
      <sz val="10"/>
      <color theme="1"/>
      <name val="Arial Unicode MS"/>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rgb="FF006666"/>
        <bgColor indexed="64"/>
      </patternFill>
    </fill>
    <fill>
      <patternFill patternType="solid">
        <fgColor theme="2" tint="-9.9978637043366805E-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3" fillId="0" borderId="0" xfId="0" applyFont="1" applyAlignment="1">
      <alignment horizontal="center" vertical="center"/>
    </xf>
    <xf numFmtId="0" fontId="13" fillId="34" borderId="10" xfId="0" applyFont="1" applyFill="1" applyBorder="1" applyAlignment="1">
      <alignment horizontal="center" vertical="center"/>
    </xf>
    <xf numFmtId="0" fontId="0" fillId="33" borderId="10" xfId="0" applyFill="1" applyBorder="1" applyAlignment="1">
      <alignment horizontal="center" vertical="center"/>
    </xf>
    <xf numFmtId="14" fontId="0" fillId="33" borderId="10" xfId="0" applyNumberFormat="1" applyFill="1" applyBorder="1" applyAlignment="1">
      <alignment horizontal="center" vertical="center"/>
    </xf>
    <xf numFmtId="0" fontId="0" fillId="0" borderId="0" xfId="0" applyAlignment="1">
      <alignment horizontal="center" vertical="center"/>
    </xf>
    <xf numFmtId="0" fontId="19" fillId="0" borderId="0" xfId="0" applyFont="1" applyAlignment="1">
      <alignment horizontal="center" vertical="center"/>
    </xf>
    <xf numFmtId="0" fontId="13" fillId="34" borderId="10" xfId="0" applyFont="1" applyFill="1" applyBorder="1"/>
    <xf numFmtId="0" fontId="0" fillId="35" borderId="10" xfId="0" applyFill="1" applyBorder="1" applyAlignment="1">
      <alignment horizontal="left"/>
    </xf>
    <xf numFmtId="0" fontId="13" fillId="34" borderId="10" xfId="0" applyFont="1" applyFill="1" applyBorder="1" applyAlignment="1">
      <alignment horizontal="left"/>
    </xf>
    <xf numFmtId="164" fontId="13" fillId="34" borderId="10" xfId="0" applyNumberFormat="1" applyFont="1" applyFill="1" applyBorder="1" applyAlignment="1">
      <alignment horizontal="center" vertical="center"/>
    </xf>
    <xf numFmtId="164" fontId="0" fillId="33" borderId="10" xfId="0" applyNumberFormat="1" applyFill="1" applyBorder="1" applyAlignment="1">
      <alignment horizontal="center" vertical="center"/>
    </xf>
    <xf numFmtId="164" fontId="0" fillId="0" borderId="0" xfId="0" applyNumberFormat="1"/>
    <xf numFmtId="2" fontId="0" fillId="35" borderId="10" xfId="0" applyNumberFormat="1" applyFill="1" applyBorder="1"/>
    <xf numFmtId="2" fontId="13" fillId="34" borderId="10" xfId="0" applyNumberFormat="1" applyFont="1" applyFill="1" applyBorder="1"/>
    <xf numFmtId="0" fontId="0" fillId="35" borderId="0" xfId="0" applyFill="1" applyAlignment="1">
      <alignment horizontal="center" vertical="center"/>
    </xf>
    <xf numFmtId="0" fontId="20" fillId="34" borderId="0" xfId="0" applyFont="1" applyFill="1" applyAlignment="1">
      <alignment horizontal="center" vertical="center"/>
    </xf>
    <xf numFmtId="0" fontId="22" fillId="35" borderId="0" xfId="0" applyFont="1" applyFill="1" applyAlignment="1">
      <alignment horizontal="center"/>
    </xf>
    <xf numFmtId="0" fontId="18" fillId="34" borderId="0" xfId="0" applyFont="1" applyFill="1" applyAlignment="1">
      <alignment horizontal="center" vertical="center"/>
    </xf>
    <xf numFmtId="0" fontId="21" fillId="34" borderId="0" xfId="0" applyFont="1" applyFill="1" applyAlignment="1">
      <alignment horizontal="center" vertical="center"/>
    </xf>
    <xf numFmtId="0" fontId="0" fillId="35"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6666"/>
        </patternFill>
      </fill>
    </dxf>
    <dxf>
      <fill>
        <patternFill patternType="solid">
          <bgColor rgb="FF006666"/>
        </patternFill>
      </fill>
    </dxf>
    <dxf>
      <font>
        <color theme="0"/>
      </font>
    </dxf>
    <dxf>
      <font>
        <color theme="0"/>
      </font>
    </dxf>
    <dxf>
      <font>
        <b/>
      </font>
    </dxf>
    <dxf>
      <font>
        <b/>
      </font>
    </dxf>
    <dxf>
      <fill>
        <patternFill patternType="solid">
          <bgColor theme="2" tint="-9.9978637043366805E-2"/>
        </patternFill>
      </fill>
    </dxf>
    <dxf>
      <fill>
        <patternFill patternType="solid">
          <bgColor theme="2" tint="-9.9978637043366805E-2"/>
        </patternFill>
      </fill>
    </dxf>
    <dxf>
      <fill>
        <patternFill patternType="solid">
          <bgColor rgb="FF006666"/>
        </patternFill>
      </fill>
    </dxf>
    <dxf>
      <fill>
        <patternFill patternType="solid">
          <bgColor rgb="FF006666"/>
        </patternFill>
      </fill>
    </dxf>
    <dxf>
      <font>
        <color theme="0"/>
      </font>
    </dxf>
    <dxf>
      <font>
        <color theme="0"/>
      </font>
    </dxf>
    <dxf>
      <font>
        <b/>
      </font>
    </dxf>
    <dxf>
      <font>
        <b/>
      </font>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rgb="FF006666"/>
        </patternFill>
      </fill>
    </dxf>
    <dxf>
      <fill>
        <patternFill patternType="solid">
          <bgColor rgb="FF006666"/>
        </patternFill>
      </fill>
    </dxf>
    <dxf>
      <font>
        <color theme="0"/>
      </font>
    </dxf>
    <dxf>
      <font>
        <color theme="0"/>
      </font>
    </dxf>
    <dxf>
      <font>
        <b/>
      </font>
    </dxf>
    <dxf>
      <font>
        <b/>
      </font>
    </dxf>
    <dxf>
      <fill>
        <patternFill patternType="solid">
          <bgColor theme="2" tint="-9.9978637043366805E-2"/>
        </patternFill>
      </fill>
    </dxf>
    <dxf>
      <fill>
        <patternFill patternType="solid">
          <bgColor theme="2" tint="-9.9978637043366805E-2"/>
        </patternFill>
      </fill>
    </dxf>
    <dxf>
      <fill>
        <patternFill patternType="solid">
          <bgColor rgb="FF006666"/>
        </patternFill>
      </fill>
    </dxf>
    <dxf>
      <fill>
        <patternFill patternType="solid">
          <bgColor rgb="FF006666"/>
        </patternFill>
      </fill>
    </dxf>
    <dxf>
      <font>
        <color theme="0"/>
      </font>
    </dxf>
    <dxf>
      <font>
        <color theme="0"/>
      </font>
    </dxf>
    <dxf>
      <font>
        <b/>
      </font>
    </dxf>
    <dxf>
      <font>
        <b/>
      </font>
    </dxf>
    <dxf>
      <numFmt numFmtId="2" formatCode="0.00"/>
    </dxf>
    <dxf>
      <numFmt numFmtId="2" formatCode="0.00"/>
    </dxf>
    <dxf>
      <fill>
        <patternFill>
          <bgColor rgb="FF006666"/>
        </patternFill>
      </fill>
    </dxf>
    <dxf>
      <font>
        <b/>
        <i val="0"/>
      </font>
      <fill>
        <patternFill>
          <bgColor rgb="FF006666"/>
        </patternFill>
      </fill>
    </dxf>
    <dxf>
      <font>
        <b/>
        <i val="0"/>
      </font>
      <fill>
        <patternFill>
          <bgColor theme="8" tint="0.79998168889431442"/>
        </patternFill>
      </fill>
      <border>
        <left style="thin">
          <color auto="1"/>
        </left>
        <right style="thin">
          <color auto="1"/>
        </right>
        <top style="thin">
          <color auto="1"/>
        </top>
        <bottom style="thin">
          <color auto="1"/>
        </bottom>
        <vertical/>
        <horizontal/>
      </border>
    </dxf>
    <dxf>
      <fill>
        <patternFill>
          <bgColor theme="8" tint="0.59996337778862885"/>
        </patternFill>
      </fill>
    </dxf>
    <dxf>
      <numFmt numFmtId="2" formatCode="0.00"/>
    </dxf>
    <dxf>
      <numFmt numFmtId="2" formatCode="0.00"/>
    </dxf>
    <dxf>
      <font>
        <b/>
      </font>
    </dxf>
    <dxf>
      <font>
        <b/>
      </font>
    </dxf>
    <dxf>
      <font>
        <color theme="0"/>
      </font>
    </dxf>
    <dxf>
      <font>
        <color theme="0"/>
      </font>
    </dxf>
    <dxf>
      <fill>
        <patternFill patternType="solid">
          <bgColor rgb="FF006666"/>
        </patternFill>
      </fill>
    </dxf>
    <dxf>
      <fill>
        <patternFill patternType="solid">
          <bgColor rgb="FF006666"/>
        </patternFill>
      </fill>
    </dxf>
    <dxf>
      <fill>
        <patternFill patternType="solid">
          <bgColor theme="2" tint="-9.9978637043366805E-2"/>
        </patternFill>
      </fill>
    </dxf>
    <dxf>
      <fill>
        <patternFill patternType="solid">
          <bgColor theme="2" tint="-9.9978637043366805E-2"/>
        </patternFill>
      </fill>
    </dxf>
    <dxf>
      <font>
        <b/>
      </font>
    </dxf>
    <dxf>
      <font>
        <b/>
      </font>
    </dxf>
    <dxf>
      <font>
        <color theme="0"/>
      </font>
    </dxf>
    <dxf>
      <font>
        <color theme="0"/>
      </font>
    </dxf>
    <dxf>
      <fill>
        <patternFill patternType="solid">
          <bgColor rgb="FF006666"/>
        </patternFill>
      </fill>
    </dxf>
    <dxf>
      <fill>
        <patternFill patternType="solid">
          <bgColor rgb="FF006666"/>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2" defaultTableStyle="TableStyleMedium2" defaultPivotStyle="PivotStyleLight16">
    <tableStyle name="Slicer Style 1" pivot="0" table="0" count="1" xr9:uid="{500A433A-8FCA-48D9-83B9-91BCDE3A735F}">
      <tableStyleElement type="headerRow" dxfId="45"/>
    </tableStyle>
    <tableStyle name="Slicer Style 2" pivot="0" table="0" count="1" xr9:uid="{8FDE72BC-32A5-47C6-B330-4A969FFC489D}">
      <tableStyleElement type="wholeTable" dxfId="44"/>
    </tableStyle>
  </tableStyles>
  <colors>
    <mruColors>
      <color rgb="FF006666"/>
      <color rgb="FFFF66FF"/>
    </mruColors>
  </colors>
  <extLst>
    <ext xmlns:x14="http://schemas.microsoft.com/office/spreadsheetml/2009/9/main" uri="{EB79DEF2-80B8-43e5-95BD-54CBDDF9020C}">
      <x14:slicerStyles defaultSlicerStyle="SlicerStyleLight1">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11/relationships/timelineCache" Target="timelineCaches/timelineCache1.xml"/><Relationship Id="rId4" Type="http://schemas.microsoft.com/office/2007/relationships/slicerCache" Target="slicerCaches/slicerCache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[bmw_global_sales_2018_2025.xlsx]PIVOT TABLE!PivotTable1</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Revanue</a:t>
            </a:r>
            <a:r>
              <a:rPr lang="en-US" baseline="0"/>
              <a:t> By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127000">
              <a:srgbClr val="006666"/>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a:srgbClr val="006666">
                <a:alpha val="43000"/>
              </a:srgbClr>
            </a:glow>
          </a:effectLst>
        </c:spPr>
      </c:pivotFmt>
    </c:pivotFmts>
    <c:plotArea>
      <c:layout>
        <c:manualLayout>
          <c:layoutTarget val="inner"/>
          <c:xMode val="edge"/>
          <c:yMode val="edge"/>
          <c:x val="0.20233954272199495"/>
          <c:y val="0.37439596092155147"/>
          <c:w val="0.77125613419201722"/>
          <c:h val="0.53811424613589964"/>
        </c:manualLayout>
      </c:layout>
      <c:barChart>
        <c:barDir val="col"/>
        <c:grouping val="percentStacked"/>
        <c:varyColors val="0"/>
        <c:ser>
          <c:idx val="0"/>
          <c:order val="0"/>
          <c:tx>
            <c:strRef>
              <c:f>'PIVOT TABLE'!$B$3</c:f>
              <c:strCache>
                <c:ptCount val="1"/>
                <c:pt idx="0">
                  <c:v>Total</c:v>
                </c:pt>
              </c:strCache>
            </c:strRef>
          </c:tx>
          <c:spPr>
            <a:solidFill>
              <a:schemeClr val="accent1"/>
            </a:solidFill>
            <a:ln>
              <a:noFill/>
            </a:ln>
            <a:effectLst>
              <a:glow rad="127000">
                <a:srgbClr val="006666"/>
              </a:glow>
            </a:effectLst>
          </c:spPr>
          <c:invertIfNegative val="0"/>
          <c:dPt>
            <c:idx val="0"/>
            <c:invertIfNegative val="0"/>
            <c:bubble3D val="0"/>
            <c:spPr>
              <a:solidFill>
                <a:schemeClr val="accent1"/>
              </a:solidFill>
              <a:ln>
                <a:noFill/>
              </a:ln>
              <a:effectLst>
                <a:glow>
                  <a:srgbClr val="006666">
                    <a:alpha val="43000"/>
                  </a:srgbClr>
                </a:glow>
              </a:effectLst>
            </c:spPr>
            <c:extLst>
              <c:ext xmlns:c16="http://schemas.microsoft.com/office/drawing/2014/chart" uri="{C3380CC4-5D6E-409C-BE32-E72D297353CC}">
                <c16:uniqueId val="{00000002-3F27-49DC-BD03-8812AFE07407}"/>
              </c:ext>
            </c:extLst>
          </c:dPt>
          <c:cat>
            <c:strRef>
              <c:f>'PIVOT TABLE'!$A$4:$A$5</c:f>
              <c:strCache>
                <c:ptCount val="1"/>
                <c:pt idx="0">
                  <c:v>2018</c:v>
                </c:pt>
              </c:strCache>
            </c:strRef>
          </c:cat>
          <c:val>
            <c:numRef>
              <c:f>'PIVOT TABLE'!$B$4:$B$5</c:f>
              <c:numCache>
                <c:formatCode>0.00</c:formatCode>
                <c:ptCount val="1"/>
                <c:pt idx="0">
                  <c:v>11513</c:v>
                </c:pt>
              </c:numCache>
            </c:numRef>
          </c:val>
          <c:extLst>
            <c:ext xmlns:c16="http://schemas.microsoft.com/office/drawing/2014/chart" uri="{C3380CC4-5D6E-409C-BE32-E72D297353CC}">
              <c16:uniqueId val="{00000000-3F27-49DC-BD03-8812AFE07407}"/>
            </c:ext>
          </c:extLst>
        </c:ser>
        <c:dLbls>
          <c:showLegendKey val="0"/>
          <c:showVal val="0"/>
          <c:showCatName val="0"/>
          <c:showSerName val="0"/>
          <c:showPercent val="0"/>
          <c:showBubbleSize val="0"/>
        </c:dLbls>
        <c:gapWidth val="219"/>
        <c:overlap val="100"/>
        <c:axId val="219751408"/>
        <c:axId val="219741328"/>
      </c:barChart>
      <c:catAx>
        <c:axId val="219751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41328"/>
        <c:crosses val="autoZero"/>
        <c:auto val="1"/>
        <c:lblAlgn val="ctr"/>
        <c:lblOffset val="100"/>
        <c:noMultiLvlLbl val="0"/>
      </c:catAx>
      <c:valAx>
        <c:axId val="2197413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9751408"/>
        <c:crosses val="autoZero"/>
        <c:crossBetween val="between"/>
      </c:valAx>
      <c:spPr>
        <a:noFill/>
        <a:ln>
          <a:noFill/>
        </a:ln>
        <a:effectLst>
          <a:glow>
            <a:schemeClr val="accent1">
              <a:alpha val="0"/>
            </a:schemeClr>
          </a:glo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pct5">
      <a:fgClr>
        <a:schemeClr val="accent1"/>
      </a:fgClr>
      <a:bgClr>
        <a:schemeClr val="bg2">
          <a:lumMod val="90000"/>
        </a:schemeClr>
      </a:bgClr>
    </a:patt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15240</xdr:colOff>
      <xdr:row>4</xdr:row>
      <xdr:rowOff>19050</xdr:rowOff>
    </xdr:from>
    <xdr:to>
      <xdr:col>10</xdr:col>
      <xdr:colOff>601980</xdr:colOff>
      <xdr:row>19</xdr:row>
      <xdr:rowOff>19050</xdr:rowOff>
    </xdr:to>
    <xdr:graphicFrame macro="">
      <xdr:nvGraphicFramePr>
        <xdr:cNvPr id="2" name="Chart 1">
          <a:extLst>
            <a:ext uri="{FF2B5EF4-FFF2-40B4-BE49-F238E27FC236}">
              <a16:creationId xmlns:a16="http://schemas.microsoft.com/office/drawing/2014/main" id="{2EAA5E41-E3BD-A463-27C3-475B373E64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601980</xdr:colOff>
      <xdr:row>4</xdr:row>
      <xdr:rowOff>22860</xdr:rowOff>
    </xdr:from>
    <xdr:to>
      <xdr:col>14</xdr:col>
      <xdr:colOff>601980</xdr:colOff>
      <xdr:row>19</xdr:row>
      <xdr:rowOff>22860</xdr:rowOff>
    </xdr:to>
    <mc:AlternateContent xmlns:mc="http://schemas.openxmlformats.org/markup-compatibility/2006">
      <mc:Choice xmlns:a14="http://schemas.microsoft.com/office/drawing/2010/main" Requires="a14">
        <xdr:graphicFrame macro="">
          <xdr:nvGraphicFramePr>
            <xdr:cNvPr id="3" name="Date">
              <a:extLst>
                <a:ext uri="{FF2B5EF4-FFF2-40B4-BE49-F238E27FC236}">
                  <a16:creationId xmlns:a16="http://schemas.microsoft.com/office/drawing/2014/main" id="{3C160675-19FE-16D4-9F04-27D9C0921909}"/>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8039100" y="754380"/>
              <a:ext cx="1828800" cy="274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4</xdr:row>
      <xdr:rowOff>30480</xdr:rowOff>
    </xdr:from>
    <xdr:to>
      <xdr:col>21</xdr:col>
      <xdr:colOff>15240</xdr:colOff>
      <xdr:row>11</xdr:row>
      <xdr:rowOff>121920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24FF8A49-9088-6A06-57B8-D6E6E6B8E8B3}"/>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10485120" y="762000"/>
              <a:ext cx="306324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loud" refreshedDate="46076.792699768521" createdVersion="8" refreshedVersion="8" minRefreshableVersion="3" recordCount="204" xr:uid="{407C42C8-02DD-4D95-9506-F85A7E817B5A}">
  <cacheSource type="worksheet">
    <worksheetSource ref="A1:L205" sheet="DATASET"/>
  </cacheSource>
  <cacheFields count="12">
    <cacheField name="Year" numFmtId="0">
      <sharedItems containsSemiMixedTypes="0" containsString="0" containsNumber="1" containsInteger="1" minValue="2018" maxValue="2018" count="1">
        <n v="2018"/>
      </sharedItems>
    </cacheField>
    <cacheField name="Month" numFmtId="0">
      <sharedItems containsSemiMixedTypes="0" containsString="0" containsNumber="1" containsInteger="1" minValue="1" maxValue="7"/>
    </cacheField>
    <cacheField name="Region" numFmtId="0">
      <sharedItems/>
    </cacheField>
    <cacheField name="Model" numFmtId="0">
      <sharedItems/>
    </cacheField>
    <cacheField name="Units_Sold" numFmtId="0">
      <sharedItems containsSemiMixedTypes="0" containsString="0" containsNumber="1" containsInteger="1" minValue="2427" maxValue="12829"/>
    </cacheField>
    <cacheField name="Avg_Price_EUR" numFmtId="0">
      <sharedItems containsSemiMixedTypes="0" containsString="0" containsNumber="1" containsInteger="1" minValue="40137" maxValue="93843"/>
    </cacheField>
    <cacheField name="Revenue_EUR" numFmtId="0">
      <sharedItems containsSemiMixedTypes="0" containsString="0" containsNumber="1" containsInteger="1" minValue="109834770" maxValue="1084058655"/>
    </cacheField>
    <cacheField name="BEV_Share" numFmtId="0">
      <sharedItems containsSemiMixedTypes="0" containsString="0" containsNumber="1" minValue="-1.4999999999999999E-2" maxValue="5.1999999999999998E-2"/>
    </cacheField>
    <cacheField name="Premium_Share" numFmtId="0">
      <sharedItems containsSemiMixedTypes="0" containsString="0" containsNumber="1" minValue="5.15" maxValue="20.6"/>
    </cacheField>
    <cacheField name="GDP_Growth" numFmtId="0">
      <sharedItems containsSemiMixedTypes="0" containsString="0" containsNumber="1" minValue="0.82" maxValue="5.0599999999999996"/>
    </cacheField>
    <cacheField name="Fuel_Price_Index" numFmtId="0">
      <sharedItems containsSemiMixedTypes="0" containsString="0" containsNumber="1" minValue="0.96" maxValue="1.05"/>
    </cacheField>
    <cacheField name="Date" numFmtId="14">
      <sharedItems containsSemiMixedTypes="0" containsNonDate="0" containsDate="1" containsString="0" minDate="2024-01-01T00:00:00" maxDate="2024-10-11T00:00:00" count="204">
        <d v="2024-01-01T00:00:00"/>
        <d v="2024-01-02T00:00:00"/>
        <d v="2024-01-03T00:00:00"/>
        <d v="2024-01-04T00:00:00"/>
        <d v="2024-01-05T00:00:00"/>
        <d v="2024-01-08T00:00:00"/>
        <d v="2024-01-09T00:00:00"/>
        <d v="2024-01-10T00:00:00"/>
        <d v="2024-01-11T00:00:00"/>
        <d v="2024-01-12T00:00:00"/>
        <d v="2024-01-15T00:00:00"/>
        <d v="2024-01-16T00:00:00"/>
        <d v="2024-01-17T00:00:00"/>
        <d v="2024-01-18T00:00:00"/>
        <d v="2024-01-19T00:00:00"/>
        <d v="2024-01-22T00:00:00"/>
        <d v="2024-01-23T00:00:00"/>
        <d v="2024-01-24T00:00:00"/>
        <d v="2024-01-25T00:00:00"/>
        <d v="2024-01-26T00:00:00"/>
        <d v="2024-01-29T00:00:00"/>
        <d v="2024-01-30T00:00:00"/>
        <d v="2024-01-31T00:00:00"/>
        <d v="2024-02-01T00:00:00"/>
        <d v="2024-02-02T00:00:00"/>
        <d v="2024-02-05T00:00:00"/>
        <d v="2024-02-06T00:00:00"/>
        <d v="2024-02-07T00:00:00"/>
        <d v="2024-02-08T00:00:00"/>
        <d v="2024-02-09T00:00:00"/>
        <d v="2024-02-12T00:00:00"/>
        <d v="2024-02-13T00:00:00"/>
        <d v="2024-02-14T00:00:00"/>
        <d v="2024-02-15T00:00:00"/>
        <d v="2024-02-16T00:00:00"/>
        <d v="2024-02-19T00:00:00"/>
        <d v="2024-02-20T00:00:00"/>
        <d v="2024-02-21T00:00:00"/>
        <d v="2024-02-22T00:00:00"/>
        <d v="2024-02-23T00:00:00"/>
        <d v="2024-02-26T00:00:00"/>
        <d v="2024-02-27T00:00:00"/>
        <d v="2024-02-28T00:00:00"/>
        <d v="2024-02-29T00:00:00"/>
        <d v="2024-03-01T00:00:00"/>
        <d v="2024-03-04T00:00:00"/>
        <d v="2024-03-05T00:00:00"/>
        <d v="2024-03-06T00:00:00"/>
        <d v="2024-03-07T00:00:00"/>
        <d v="2024-03-08T00:00:00"/>
        <d v="2024-03-11T00:00:00"/>
        <d v="2024-03-12T00:00:00"/>
        <d v="2024-03-13T00:00:00"/>
        <d v="2024-03-14T00:00:00"/>
        <d v="2024-03-15T00:00:00"/>
        <d v="2024-03-18T00:00:00"/>
        <d v="2024-03-19T00:00:00"/>
        <d v="2024-03-20T00:00:00"/>
        <d v="2024-03-21T00:00:00"/>
        <d v="2024-03-22T00:00:00"/>
        <d v="2024-03-25T00:00:00"/>
        <d v="2024-03-26T00:00:00"/>
        <d v="2024-03-27T00:00:00"/>
        <d v="2024-03-28T00:00:00"/>
        <d v="2024-03-29T00:00:00"/>
        <d v="2024-04-01T00:00:00"/>
        <d v="2024-04-02T00:00:00"/>
        <d v="2024-04-03T00:00:00"/>
        <d v="2024-04-04T00:00:00"/>
        <d v="2024-04-05T00:00:00"/>
        <d v="2024-04-08T00:00:00"/>
        <d v="2024-04-09T00:00:00"/>
        <d v="2024-04-10T00:00:00"/>
        <d v="2024-04-11T00:00:00"/>
        <d v="2024-04-12T00:00:00"/>
        <d v="2024-04-15T00:00:00"/>
        <d v="2024-04-16T00:00:00"/>
        <d v="2024-04-17T00:00:00"/>
        <d v="2024-04-18T00:00:00"/>
        <d v="2024-04-19T00:00:00"/>
        <d v="2024-04-22T00:00:00"/>
        <d v="2024-04-23T00:00:00"/>
        <d v="2024-04-24T00:00:00"/>
        <d v="2024-04-25T00:00:00"/>
        <d v="2024-04-26T00:00:00"/>
        <d v="2024-04-29T00:00:00"/>
        <d v="2024-04-30T00:00:00"/>
        <d v="2024-05-01T00:00:00"/>
        <d v="2024-05-02T00:00:00"/>
        <d v="2024-05-03T00:00:00"/>
        <d v="2024-05-06T00:00:00"/>
        <d v="2024-05-07T00:00:00"/>
        <d v="2024-05-08T00:00:00"/>
        <d v="2024-05-09T00:00:00"/>
        <d v="2024-05-10T00:00:00"/>
        <d v="2024-05-13T00:00:00"/>
        <d v="2024-05-14T00:00:00"/>
        <d v="2024-05-15T00:00:00"/>
        <d v="2024-05-16T00:00:00"/>
        <d v="2024-05-17T00:00:00"/>
        <d v="2024-05-20T00:00:00"/>
        <d v="2024-05-21T00:00:00"/>
        <d v="2024-05-22T00:00:00"/>
        <d v="2024-05-23T00:00:00"/>
        <d v="2024-05-24T00:00:00"/>
        <d v="2024-05-27T00:00:00"/>
        <d v="2024-05-28T00:00:00"/>
        <d v="2024-05-29T00:00:00"/>
        <d v="2024-05-30T00:00:00"/>
        <d v="2024-05-31T00:00:00"/>
        <d v="2024-06-03T00:00:00"/>
        <d v="2024-06-04T00:00:00"/>
        <d v="2024-06-05T00:00:00"/>
        <d v="2024-06-06T00:00:00"/>
        <d v="2024-06-07T00:00:00"/>
        <d v="2024-06-10T00:00:00"/>
        <d v="2024-06-11T00:00:00"/>
        <d v="2024-06-12T00:00:00"/>
        <d v="2024-06-13T00:00:00"/>
        <d v="2024-06-14T00:00:00"/>
        <d v="2024-06-17T00:00:00"/>
        <d v="2024-06-18T00:00:00"/>
        <d v="2024-06-19T00:00:00"/>
        <d v="2024-06-20T00:00:00"/>
        <d v="2024-06-21T00:00:00"/>
        <d v="2024-06-24T00:00:00"/>
        <d v="2024-06-25T00:00:00"/>
        <d v="2024-06-26T00:00:00"/>
        <d v="2024-06-27T00:00:00"/>
        <d v="2024-06-28T00:00:00"/>
        <d v="2024-07-01T00:00:00"/>
        <d v="2024-07-02T00:00:00"/>
        <d v="2024-07-03T00:00:00"/>
        <d v="2024-07-04T00:00:00"/>
        <d v="2024-07-05T00:00:00"/>
        <d v="2024-07-08T00:00:00"/>
        <d v="2024-07-09T00:00:00"/>
        <d v="2024-07-10T00:00:00"/>
        <d v="2024-07-11T00:00:00"/>
        <d v="2024-07-12T00:00:00"/>
        <d v="2024-07-15T00:00:00"/>
        <d v="2024-07-16T00:00:00"/>
        <d v="2024-07-17T00:00:00"/>
        <d v="2024-07-18T00:00:00"/>
        <d v="2024-07-19T00:00:00"/>
        <d v="2024-07-22T00:00:00"/>
        <d v="2024-07-23T00:00:00"/>
        <d v="2024-07-24T00:00:00"/>
        <d v="2024-07-25T00:00:00"/>
        <d v="2024-07-26T00:00:00"/>
        <d v="2024-07-29T00:00:00"/>
        <d v="2024-07-30T00:00:00"/>
        <d v="2024-07-31T00:00:00"/>
        <d v="2024-08-01T00:00:00"/>
        <d v="2024-08-02T00:00:00"/>
        <d v="2024-08-05T00:00:00"/>
        <d v="2024-08-06T00:00:00"/>
        <d v="2024-08-07T00:00:00"/>
        <d v="2024-08-08T00:00:00"/>
        <d v="2024-08-09T00:00:00"/>
        <d v="2024-08-12T00:00:00"/>
        <d v="2024-08-13T00:00:00"/>
        <d v="2024-08-14T00:00:00"/>
        <d v="2024-08-15T00:00:00"/>
        <d v="2024-08-16T00:00:00"/>
        <d v="2024-08-19T00:00:00"/>
        <d v="2024-08-20T00:00:00"/>
        <d v="2024-08-21T00:00:00"/>
        <d v="2024-08-22T00:00:00"/>
        <d v="2024-08-23T00:00:00"/>
        <d v="2024-08-26T00:00:00"/>
        <d v="2024-08-27T00:00:00"/>
        <d v="2024-08-28T00:00:00"/>
        <d v="2024-08-29T00:00:00"/>
        <d v="2024-08-30T00:00:00"/>
        <d v="2024-09-02T00:00:00"/>
        <d v="2024-09-03T00:00:00"/>
        <d v="2024-09-04T00:00:00"/>
        <d v="2024-09-05T00:00:00"/>
        <d v="2024-09-06T00:00:00"/>
        <d v="2024-09-09T00:00:00"/>
        <d v="2024-09-10T00:00:00"/>
        <d v="2024-09-11T00:00:00"/>
        <d v="2024-09-12T00:00:00"/>
        <d v="2024-09-13T00:00:00"/>
        <d v="2024-09-16T00:00:00"/>
        <d v="2024-09-17T00:00:00"/>
        <d v="2024-09-18T00:00:00"/>
        <d v="2024-09-19T00:00:00"/>
        <d v="2024-09-20T00:00:00"/>
        <d v="2024-09-23T00:00:00"/>
        <d v="2024-09-24T00:00:00"/>
        <d v="2024-09-25T00:00:00"/>
        <d v="2024-09-26T00:00:00"/>
        <d v="2024-09-27T00:00:00"/>
        <d v="2024-09-30T00:00:00"/>
        <d v="2024-10-01T00:00:00"/>
        <d v="2024-10-02T00:00:00"/>
        <d v="2024-10-03T00:00:00"/>
        <d v="2024-10-04T00:00:00"/>
        <d v="2024-10-07T00:00:00"/>
        <d v="2024-10-08T00:00:00"/>
        <d v="2024-10-09T00:00:00"/>
        <d v="2024-10-10T00:00:00"/>
      </sharedItems>
    </cacheField>
  </cacheFields>
  <extLst>
    <ext xmlns:x14="http://schemas.microsoft.com/office/spreadsheetml/2009/9/main" uri="{725AE2AE-9491-48be-B2B4-4EB974FC3084}">
      <x14:pivotCacheDefinition pivotCacheId="12324859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4">
  <r>
    <x v="0"/>
    <n v="1"/>
    <s v="Europe"/>
    <s v="3 Series"/>
    <n v="7822"/>
    <n v="47482"/>
    <n v="371404204"/>
    <n v="1.0999999999999999E-2"/>
    <n v="19.12"/>
    <n v="3.5"/>
    <n v="1"/>
    <x v="0"/>
  </r>
  <r>
    <x v="0"/>
    <n v="1"/>
    <s v="Europe"/>
    <s v="5 Series"/>
    <n v="10280"/>
    <n v="61685"/>
    <n v="634121800"/>
    <n v="1.9E-2"/>
    <n v="19.12"/>
    <n v="3.5"/>
    <n v="1"/>
    <x v="1"/>
  </r>
  <r>
    <x v="0"/>
    <n v="1"/>
    <s v="Europe"/>
    <s v="X3"/>
    <n v="3105"/>
    <n v="58433"/>
    <n v="181434465"/>
    <n v="2.1999999999999999E-2"/>
    <n v="19.12"/>
    <n v="3.5"/>
    <n v="1"/>
    <x v="2"/>
  </r>
  <r>
    <x v="0"/>
    <n v="1"/>
    <s v="Europe"/>
    <s v="X5"/>
    <n v="7420"/>
    <n v="67955"/>
    <n v="504226100"/>
    <n v="2.1000000000000001E-2"/>
    <n v="19.12"/>
    <n v="3.5"/>
    <n v="1"/>
    <x v="3"/>
  </r>
  <r>
    <x v="0"/>
    <n v="1"/>
    <s v="Europe"/>
    <s v="X7"/>
    <n v="8474"/>
    <n v="92300"/>
    <n v="782150200"/>
    <n v="3.5000000000000003E-2"/>
    <n v="19.12"/>
    <n v="3.5"/>
    <n v="1"/>
    <x v="4"/>
  </r>
  <r>
    <x v="0"/>
    <n v="1"/>
    <s v="Europe"/>
    <s v="i4"/>
    <n v="10607"/>
    <n v="64082"/>
    <n v="679717774"/>
    <n v="3.5000000000000003E-2"/>
    <n v="19.12"/>
    <n v="3.5"/>
    <n v="1"/>
    <x v="5"/>
  </r>
  <r>
    <x v="0"/>
    <n v="1"/>
    <s v="Europe"/>
    <s v="iX"/>
    <n v="4805"/>
    <n v="73975"/>
    <n v="355449875"/>
    <n v="1.6E-2"/>
    <n v="19.12"/>
    <n v="3.5"/>
    <n v="1"/>
    <x v="6"/>
  </r>
  <r>
    <x v="0"/>
    <n v="1"/>
    <s v="Europe"/>
    <s v="MINI"/>
    <n v="2554"/>
    <n v="43005"/>
    <n v="109834770"/>
    <n v="1.2999999999999999E-2"/>
    <n v="19.12"/>
    <n v="3.5"/>
    <n v="1"/>
    <x v="7"/>
  </r>
  <r>
    <x v="0"/>
    <n v="1"/>
    <s v="China"/>
    <s v="3 Series"/>
    <n v="3826"/>
    <n v="48068"/>
    <n v="183908168"/>
    <n v="2.1000000000000001E-2"/>
    <n v="17.600000000000001"/>
    <n v="2.37"/>
    <n v="1.02"/>
    <x v="8"/>
  </r>
  <r>
    <x v="0"/>
    <n v="1"/>
    <s v="China"/>
    <s v="5 Series"/>
    <n v="7498"/>
    <n v="62435"/>
    <n v="468137630"/>
    <n v="1.4999999999999999E-2"/>
    <n v="17.600000000000001"/>
    <n v="2.37"/>
    <n v="1.02"/>
    <x v="9"/>
  </r>
  <r>
    <x v="0"/>
    <n v="1"/>
    <s v="China"/>
    <s v="X3"/>
    <n v="10727"/>
    <n v="57363"/>
    <n v="615332901"/>
    <n v="1.4E-2"/>
    <n v="17.600000000000001"/>
    <n v="2.37"/>
    <n v="1.02"/>
    <x v="10"/>
  </r>
  <r>
    <x v="0"/>
    <n v="1"/>
    <s v="China"/>
    <s v="X5"/>
    <n v="8298"/>
    <n v="68390"/>
    <n v="567500220"/>
    <n v="1.7000000000000001E-2"/>
    <n v="17.600000000000001"/>
    <n v="2.37"/>
    <n v="1.02"/>
    <x v="11"/>
  </r>
  <r>
    <x v="0"/>
    <n v="1"/>
    <s v="China"/>
    <s v="X7"/>
    <n v="9119"/>
    <n v="90034"/>
    <n v="821020046"/>
    <n v="0.02"/>
    <n v="17.600000000000001"/>
    <n v="2.37"/>
    <n v="1.02"/>
    <x v="12"/>
  </r>
  <r>
    <x v="0"/>
    <n v="1"/>
    <s v="China"/>
    <s v="i4"/>
    <n v="5369"/>
    <n v="64955"/>
    <n v="348743395"/>
    <n v="8.9999999999999993E-3"/>
    <n v="17.600000000000001"/>
    <n v="2.37"/>
    <n v="1.02"/>
    <x v="13"/>
  </r>
  <r>
    <x v="0"/>
    <n v="1"/>
    <s v="China"/>
    <s v="iX"/>
    <n v="3880"/>
    <n v="76461"/>
    <n v="296668680"/>
    <n v="7.0000000000000001E-3"/>
    <n v="17.600000000000001"/>
    <n v="2.37"/>
    <n v="1.02"/>
    <x v="14"/>
  </r>
  <r>
    <x v="0"/>
    <n v="1"/>
    <s v="China"/>
    <s v="MINI"/>
    <n v="6025"/>
    <n v="43893"/>
    <n v="264455325"/>
    <n v="3.1E-2"/>
    <n v="17.600000000000001"/>
    <n v="2.37"/>
    <n v="1.02"/>
    <x v="15"/>
  </r>
  <r>
    <x v="0"/>
    <n v="1"/>
    <s v="USA"/>
    <s v="3 Series"/>
    <n v="9622"/>
    <n v="46337"/>
    <n v="445854614"/>
    <n v="0.01"/>
    <n v="20.49"/>
    <n v="0.82"/>
    <n v="0.97"/>
    <x v="16"/>
  </r>
  <r>
    <x v="0"/>
    <n v="1"/>
    <s v="USA"/>
    <s v="5 Series"/>
    <n v="3209"/>
    <n v="61076"/>
    <n v="195992884"/>
    <n v="4.0000000000000001E-3"/>
    <n v="20.49"/>
    <n v="0.82"/>
    <n v="0.97"/>
    <x v="17"/>
  </r>
  <r>
    <x v="0"/>
    <n v="1"/>
    <s v="USA"/>
    <s v="X3"/>
    <n v="7017"/>
    <n v="56379"/>
    <n v="395611443"/>
    <n v="7.0000000000000001E-3"/>
    <n v="20.49"/>
    <n v="0.82"/>
    <n v="0.97"/>
    <x v="18"/>
  </r>
  <r>
    <x v="0"/>
    <n v="1"/>
    <s v="USA"/>
    <s v="X5"/>
    <n v="10624"/>
    <n v="70112"/>
    <n v="744869888"/>
    <n v="1.0999999999999999E-2"/>
    <n v="20.49"/>
    <n v="0.82"/>
    <n v="0.97"/>
    <x v="19"/>
  </r>
  <r>
    <x v="0"/>
    <n v="1"/>
    <s v="USA"/>
    <s v="X7"/>
    <n v="7387"/>
    <n v="91698"/>
    <n v="677373126"/>
    <n v="2.5999999999999999E-2"/>
    <n v="20.49"/>
    <n v="0.82"/>
    <n v="0.97"/>
    <x v="20"/>
  </r>
  <r>
    <x v="0"/>
    <n v="1"/>
    <s v="USA"/>
    <s v="i4"/>
    <n v="7972"/>
    <n v="66561"/>
    <n v="530624292"/>
    <n v="2.9000000000000001E-2"/>
    <n v="20.49"/>
    <n v="0.82"/>
    <n v="0.97"/>
    <x v="21"/>
  </r>
  <r>
    <x v="0"/>
    <n v="1"/>
    <s v="USA"/>
    <s v="iX"/>
    <n v="8249"/>
    <n v="73502"/>
    <n v="606317998"/>
    <n v="1.0999999999999999E-2"/>
    <n v="20.49"/>
    <n v="0.82"/>
    <n v="0.97"/>
    <x v="22"/>
  </r>
  <r>
    <x v="0"/>
    <n v="1"/>
    <s v="USA"/>
    <s v="MINI"/>
    <n v="4706"/>
    <n v="43645"/>
    <n v="205393370"/>
    <n v="1.9E-2"/>
    <n v="20.49"/>
    <n v="0.82"/>
    <n v="0.97"/>
    <x v="23"/>
  </r>
  <r>
    <x v="0"/>
    <n v="1"/>
    <s v="RestOfWorld"/>
    <s v="3 Series"/>
    <n v="10121"/>
    <n v="47485"/>
    <n v="480595685"/>
    <n v="0"/>
    <n v="6.28"/>
    <n v="4.18"/>
    <n v="0.97"/>
    <x v="24"/>
  </r>
  <r>
    <x v="0"/>
    <n v="1"/>
    <s v="RestOfWorld"/>
    <s v="5 Series"/>
    <n v="6023"/>
    <n v="61028"/>
    <n v="367571644"/>
    <n v="3.1E-2"/>
    <n v="6.28"/>
    <n v="4.18"/>
    <n v="0.97"/>
    <x v="25"/>
  </r>
  <r>
    <x v="0"/>
    <n v="1"/>
    <s v="RestOfWorld"/>
    <s v="X3"/>
    <n v="9390"/>
    <n v="58842"/>
    <n v="552526380"/>
    <n v="1.2E-2"/>
    <n v="6.28"/>
    <n v="4.18"/>
    <n v="0.97"/>
    <x v="26"/>
  </r>
  <r>
    <x v="0"/>
    <n v="1"/>
    <s v="RestOfWorld"/>
    <s v="X5"/>
    <n v="6638"/>
    <n v="67206"/>
    <n v="446113428"/>
    <n v="1.2E-2"/>
    <n v="6.28"/>
    <n v="4.18"/>
    <n v="0.97"/>
    <x v="27"/>
  </r>
  <r>
    <x v="0"/>
    <n v="1"/>
    <s v="RestOfWorld"/>
    <s v="X7"/>
    <n v="7252"/>
    <n v="93762"/>
    <n v="679962024"/>
    <n v="1.7999999999999999E-2"/>
    <n v="6.28"/>
    <n v="4.18"/>
    <n v="0.97"/>
    <x v="28"/>
  </r>
  <r>
    <x v="0"/>
    <n v="1"/>
    <s v="RestOfWorld"/>
    <s v="i4"/>
    <n v="3194"/>
    <n v="65790"/>
    <n v="210133260"/>
    <n v="0.01"/>
    <n v="6.28"/>
    <n v="4.18"/>
    <n v="0.97"/>
    <x v="29"/>
  </r>
  <r>
    <x v="0"/>
    <n v="1"/>
    <s v="RestOfWorld"/>
    <s v="iX"/>
    <n v="9412"/>
    <n v="74757"/>
    <n v="703612884"/>
    <n v="2.1000000000000001E-2"/>
    <n v="6.28"/>
    <n v="4.18"/>
    <n v="0.97"/>
    <x v="30"/>
  </r>
  <r>
    <x v="0"/>
    <n v="1"/>
    <s v="RestOfWorld"/>
    <s v="MINI"/>
    <n v="9570"/>
    <n v="42278"/>
    <n v="404600460"/>
    <n v="0"/>
    <n v="6.28"/>
    <n v="4.18"/>
    <n v="0.97"/>
    <x v="31"/>
  </r>
  <r>
    <x v="0"/>
    <n v="2"/>
    <s v="Europe"/>
    <s v="3 Series"/>
    <n v="5374"/>
    <n v="47597"/>
    <n v="255786278"/>
    <n v="2.3E-2"/>
    <n v="15.6"/>
    <n v="4.4800000000000004"/>
    <n v="0.98"/>
    <x v="32"/>
  </r>
  <r>
    <x v="0"/>
    <n v="2"/>
    <s v="Europe"/>
    <s v="5 Series"/>
    <n v="4933"/>
    <n v="60795"/>
    <n v="299901735"/>
    <n v="2.9000000000000001E-2"/>
    <n v="15.6"/>
    <n v="4.4800000000000004"/>
    <n v="0.98"/>
    <x v="33"/>
  </r>
  <r>
    <x v="0"/>
    <n v="2"/>
    <s v="Europe"/>
    <s v="X3"/>
    <n v="5820"/>
    <n v="57663"/>
    <n v="335598660"/>
    <n v="0.03"/>
    <n v="15.6"/>
    <n v="4.4800000000000004"/>
    <n v="0.98"/>
    <x v="34"/>
  </r>
  <r>
    <x v="0"/>
    <n v="2"/>
    <s v="Europe"/>
    <s v="X5"/>
    <n v="7687"/>
    <n v="70302"/>
    <n v="540411474"/>
    <n v="1.7999999999999999E-2"/>
    <n v="15.6"/>
    <n v="4.4800000000000004"/>
    <n v="0.98"/>
    <x v="35"/>
  </r>
  <r>
    <x v="0"/>
    <n v="2"/>
    <s v="Europe"/>
    <s v="X7"/>
    <n v="9397"/>
    <n v="92680"/>
    <n v="870913960"/>
    <n v="2.8000000000000001E-2"/>
    <n v="15.6"/>
    <n v="4.4800000000000004"/>
    <n v="0.98"/>
    <x v="36"/>
  </r>
  <r>
    <x v="0"/>
    <n v="2"/>
    <s v="Europe"/>
    <s v="i4"/>
    <n v="7945"/>
    <n v="64282"/>
    <n v="510720490"/>
    <n v="7.0000000000000001E-3"/>
    <n v="15.6"/>
    <n v="4.4800000000000004"/>
    <n v="0.98"/>
    <x v="37"/>
  </r>
  <r>
    <x v="0"/>
    <n v="2"/>
    <s v="Europe"/>
    <s v="iX"/>
    <n v="9524"/>
    <n v="73317"/>
    <n v="698271108"/>
    <n v="2.1000000000000001E-2"/>
    <n v="15.6"/>
    <n v="4.4800000000000004"/>
    <n v="0.98"/>
    <x v="38"/>
  </r>
  <r>
    <x v="0"/>
    <n v="2"/>
    <s v="Europe"/>
    <s v="MINI"/>
    <n v="5935"/>
    <n v="43296"/>
    <n v="256961760"/>
    <n v="8.0000000000000002E-3"/>
    <n v="15.6"/>
    <n v="4.4800000000000004"/>
    <n v="0.98"/>
    <x v="39"/>
  </r>
  <r>
    <x v="0"/>
    <n v="2"/>
    <s v="China"/>
    <s v="3 Series"/>
    <n v="3795"/>
    <n v="47520"/>
    <n v="180338400"/>
    <n v="1.0999999999999999E-2"/>
    <n v="20.6"/>
    <n v="2.66"/>
    <n v="0.98"/>
    <x v="40"/>
  </r>
  <r>
    <x v="0"/>
    <n v="2"/>
    <s v="China"/>
    <s v="5 Series"/>
    <n v="8630"/>
    <n v="60563"/>
    <n v="522658690"/>
    <n v="3.4000000000000002E-2"/>
    <n v="20.6"/>
    <n v="2.66"/>
    <n v="0.98"/>
    <x v="41"/>
  </r>
  <r>
    <x v="0"/>
    <n v="2"/>
    <s v="China"/>
    <s v="X3"/>
    <n v="3601"/>
    <n v="59184"/>
    <n v="213121584"/>
    <n v="0.02"/>
    <n v="20.6"/>
    <n v="2.66"/>
    <n v="0.98"/>
    <x v="42"/>
  </r>
  <r>
    <x v="0"/>
    <n v="2"/>
    <s v="China"/>
    <s v="X5"/>
    <n v="3929"/>
    <n v="70696"/>
    <n v="277764584"/>
    <n v="3.0000000000000001E-3"/>
    <n v="20.6"/>
    <n v="2.66"/>
    <n v="0.98"/>
    <x v="43"/>
  </r>
  <r>
    <x v="0"/>
    <n v="2"/>
    <s v="China"/>
    <s v="X7"/>
    <n v="3038"/>
    <n v="91589"/>
    <n v="278247382"/>
    <n v="2.1000000000000001E-2"/>
    <n v="20.6"/>
    <n v="2.66"/>
    <n v="0.98"/>
    <x v="44"/>
  </r>
  <r>
    <x v="0"/>
    <n v="2"/>
    <s v="China"/>
    <s v="i4"/>
    <n v="3186"/>
    <n v="64759"/>
    <n v="206322174"/>
    <n v="4.4999999999999998E-2"/>
    <n v="20.6"/>
    <n v="2.66"/>
    <n v="0.98"/>
    <x v="45"/>
  </r>
  <r>
    <x v="0"/>
    <n v="2"/>
    <s v="China"/>
    <s v="iX"/>
    <n v="9397"/>
    <n v="74076"/>
    <n v="696092172"/>
    <n v="3.4000000000000002E-2"/>
    <n v="20.6"/>
    <n v="2.66"/>
    <n v="0.98"/>
    <x v="46"/>
  </r>
  <r>
    <x v="0"/>
    <n v="2"/>
    <s v="China"/>
    <s v="MINI"/>
    <n v="3996"/>
    <n v="42777"/>
    <n v="170936892"/>
    <n v="3.1E-2"/>
    <n v="20.6"/>
    <n v="2.66"/>
    <n v="0.98"/>
    <x v="47"/>
  </r>
  <r>
    <x v="0"/>
    <n v="2"/>
    <s v="USA"/>
    <s v="3 Series"/>
    <n v="10885"/>
    <n v="49681"/>
    <n v="540777685"/>
    <n v="1.9E-2"/>
    <n v="15.66"/>
    <n v="4.1399999999999997"/>
    <n v="1.02"/>
    <x v="48"/>
  </r>
  <r>
    <x v="0"/>
    <n v="2"/>
    <s v="USA"/>
    <s v="5 Series"/>
    <n v="2562"/>
    <n v="63029"/>
    <n v="161480298"/>
    <n v="3.4000000000000002E-2"/>
    <n v="15.66"/>
    <n v="4.1399999999999997"/>
    <n v="1.02"/>
    <x v="49"/>
  </r>
  <r>
    <x v="0"/>
    <n v="2"/>
    <s v="USA"/>
    <s v="X3"/>
    <n v="4208"/>
    <n v="59272"/>
    <n v="249416576"/>
    <n v="2.5000000000000001E-2"/>
    <n v="15.66"/>
    <n v="4.1399999999999997"/>
    <n v="1.02"/>
    <x v="50"/>
  </r>
  <r>
    <x v="0"/>
    <n v="2"/>
    <s v="USA"/>
    <s v="X5"/>
    <n v="11247"/>
    <n v="67186"/>
    <n v="755640942"/>
    <n v="2.5000000000000001E-2"/>
    <n v="15.66"/>
    <n v="4.1399999999999997"/>
    <n v="1.02"/>
    <x v="51"/>
  </r>
  <r>
    <x v="0"/>
    <n v="2"/>
    <s v="USA"/>
    <s v="X7"/>
    <n v="4760"/>
    <n v="93002"/>
    <n v="442689520"/>
    <n v="2.1000000000000001E-2"/>
    <n v="15.66"/>
    <n v="4.1399999999999997"/>
    <n v="1.02"/>
    <x v="52"/>
  </r>
  <r>
    <x v="0"/>
    <n v="2"/>
    <s v="USA"/>
    <s v="i4"/>
    <n v="8593"/>
    <n v="64369"/>
    <n v="553122817"/>
    <n v="1.4999999999999999E-2"/>
    <n v="15.66"/>
    <n v="4.1399999999999997"/>
    <n v="1.02"/>
    <x v="53"/>
  </r>
  <r>
    <x v="0"/>
    <n v="2"/>
    <s v="USA"/>
    <s v="iX"/>
    <n v="4261"/>
    <n v="74734"/>
    <n v="318441574"/>
    <n v="1.4999999999999999E-2"/>
    <n v="15.66"/>
    <n v="4.1399999999999997"/>
    <n v="1.02"/>
    <x v="54"/>
  </r>
  <r>
    <x v="0"/>
    <n v="2"/>
    <s v="USA"/>
    <s v="MINI"/>
    <n v="4125"/>
    <n v="40488"/>
    <n v="167013000"/>
    <n v="3.1E-2"/>
    <n v="15.66"/>
    <n v="4.1399999999999997"/>
    <n v="1.02"/>
    <x v="55"/>
  </r>
  <r>
    <x v="0"/>
    <n v="2"/>
    <s v="RestOfWorld"/>
    <s v="3 Series"/>
    <n v="6874"/>
    <n v="47969"/>
    <n v="329738906"/>
    <n v="3.2000000000000001E-2"/>
    <n v="6.87"/>
    <n v="2.08"/>
    <n v="1.05"/>
    <x v="56"/>
  </r>
  <r>
    <x v="0"/>
    <n v="2"/>
    <s v="RestOfWorld"/>
    <s v="5 Series"/>
    <n v="7632"/>
    <n v="63369"/>
    <n v="483632208"/>
    <n v="2.9000000000000001E-2"/>
    <n v="6.87"/>
    <n v="2.08"/>
    <n v="1.05"/>
    <x v="57"/>
  </r>
  <r>
    <x v="0"/>
    <n v="2"/>
    <s v="RestOfWorld"/>
    <s v="X3"/>
    <n v="2623"/>
    <n v="57016"/>
    <n v="149552968"/>
    <n v="0.03"/>
    <n v="6.87"/>
    <n v="2.08"/>
    <n v="1.05"/>
    <x v="58"/>
  </r>
  <r>
    <x v="0"/>
    <n v="2"/>
    <s v="RestOfWorld"/>
    <s v="X5"/>
    <n v="4321"/>
    <n v="69944"/>
    <n v="302228024"/>
    <n v="2.5000000000000001E-2"/>
    <n v="6.87"/>
    <n v="2.08"/>
    <n v="1.05"/>
    <x v="59"/>
  </r>
  <r>
    <x v="0"/>
    <n v="2"/>
    <s v="RestOfWorld"/>
    <s v="X7"/>
    <n v="7526"/>
    <n v="91183"/>
    <n v="686243258"/>
    <n v="2.1000000000000001E-2"/>
    <n v="6.87"/>
    <n v="2.08"/>
    <n v="1.05"/>
    <x v="60"/>
  </r>
  <r>
    <x v="0"/>
    <n v="2"/>
    <s v="RestOfWorld"/>
    <s v="i4"/>
    <n v="9175"/>
    <n v="65056"/>
    <n v="596888800"/>
    <n v="2.5000000000000001E-2"/>
    <n v="6.87"/>
    <n v="2.08"/>
    <n v="1.05"/>
    <x v="61"/>
  </r>
  <r>
    <x v="0"/>
    <n v="2"/>
    <s v="RestOfWorld"/>
    <s v="iX"/>
    <n v="9405"/>
    <n v="74154"/>
    <n v="697418370"/>
    <n v="3.3000000000000002E-2"/>
    <n v="6.87"/>
    <n v="2.08"/>
    <n v="1.05"/>
    <x v="62"/>
  </r>
  <r>
    <x v="0"/>
    <n v="2"/>
    <s v="RestOfWorld"/>
    <s v="MINI"/>
    <n v="6649"/>
    <n v="42199"/>
    <n v="280581151"/>
    <n v="1.0999999999999999E-2"/>
    <n v="6.87"/>
    <n v="2.08"/>
    <n v="1.05"/>
    <x v="63"/>
  </r>
  <r>
    <x v="0"/>
    <n v="3"/>
    <s v="Europe"/>
    <s v="3 Series"/>
    <n v="4562"/>
    <n v="47884"/>
    <n v="218446808"/>
    <n v="2.3E-2"/>
    <n v="19.96"/>
    <n v="3.92"/>
    <n v="0.99"/>
    <x v="64"/>
  </r>
  <r>
    <x v="0"/>
    <n v="3"/>
    <s v="Europe"/>
    <s v="5 Series"/>
    <n v="6007"/>
    <n v="61919"/>
    <n v="371947433"/>
    <n v="1.2999999999999999E-2"/>
    <n v="19.96"/>
    <n v="3.92"/>
    <n v="0.99"/>
    <x v="65"/>
  </r>
  <r>
    <x v="0"/>
    <n v="3"/>
    <s v="Europe"/>
    <s v="X3"/>
    <n v="8220"/>
    <n v="59791"/>
    <n v="491482020"/>
    <n v="3.9E-2"/>
    <n v="19.96"/>
    <n v="3.92"/>
    <n v="0.99"/>
    <x v="66"/>
  </r>
  <r>
    <x v="0"/>
    <n v="3"/>
    <s v="Europe"/>
    <s v="X5"/>
    <n v="3801"/>
    <n v="68704"/>
    <n v="261143904"/>
    <n v="2.5000000000000001E-2"/>
    <n v="19.96"/>
    <n v="3.92"/>
    <n v="0.99"/>
    <x v="67"/>
  </r>
  <r>
    <x v="0"/>
    <n v="3"/>
    <s v="Europe"/>
    <s v="X7"/>
    <n v="11937"/>
    <n v="90815"/>
    <n v="1084058655"/>
    <n v="0.02"/>
    <n v="19.96"/>
    <n v="3.92"/>
    <n v="0.99"/>
    <x v="68"/>
  </r>
  <r>
    <x v="0"/>
    <n v="3"/>
    <s v="Europe"/>
    <s v="i4"/>
    <n v="7135"/>
    <n v="64527"/>
    <n v="460400145"/>
    <n v="1.6E-2"/>
    <n v="19.96"/>
    <n v="3.92"/>
    <n v="0.99"/>
    <x v="69"/>
  </r>
  <r>
    <x v="0"/>
    <n v="3"/>
    <s v="Europe"/>
    <s v="iX"/>
    <n v="9366"/>
    <n v="73639"/>
    <n v="689702874"/>
    <n v="2.9000000000000001E-2"/>
    <n v="19.96"/>
    <n v="3.92"/>
    <n v="0.99"/>
    <x v="70"/>
  </r>
  <r>
    <x v="0"/>
    <n v="3"/>
    <s v="Europe"/>
    <s v="MINI"/>
    <n v="7760"/>
    <n v="40954"/>
    <n v="317803040"/>
    <n v="0.03"/>
    <n v="19.96"/>
    <n v="3.92"/>
    <n v="0.99"/>
    <x v="71"/>
  </r>
  <r>
    <x v="0"/>
    <n v="3"/>
    <s v="China"/>
    <s v="3 Series"/>
    <n v="6529"/>
    <n v="48074"/>
    <n v="313875146"/>
    <n v="2.9000000000000001E-2"/>
    <n v="15.71"/>
    <n v="1.63"/>
    <n v="0.98"/>
    <x v="72"/>
  </r>
  <r>
    <x v="0"/>
    <n v="3"/>
    <s v="China"/>
    <s v="5 Series"/>
    <n v="2997"/>
    <n v="63348"/>
    <n v="189853956"/>
    <n v="0.02"/>
    <n v="15.71"/>
    <n v="1.63"/>
    <n v="0.98"/>
    <x v="73"/>
  </r>
  <r>
    <x v="0"/>
    <n v="3"/>
    <s v="China"/>
    <s v="X3"/>
    <n v="8132"/>
    <n v="57504"/>
    <n v="467622528"/>
    <n v="3.4000000000000002E-2"/>
    <n v="15.71"/>
    <n v="1.63"/>
    <n v="0.98"/>
    <x v="74"/>
  </r>
  <r>
    <x v="0"/>
    <n v="3"/>
    <s v="China"/>
    <s v="X5"/>
    <n v="11545"/>
    <n v="67815"/>
    <n v="782924175"/>
    <n v="3.2000000000000001E-2"/>
    <n v="15.71"/>
    <n v="1.63"/>
    <n v="0.98"/>
    <x v="75"/>
  </r>
  <r>
    <x v="0"/>
    <n v="3"/>
    <s v="China"/>
    <s v="X7"/>
    <n v="11201"/>
    <n v="90016"/>
    <n v="1008269216"/>
    <n v="0.02"/>
    <n v="15.71"/>
    <n v="1.63"/>
    <n v="0.98"/>
    <x v="76"/>
  </r>
  <r>
    <x v="0"/>
    <n v="3"/>
    <s v="China"/>
    <s v="i4"/>
    <n v="10822"/>
    <n v="64243"/>
    <n v="695237746"/>
    <n v="1.9E-2"/>
    <n v="15.71"/>
    <n v="1.63"/>
    <n v="0.98"/>
    <x v="77"/>
  </r>
  <r>
    <x v="0"/>
    <n v="3"/>
    <s v="China"/>
    <s v="iX"/>
    <n v="5175"/>
    <n v="73180"/>
    <n v="378706500"/>
    <n v="1.9E-2"/>
    <n v="15.71"/>
    <n v="1.63"/>
    <n v="0.98"/>
    <x v="78"/>
  </r>
  <r>
    <x v="0"/>
    <n v="3"/>
    <s v="China"/>
    <s v="MINI"/>
    <n v="3416"/>
    <n v="43170"/>
    <n v="147468720"/>
    <n v="2.7E-2"/>
    <n v="15.71"/>
    <n v="1.63"/>
    <n v="0.98"/>
    <x v="79"/>
  </r>
  <r>
    <x v="0"/>
    <n v="3"/>
    <s v="USA"/>
    <s v="3 Series"/>
    <n v="6483"/>
    <n v="47758"/>
    <n v="309615114"/>
    <n v="2.1999999999999999E-2"/>
    <n v="15.88"/>
    <n v="2.0499999999999998"/>
    <n v="0.98"/>
    <x v="80"/>
  </r>
  <r>
    <x v="0"/>
    <n v="3"/>
    <s v="USA"/>
    <s v="5 Series"/>
    <n v="10129"/>
    <n v="60569"/>
    <n v="613503401"/>
    <n v="8.0000000000000002E-3"/>
    <n v="15.88"/>
    <n v="2.0499999999999998"/>
    <n v="0.98"/>
    <x v="81"/>
  </r>
  <r>
    <x v="0"/>
    <n v="3"/>
    <s v="USA"/>
    <s v="X3"/>
    <n v="8736"/>
    <n v="59359"/>
    <n v="518560224"/>
    <n v="1.0999999999999999E-2"/>
    <n v="15.88"/>
    <n v="2.0499999999999998"/>
    <n v="0.98"/>
    <x v="82"/>
  </r>
  <r>
    <x v="0"/>
    <n v="3"/>
    <s v="USA"/>
    <s v="X5"/>
    <n v="7165"/>
    <n v="69901"/>
    <n v="500840665"/>
    <n v="2.1999999999999999E-2"/>
    <n v="15.88"/>
    <n v="2.0499999999999998"/>
    <n v="0.98"/>
    <x v="83"/>
  </r>
  <r>
    <x v="0"/>
    <n v="3"/>
    <s v="USA"/>
    <s v="X7"/>
    <n v="4604"/>
    <n v="91409"/>
    <n v="420847036"/>
    <n v="2.1000000000000001E-2"/>
    <n v="15.88"/>
    <n v="2.0499999999999998"/>
    <n v="0.98"/>
    <x v="84"/>
  </r>
  <r>
    <x v="0"/>
    <n v="3"/>
    <s v="USA"/>
    <s v="i4"/>
    <n v="3612"/>
    <n v="66175"/>
    <n v="239024100"/>
    <n v="8.9999999999999993E-3"/>
    <n v="15.88"/>
    <n v="2.0499999999999998"/>
    <n v="0.98"/>
    <x v="85"/>
  </r>
  <r>
    <x v="0"/>
    <n v="3"/>
    <s v="USA"/>
    <s v="iX"/>
    <n v="11655"/>
    <n v="76110"/>
    <n v="887062050"/>
    <n v="2.4E-2"/>
    <n v="15.88"/>
    <n v="2.0499999999999998"/>
    <n v="0.98"/>
    <x v="86"/>
  </r>
  <r>
    <x v="0"/>
    <n v="3"/>
    <s v="USA"/>
    <s v="MINI"/>
    <n v="8905"/>
    <n v="41705"/>
    <n v="371383025"/>
    <n v="1.2999999999999999E-2"/>
    <n v="15.88"/>
    <n v="2.0499999999999998"/>
    <n v="0.98"/>
    <x v="87"/>
  </r>
  <r>
    <x v="0"/>
    <n v="3"/>
    <s v="RestOfWorld"/>
    <s v="3 Series"/>
    <n v="12337"/>
    <n v="49847"/>
    <n v="614962439"/>
    <n v="8.0000000000000002E-3"/>
    <n v="6.73"/>
    <n v="3.52"/>
    <n v="1.02"/>
    <x v="88"/>
  </r>
  <r>
    <x v="0"/>
    <n v="3"/>
    <s v="RestOfWorld"/>
    <s v="5 Series"/>
    <n v="10070"/>
    <n v="60399"/>
    <n v="608217930"/>
    <n v="2.5000000000000001E-2"/>
    <n v="6.73"/>
    <n v="3.52"/>
    <n v="1.02"/>
    <x v="89"/>
  </r>
  <r>
    <x v="0"/>
    <n v="3"/>
    <s v="RestOfWorld"/>
    <s v="X3"/>
    <n v="12829"/>
    <n v="57982"/>
    <n v="743851078"/>
    <n v="4.0000000000000001E-3"/>
    <n v="6.73"/>
    <n v="3.52"/>
    <n v="1.02"/>
    <x v="90"/>
  </r>
  <r>
    <x v="0"/>
    <n v="3"/>
    <s v="RestOfWorld"/>
    <s v="X5"/>
    <n v="3688"/>
    <n v="67050"/>
    <n v="247280400"/>
    <n v="0.04"/>
    <n v="6.73"/>
    <n v="3.52"/>
    <n v="1.02"/>
    <x v="91"/>
  </r>
  <r>
    <x v="0"/>
    <n v="3"/>
    <s v="RestOfWorld"/>
    <s v="X7"/>
    <n v="6895"/>
    <n v="92361"/>
    <n v="636829095"/>
    <n v="2E-3"/>
    <n v="6.73"/>
    <n v="3.52"/>
    <n v="1.02"/>
    <x v="92"/>
  </r>
  <r>
    <x v="0"/>
    <n v="3"/>
    <s v="RestOfWorld"/>
    <s v="i4"/>
    <n v="11009"/>
    <n v="65352"/>
    <n v="719460168"/>
    <n v="2.4E-2"/>
    <n v="6.73"/>
    <n v="3.52"/>
    <n v="1.02"/>
    <x v="93"/>
  </r>
  <r>
    <x v="0"/>
    <n v="3"/>
    <s v="RestOfWorld"/>
    <s v="iX"/>
    <n v="8004"/>
    <n v="75491"/>
    <n v="604229964"/>
    <n v="1.4999999999999999E-2"/>
    <n v="6.73"/>
    <n v="3.52"/>
    <n v="1.02"/>
    <x v="94"/>
  </r>
  <r>
    <x v="0"/>
    <n v="3"/>
    <s v="RestOfWorld"/>
    <s v="MINI"/>
    <n v="6186"/>
    <n v="41595"/>
    <n v="257306670"/>
    <n v="3.1E-2"/>
    <n v="6.73"/>
    <n v="3.52"/>
    <n v="1.02"/>
    <x v="95"/>
  </r>
  <r>
    <x v="0"/>
    <n v="4"/>
    <s v="Europe"/>
    <s v="3 Series"/>
    <n v="3207"/>
    <n v="48914"/>
    <n v="156867198"/>
    <n v="1.6E-2"/>
    <n v="14.6"/>
    <n v="3.55"/>
    <n v="0.96"/>
    <x v="96"/>
  </r>
  <r>
    <x v="0"/>
    <n v="4"/>
    <s v="Europe"/>
    <s v="5 Series"/>
    <n v="8992"/>
    <n v="62983"/>
    <n v="566343136"/>
    <n v="7.0000000000000001E-3"/>
    <n v="14.6"/>
    <n v="3.55"/>
    <n v="0.96"/>
    <x v="97"/>
  </r>
  <r>
    <x v="0"/>
    <n v="4"/>
    <s v="Europe"/>
    <s v="X3"/>
    <n v="9962"/>
    <n v="57081"/>
    <n v="568640922"/>
    <n v="7.0000000000000001E-3"/>
    <n v="14.6"/>
    <n v="3.55"/>
    <n v="0.96"/>
    <x v="98"/>
  </r>
  <r>
    <x v="0"/>
    <n v="4"/>
    <s v="Europe"/>
    <s v="X5"/>
    <n v="10860"/>
    <n v="70545"/>
    <n v="766118700"/>
    <n v="0"/>
    <n v="14.6"/>
    <n v="3.55"/>
    <n v="0.96"/>
    <x v="99"/>
  </r>
  <r>
    <x v="0"/>
    <n v="4"/>
    <s v="Europe"/>
    <s v="X7"/>
    <n v="10267"/>
    <n v="91931"/>
    <n v="943855577"/>
    <n v="1.9E-2"/>
    <n v="14.6"/>
    <n v="3.55"/>
    <n v="0.96"/>
    <x v="100"/>
  </r>
  <r>
    <x v="0"/>
    <n v="4"/>
    <s v="Europe"/>
    <s v="i4"/>
    <n v="11118"/>
    <n v="64664"/>
    <n v="718934352"/>
    <n v="1.2E-2"/>
    <n v="14.6"/>
    <n v="3.55"/>
    <n v="0.96"/>
    <x v="101"/>
  </r>
  <r>
    <x v="0"/>
    <n v="4"/>
    <s v="Europe"/>
    <s v="iX"/>
    <n v="3401"/>
    <n v="74119"/>
    <n v="252078719"/>
    <n v="1.9E-2"/>
    <n v="14.6"/>
    <n v="3.55"/>
    <n v="0.96"/>
    <x v="102"/>
  </r>
  <r>
    <x v="0"/>
    <n v="4"/>
    <s v="Europe"/>
    <s v="MINI"/>
    <n v="9789"/>
    <n v="41141"/>
    <n v="402729249"/>
    <n v="2.8000000000000001E-2"/>
    <n v="14.6"/>
    <n v="3.55"/>
    <n v="0.96"/>
    <x v="103"/>
  </r>
  <r>
    <x v="0"/>
    <n v="4"/>
    <s v="China"/>
    <s v="3 Series"/>
    <n v="5550"/>
    <n v="46580"/>
    <n v="258519000"/>
    <n v="4.1000000000000002E-2"/>
    <n v="15.96"/>
    <n v="3.95"/>
    <n v="1.04"/>
    <x v="104"/>
  </r>
  <r>
    <x v="0"/>
    <n v="4"/>
    <s v="China"/>
    <s v="5 Series"/>
    <n v="9028"/>
    <n v="62294"/>
    <n v="562390232"/>
    <n v="2.1999999999999999E-2"/>
    <n v="15.96"/>
    <n v="3.95"/>
    <n v="1.04"/>
    <x v="105"/>
  </r>
  <r>
    <x v="0"/>
    <n v="4"/>
    <s v="China"/>
    <s v="X3"/>
    <n v="10098"/>
    <n v="56996"/>
    <n v="575545608"/>
    <n v="1.2999999999999999E-2"/>
    <n v="15.96"/>
    <n v="3.95"/>
    <n v="1.04"/>
    <x v="106"/>
  </r>
  <r>
    <x v="0"/>
    <n v="4"/>
    <s v="China"/>
    <s v="X5"/>
    <n v="9265"/>
    <n v="69744"/>
    <n v="646178160"/>
    <n v="7.0000000000000001E-3"/>
    <n v="15.96"/>
    <n v="3.95"/>
    <n v="1.04"/>
    <x v="107"/>
  </r>
  <r>
    <x v="0"/>
    <n v="4"/>
    <s v="China"/>
    <s v="X7"/>
    <n v="11338"/>
    <n v="91227"/>
    <n v="1034331726"/>
    <n v="2.4E-2"/>
    <n v="15.96"/>
    <n v="3.95"/>
    <n v="1.04"/>
    <x v="108"/>
  </r>
  <r>
    <x v="0"/>
    <n v="4"/>
    <s v="China"/>
    <s v="i4"/>
    <n v="8661"/>
    <n v="65479"/>
    <n v="567113619"/>
    <n v="2.8000000000000001E-2"/>
    <n v="15.96"/>
    <n v="3.95"/>
    <n v="1.04"/>
    <x v="109"/>
  </r>
  <r>
    <x v="0"/>
    <n v="4"/>
    <s v="China"/>
    <s v="iX"/>
    <n v="8534"/>
    <n v="74757"/>
    <n v="637976238"/>
    <n v="7.0000000000000001E-3"/>
    <n v="15.96"/>
    <n v="3.95"/>
    <n v="1.04"/>
    <x v="110"/>
  </r>
  <r>
    <x v="0"/>
    <n v="4"/>
    <s v="China"/>
    <s v="MINI"/>
    <n v="6604"/>
    <n v="42070"/>
    <n v="277830280"/>
    <n v="1.9E-2"/>
    <n v="15.96"/>
    <n v="3.95"/>
    <n v="1.04"/>
    <x v="111"/>
  </r>
  <r>
    <x v="0"/>
    <n v="4"/>
    <s v="USA"/>
    <s v="3 Series"/>
    <n v="4739"/>
    <n v="46515"/>
    <n v="220434585"/>
    <n v="5.1999999999999998E-2"/>
    <n v="14.11"/>
    <n v="2.68"/>
    <n v="1.02"/>
    <x v="112"/>
  </r>
  <r>
    <x v="0"/>
    <n v="4"/>
    <s v="USA"/>
    <s v="5 Series"/>
    <n v="5072"/>
    <n v="60335"/>
    <n v="306019120"/>
    <n v="2.1000000000000001E-2"/>
    <n v="14.11"/>
    <n v="2.68"/>
    <n v="1.02"/>
    <x v="113"/>
  </r>
  <r>
    <x v="0"/>
    <n v="4"/>
    <s v="USA"/>
    <s v="X3"/>
    <n v="7959"/>
    <n v="57931"/>
    <n v="461072829"/>
    <n v="3.2000000000000001E-2"/>
    <n v="14.11"/>
    <n v="2.68"/>
    <n v="1.02"/>
    <x v="114"/>
  </r>
  <r>
    <x v="0"/>
    <n v="4"/>
    <s v="USA"/>
    <s v="X5"/>
    <n v="8866"/>
    <n v="70746"/>
    <n v="627234036"/>
    <n v="2.5000000000000001E-2"/>
    <n v="14.11"/>
    <n v="2.68"/>
    <n v="1.02"/>
    <x v="115"/>
  </r>
  <r>
    <x v="0"/>
    <n v="4"/>
    <s v="USA"/>
    <s v="X7"/>
    <n v="4680"/>
    <n v="93498"/>
    <n v="437570640"/>
    <n v="2.1999999999999999E-2"/>
    <n v="14.11"/>
    <n v="2.68"/>
    <n v="1.02"/>
    <x v="116"/>
  </r>
  <r>
    <x v="0"/>
    <n v="4"/>
    <s v="USA"/>
    <s v="i4"/>
    <n v="7820"/>
    <n v="64291"/>
    <n v="502755620"/>
    <n v="1.7000000000000001E-2"/>
    <n v="14.11"/>
    <n v="2.68"/>
    <n v="1.02"/>
    <x v="117"/>
  </r>
  <r>
    <x v="0"/>
    <n v="4"/>
    <s v="USA"/>
    <s v="iX"/>
    <n v="9976"/>
    <n v="74066"/>
    <n v="738882416"/>
    <n v="2.5000000000000001E-2"/>
    <n v="14.11"/>
    <n v="2.68"/>
    <n v="1.02"/>
    <x v="118"/>
  </r>
  <r>
    <x v="0"/>
    <n v="4"/>
    <s v="USA"/>
    <s v="MINI"/>
    <n v="9711"/>
    <n v="40284"/>
    <n v="391197924"/>
    <n v="3.1E-2"/>
    <n v="14.11"/>
    <n v="2.68"/>
    <n v="1.02"/>
    <x v="119"/>
  </r>
  <r>
    <x v="0"/>
    <n v="4"/>
    <s v="RestOfWorld"/>
    <s v="3 Series"/>
    <n v="2771"/>
    <n v="46825"/>
    <n v="129752075"/>
    <n v="0.02"/>
    <n v="5.64"/>
    <n v="2.5099999999999998"/>
    <n v="1.01"/>
    <x v="120"/>
  </r>
  <r>
    <x v="0"/>
    <n v="4"/>
    <s v="RestOfWorld"/>
    <s v="5 Series"/>
    <n v="9659"/>
    <n v="61649"/>
    <n v="595467691"/>
    <n v="3.0000000000000001E-3"/>
    <n v="5.64"/>
    <n v="2.5099999999999998"/>
    <n v="1.01"/>
    <x v="121"/>
  </r>
  <r>
    <x v="0"/>
    <n v="4"/>
    <s v="RestOfWorld"/>
    <s v="X3"/>
    <n v="2766"/>
    <n v="59068"/>
    <n v="163382088"/>
    <n v="1.9E-2"/>
    <n v="5.64"/>
    <n v="2.5099999999999998"/>
    <n v="1.01"/>
    <x v="122"/>
  </r>
  <r>
    <x v="0"/>
    <n v="4"/>
    <s v="RestOfWorld"/>
    <s v="X5"/>
    <n v="10798"/>
    <n v="70465"/>
    <n v="760881070"/>
    <n v="1.4999999999999999E-2"/>
    <n v="5.64"/>
    <n v="2.5099999999999998"/>
    <n v="1.01"/>
    <x v="123"/>
  </r>
  <r>
    <x v="0"/>
    <n v="4"/>
    <s v="RestOfWorld"/>
    <s v="X7"/>
    <n v="8063"/>
    <n v="93760"/>
    <n v="755986880"/>
    <n v="2.7E-2"/>
    <n v="5.64"/>
    <n v="2.5099999999999998"/>
    <n v="1.01"/>
    <x v="124"/>
  </r>
  <r>
    <x v="0"/>
    <n v="4"/>
    <s v="RestOfWorld"/>
    <s v="i4"/>
    <n v="3440"/>
    <n v="64571"/>
    <n v="222124240"/>
    <n v="2.5999999999999999E-2"/>
    <n v="5.64"/>
    <n v="2.5099999999999998"/>
    <n v="1.01"/>
    <x v="125"/>
  </r>
  <r>
    <x v="0"/>
    <n v="4"/>
    <s v="RestOfWorld"/>
    <s v="iX"/>
    <n v="7194"/>
    <n v="75710"/>
    <n v="544657740"/>
    <n v="2.5000000000000001E-2"/>
    <n v="5.64"/>
    <n v="2.5099999999999998"/>
    <n v="1.01"/>
    <x v="126"/>
  </r>
  <r>
    <x v="0"/>
    <n v="4"/>
    <s v="RestOfWorld"/>
    <s v="MINI"/>
    <n v="9364"/>
    <n v="43807"/>
    <n v="410208748"/>
    <n v="5.0000000000000001E-3"/>
    <n v="5.64"/>
    <n v="2.5099999999999998"/>
    <n v="1.01"/>
    <x v="127"/>
  </r>
  <r>
    <x v="0"/>
    <n v="5"/>
    <s v="Europe"/>
    <s v="3 Series"/>
    <n v="5143"/>
    <n v="47365"/>
    <n v="243598195"/>
    <n v="3.3000000000000002E-2"/>
    <n v="19.260000000000002"/>
    <n v="2.78"/>
    <n v="1.03"/>
    <x v="128"/>
  </r>
  <r>
    <x v="0"/>
    <n v="5"/>
    <s v="Europe"/>
    <s v="5 Series"/>
    <n v="6642"/>
    <n v="60698"/>
    <n v="403156116"/>
    <n v="0.02"/>
    <n v="19.260000000000002"/>
    <n v="2.78"/>
    <n v="1.03"/>
    <x v="129"/>
  </r>
  <r>
    <x v="0"/>
    <n v="5"/>
    <s v="Europe"/>
    <s v="X3"/>
    <n v="9201"/>
    <n v="59455"/>
    <n v="547045455"/>
    <n v="2.3E-2"/>
    <n v="19.260000000000002"/>
    <n v="2.78"/>
    <n v="1.03"/>
    <x v="130"/>
  </r>
  <r>
    <x v="0"/>
    <n v="5"/>
    <s v="Europe"/>
    <s v="X5"/>
    <n v="7073"/>
    <n v="70577"/>
    <n v="499191121"/>
    <n v="1.9E-2"/>
    <n v="19.260000000000002"/>
    <n v="2.78"/>
    <n v="1.03"/>
    <x v="131"/>
  </r>
  <r>
    <x v="0"/>
    <n v="5"/>
    <s v="Europe"/>
    <s v="X7"/>
    <n v="7586"/>
    <n v="91492"/>
    <n v="694058312"/>
    <n v="3.1E-2"/>
    <n v="19.260000000000002"/>
    <n v="2.78"/>
    <n v="1.03"/>
    <x v="132"/>
  </r>
  <r>
    <x v="0"/>
    <n v="5"/>
    <s v="Europe"/>
    <s v="i4"/>
    <n v="9643"/>
    <n v="66636"/>
    <n v="642570948"/>
    <n v="4.1000000000000002E-2"/>
    <n v="19.260000000000002"/>
    <n v="2.78"/>
    <n v="1.03"/>
    <x v="133"/>
  </r>
  <r>
    <x v="0"/>
    <n v="5"/>
    <s v="Europe"/>
    <s v="iX"/>
    <n v="3483"/>
    <n v="76294"/>
    <n v="265732002"/>
    <n v="1.2999999999999999E-2"/>
    <n v="19.260000000000002"/>
    <n v="2.78"/>
    <n v="1.03"/>
    <x v="134"/>
  </r>
  <r>
    <x v="0"/>
    <n v="5"/>
    <s v="Europe"/>
    <s v="MINI"/>
    <n v="6867"/>
    <n v="41156"/>
    <n v="282618252"/>
    <n v="0.02"/>
    <n v="19.260000000000002"/>
    <n v="2.78"/>
    <n v="1.03"/>
    <x v="135"/>
  </r>
  <r>
    <x v="0"/>
    <n v="5"/>
    <s v="China"/>
    <s v="3 Series"/>
    <n v="6978"/>
    <n v="48539"/>
    <n v="338705142"/>
    <n v="2.4E-2"/>
    <n v="18.940000000000001"/>
    <n v="3.32"/>
    <n v="1.05"/>
    <x v="136"/>
  </r>
  <r>
    <x v="0"/>
    <n v="5"/>
    <s v="China"/>
    <s v="5 Series"/>
    <n v="9078"/>
    <n v="63324"/>
    <n v="574855272"/>
    <n v="1.4E-2"/>
    <n v="18.940000000000001"/>
    <n v="3.32"/>
    <n v="1.05"/>
    <x v="137"/>
  </r>
  <r>
    <x v="0"/>
    <n v="5"/>
    <s v="China"/>
    <s v="X3"/>
    <n v="3839"/>
    <n v="57416"/>
    <n v="220420024"/>
    <n v="6.0000000000000001E-3"/>
    <n v="18.940000000000001"/>
    <n v="3.32"/>
    <n v="1.05"/>
    <x v="138"/>
  </r>
  <r>
    <x v="0"/>
    <n v="5"/>
    <s v="China"/>
    <s v="X5"/>
    <n v="8966"/>
    <n v="69681"/>
    <n v="624759846"/>
    <n v="1.6E-2"/>
    <n v="18.940000000000001"/>
    <n v="3.32"/>
    <n v="1.05"/>
    <x v="139"/>
  </r>
  <r>
    <x v="0"/>
    <n v="5"/>
    <s v="China"/>
    <s v="X7"/>
    <n v="11313"/>
    <n v="90510"/>
    <n v="1023939630"/>
    <n v="3.2000000000000001E-2"/>
    <n v="18.940000000000001"/>
    <n v="3.32"/>
    <n v="1.05"/>
    <x v="140"/>
  </r>
  <r>
    <x v="0"/>
    <n v="5"/>
    <s v="China"/>
    <s v="i4"/>
    <n v="9494"/>
    <n v="63216"/>
    <n v="600172704"/>
    <n v="1.4999999999999999E-2"/>
    <n v="18.940000000000001"/>
    <n v="3.32"/>
    <n v="1.05"/>
    <x v="141"/>
  </r>
  <r>
    <x v="0"/>
    <n v="5"/>
    <s v="China"/>
    <s v="iX"/>
    <n v="3632"/>
    <n v="76486"/>
    <n v="277797152"/>
    <n v="1.2999999999999999E-2"/>
    <n v="18.940000000000001"/>
    <n v="3.32"/>
    <n v="1.05"/>
    <x v="142"/>
  </r>
  <r>
    <x v="0"/>
    <n v="5"/>
    <s v="China"/>
    <s v="MINI"/>
    <n v="4094"/>
    <n v="42492"/>
    <n v="173962248"/>
    <n v="3.4000000000000002E-2"/>
    <n v="18.940000000000001"/>
    <n v="3.32"/>
    <n v="1.05"/>
    <x v="143"/>
  </r>
  <r>
    <x v="0"/>
    <n v="5"/>
    <s v="USA"/>
    <s v="3 Series"/>
    <n v="6429"/>
    <n v="47081"/>
    <n v="302683749"/>
    <n v="0.02"/>
    <n v="15.74"/>
    <n v="4.4800000000000004"/>
    <n v="0.97"/>
    <x v="144"/>
  </r>
  <r>
    <x v="0"/>
    <n v="5"/>
    <s v="USA"/>
    <s v="5 Series"/>
    <n v="8663"/>
    <n v="60455"/>
    <n v="523721665"/>
    <n v="1.7000000000000001E-2"/>
    <n v="15.74"/>
    <n v="4.4800000000000004"/>
    <n v="0.97"/>
    <x v="145"/>
  </r>
  <r>
    <x v="0"/>
    <n v="5"/>
    <s v="USA"/>
    <s v="X3"/>
    <n v="11006"/>
    <n v="57996"/>
    <n v="638303976"/>
    <n v="3.3000000000000002E-2"/>
    <n v="15.74"/>
    <n v="4.4800000000000004"/>
    <n v="0.97"/>
    <x v="146"/>
  </r>
  <r>
    <x v="0"/>
    <n v="5"/>
    <s v="USA"/>
    <s v="X5"/>
    <n v="2853"/>
    <n v="68214"/>
    <n v="194614542"/>
    <n v="2.8000000000000001E-2"/>
    <n v="15.74"/>
    <n v="4.4800000000000004"/>
    <n v="0.97"/>
    <x v="147"/>
  </r>
  <r>
    <x v="0"/>
    <n v="5"/>
    <s v="USA"/>
    <s v="X7"/>
    <n v="3829"/>
    <n v="90933"/>
    <n v="348182457"/>
    <n v="2.7E-2"/>
    <n v="15.74"/>
    <n v="4.4800000000000004"/>
    <n v="0.97"/>
    <x v="148"/>
  </r>
  <r>
    <x v="0"/>
    <n v="5"/>
    <s v="USA"/>
    <s v="i4"/>
    <n v="2501"/>
    <n v="65105"/>
    <n v="162827605"/>
    <n v="1.6E-2"/>
    <n v="15.74"/>
    <n v="4.4800000000000004"/>
    <n v="0.97"/>
    <x v="149"/>
  </r>
  <r>
    <x v="0"/>
    <n v="5"/>
    <s v="USA"/>
    <s v="iX"/>
    <n v="5820"/>
    <n v="73814"/>
    <n v="429597480"/>
    <n v="0.02"/>
    <n v="15.74"/>
    <n v="4.4800000000000004"/>
    <n v="0.97"/>
    <x v="150"/>
  </r>
  <r>
    <x v="0"/>
    <n v="5"/>
    <s v="USA"/>
    <s v="MINI"/>
    <n v="6341"/>
    <n v="42933"/>
    <n v="272238153"/>
    <n v="2.4E-2"/>
    <n v="15.74"/>
    <n v="4.4800000000000004"/>
    <n v="0.97"/>
    <x v="151"/>
  </r>
  <r>
    <x v="0"/>
    <n v="5"/>
    <s v="RestOfWorld"/>
    <s v="3 Series"/>
    <n v="8255"/>
    <n v="49486"/>
    <n v="408506930"/>
    <n v="3.5000000000000003E-2"/>
    <n v="5.15"/>
    <n v="3.84"/>
    <n v="0.97"/>
    <x v="152"/>
  </r>
  <r>
    <x v="0"/>
    <n v="5"/>
    <s v="RestOfWorld"/>
    <s v="5 Series"/>
    <n v="5779"/>
    <n v="61396"/>
    <n v="354807484"/>
    <n v="0.03"/>
    <n v="5.15"/>
    <n v="3.84"/>
    <n v="0.97"/>
    <x v="153"/>
  </r>
  <r>
    <x v="0"/>
    <n v="5"/>
    <s v="RestOfWorld"/>
    <s v="X3"/>
    <n v="10025"/>
    <n v="59018"/>
    <n v="591655450"/>
    <n v="3.4000000000000002E-2"/>
    <n v="5.15"/>
    <n v="3.84"/>
    <n v="0.97"/>
    <x v="154"/>
  </r>
  <r>
    <x v="0"/>
    <n v="5"/>
    <s v="RestOfWorld"/>
    <s v="X5"/>
    <n v="3660"/>
    <n v="69783"/>
    <n v="255405780"/>
    <n v="1.2999999999999999E-2"/>
    <n v="5.15"/>
    <n v="3.84"/>
    <n v="0.97"/>
    <x v="155"/>
  </r>
  <r>
    <x v="0"/>
    <n v="5"/>
    <s v="RestOfWorld"/>
    <s v="X7"/>
    <n v="7184"/>
    <n v="90372"/>
    <n v="649232448"/>
    <n v="1.0999999999999999E-2"/>
    <n v="5.15"/>
    <n v="3.84"/>
    <n v="0.97"/>
    <x v="156"/>
  </r>
  <r>
    <x v="0"/>
    <n v="5"/>
    <s v="RestOfWorld"/>
    <s v="i4"/>
    <n v="11245"/>
    <n v="64371"/>
    <n v="723851895"/>
    <n v="1.7999999999999999E-2"/>
    <n v="5.15"/>
    <n v="3.84"/>
    <n v="0.97"/>
    <x v="157"/>
  </r>
  <r>
    <x v="0"/>
    <n v="5"/>
    <s v="RestOfWorld"/>
    <s v="iX"/>
    <n v="8853"/>
    <n v="76249"/>
    <n v="675032397"/>
    <n v="-1E-3"/>
    <n v="5.15"/>
    <n v="3.84"/>
    <n v="0.97"/>
    <x v="158"/>
  </r>
  <r>
    <x v="0"/>
    <n v="5"/>
    <s v="RestOfWorld"/>
    <s v="MINI"/>
    <n v="2887"/>
    <n v="42779"/>
    <n v="123502973"/>
    <n v="1.4999999999999999E-2"/>
    <n v="5.15"/>
    <n v="3.84"/>
    <n v="0.97"/>
    <x v="159"/>
  </r>
  <r>
    <x v="0"/>
    <n v="6"/>
    <s v="Europe"/>
    <s v="3 Series"/>
    <n v="10562"/>
    <n v="49795"/>
    <n v="525934790"/>
    <n v="1E-3"/>
    <n v="17.170000000000002"/>
    <n v="1.67"/>
    <n v="0.98"/>
    <x v="160"/>
  </r>
  <r>
    <x v="0"/>
    <n v="6"/>
    <s v="Europe"/>
    <s v="5 Series"/>
    <n v="5806"/>
    <n v="62799"/>
    <n v="364610994"/>
    <n v="2.4E-2"/>
    <n v="17.170000000000002"/>
    <n v="1.67"/>
    <n v="0.98"/>
    <x v="161"/>
  </r>
  <r>
    <x v="0"/>
    <n v="6"/>
    <s v="Europe"/>
    <s v="X3"/>
    <n v="3766"/>
    <n v="56708"/>
    <n v="213562328"/>
    <n v="1.9E-2"/>
    <n v="17.170000000000002"/>
    <n v="1.67"/>
    <n v="0.98"/>
    <x v="162"/>
  </r>
  <r>
    <x v="0"/>
    <n v="6"/>
    <s v="Europe"/>
    <s v="X5"/>
    <n v="4771"/>
    <n v="68944"/>
    <n v="328931824"/>
    <n v="2.5999999999999999E-2"/>
    <n v="17.170000000000002"/>
    <n v="1.67"/>
    <n v="0.98"/>
    <x v="163"/>
  </r>
  <r>
    <x v="0"/>
    <n v="6"/>
    <s v="Europe"/>
    <s v="X7"/>
    <n v="2759"/>
    <n v="90223"/>
    <n v="248925257"/>
    <n v="3.2000000000000001E-2"/>
    <n v="17.170000000000002"/>
    <n v="1.67"/>
    <n v="0.98"/>
    <x v="164"/>
  </r>
  <r>
    <x v="0"/>
    <n v="6"/>
    <s v="Europe"/>
    <s v="i4"/>
    <n v="10943"/>
    <n v="63062"/>
    <n v="690087466"/>
    <n v="1.4999999999999999E-2"/>
    <n v="17.170000000000002"/>
    <n v="1.67"/>
    <n v="0.98"/>
    <x v="165"/>
  </r>
  <r>
    <x v="0"/>
    <n v="6"/>
    <s v="Europe"/>
    <s v="iX"/>
    <n v="7067"/>
    <n v="74633"/>
    <n v="527431411"/>
    <n v="2.3E-2"/>
    <n v="17.170000000000002"/>
    <n v="1.67"/>
    <n v="0.98"/>
    <x v="166"/>
  </r>
  <r>
    <x v="0"/>
    <n v="6"/>
    <s v="Europe"/>
    <s v="MINI"/>
    <n v="10742"/>
    <n v="40510"/>
    <n v="435158420"/>
    <n v="3.2000000000000001E-2"/>
    <n v="17.170000000000002"/>
    <n v="1.67"/>
    <n v="0.98"/>
    <x v="167"/>
  </r>
  <r>
    <x v="0"/>
    <n v="6"/>
    <s v="China"/>
    <s v="3 Series"/>
    <n v="4950"/>
    <n v="48818"/>
    <n v="241649100"/>
    <n v="3.5999999999999997E-2"/>
    <n v="20.05"/>
    <n v="2.89"/>
    <n v="1"/>
    <x v="168"/>
  </r>
  <r>
    <x v="0"/>
    <n v="6"/>
    <s v="China"/>
    <s v="5 Series"/>
    <n v="4356"/>
    <n v="63094"/>
    <n v="274837464"/>
    <n v="2.1999999999999999E-2"/>
    <n v="20.05"/>
    <n v="2.89"/>
    <n v="1"/>
    <x v="169"/>
  </r>
  <r>
    <x v="0"/>
    <n v="6"/>
    <s v="China"/>
    <s v="X3"/>
    <n v="10604"/>
    <n v="56082"/>
    <n v="594693528"/>
    <n v="2.9000000000000001E-2"/>
    <n v="20.05"/>
    <n v="2.89"/>
    <n v="1"/>
    <x v="170"/>
  </r>
  <r>
    <x v="0"/>
    <n v="6"/>
    <s v="China"/>
    <s v="X5"/>
    <n v="10719"/>
    <n v="69504"/>
    <n v="745013376"/>
    <n v="2.8000000000000001E-2"/>
    <n v="20.05"/>
    <n v="2.89"/>
    <n v="1"/>
    <x v="171"/>
  </r>
  <r>
    <x v="0"/>
    <n v="6"/>
    <s v="China"/>
    <s v="X7"/>
    <n v="9346"/>
    <n v="93843"/>
    <n v="877056678"/>
    <n v="1.2E-2"/>
    <n v="20.05"/>
    <n v="2.89"/>
    <n v="1"/>
    <x v="172"/>
  </r>
  <r>
    <x v="0"/>
    <n v="6"/>
    <s v="China"/>
    <s v="i4"/>
    <n v="8871"/>
    <n v="63448"/>
    <n v="562847208"/>
    <n v="1.0999999999999999E-2"/>
    <n v="20.05"/>
    <n v="2.89"/>
    <n v="1"/>
    <x v="173"/>
  </r>
  <r>
    <x v="0"/>
    <n v="6"/>
    <s v="China"/>
    <s v="iX"/>
    <n v="8223"/>
    <n v="73770"/>
    <n v="606610710"/>
    <n v="-1.4999999999999999E-2"/>
    <n v="20.05"/>
    <n v="2.89"/>
    <n v="1"/>
    <x v="174"/>
  </r>
  <r>
    <x v="0"/>
    <n v="6"/>
    <s v="China"/>
    <s v="MINI"/>
    <n v="7549"/>
    <n v="41984"/>
    <n v="316937216"/>
    <n v="1.7000000000000001E-2"/>
    <n v="20.05"/>
    <n v="2.89"/>
    <n v="1"/>
    <x v="175"/>
  </r>
  <r>
    <x v="0"/>
    <n v="6"/>
    <s v="USA"/>
    <s v="3 Series"/>
    <n v="9948"/>
    <n v="46577"/>
    <n v="463347996"/>
    <n v="2.5999999999999999E-2"/>
    <n v="20.14"/>
    <n v="5.0599999999999996"/>
    <n v="1.05"/>
    <x v="176"/>
  </r>
  <r>
    <x v="0"/>
    <n v="6"/>
    <s v="USA"/>
    <s v="5 Series"/>
    <n v="7733"/>
    <n v="62150"/>
    <n v="480605950"/>
    <n v="3.4000000000000002E-2"/>
    <n v="20.14"/>
    <n v="5.0599999999999996"/>
    <n v="1.05"/>
    <x v="177"/>
  </r>
  <r>
    <x v="0"/>
    <n v="6"/>
    <s v="USA"/>
    <s v="X3"/>
    <n v="10319"/>
    <n v="58845"/>
    <n v="607221555"/>
    <n v="3.1E-2"/>
    <n v="20.14"/>
    <n v="5.0599999999999996"/>
    <n v="1.05"/>
    <x v="178"/>
  </r>
  <r>
    <x v="0"/>
    <n v="6"/>
    <s v="USA"/>
    <s v="X5"/>
    <n v="10452"/>
    <n v="69482"/>
    <n v="726225864"/>
    <n v="2E-3"/>
    <n v="20.14"/>
    <n v="5.0599999999999996"/>
    <n v="1.05"/>
    <x v="179"/>
  </r>
  <r>
    <x v="0"/>
    <n v="6"/>
    <s v="USA"/>
    <s v="X7"/>
    <n v="4214"/>
    <n v="91358"/>
    <n v="384982612"/>
    <n v="0"/>
    <n v="20.14"/>
    <n v="5.0599999999999996"/>
    <n v="1.05"/>
    <x v="180"/>
  </r>
  <r>
    <x v="0"/>
    <n v="6"/>
    <s v="USA"/>
    <s v="i4"/>
    <n v="8376"/>
    <n v="63541"/>
    <n v="532219416"/>
    <n v="0.04"/>
    <n v="20.14"/>
    <n v="5.0599999999999996"/>
    <n v="1.05"/>
    <x v="181"/>
  </r>
  <r>
    <x v="0"/>
    <n v="6"/>
    <s v="USA"/>
    <s v="iX"/>
    <n v="8089"/>
    <n v="73796"/>
    <n v="596935844"/>
    <n v="3.9E-2"/>
    <n v="20.14"/>
    <n v="5.0599999999999996"/>
    <n v="1.05"/>
    <x v="182"/>
  </r>
  <r>
    <x v="0"/>
    <n v="6"/>
    <s v="USA"/>
    <s v="MINI"/>
    <n v="10497"/>
    <n v="40137"/>
    <n v="421318089"/>
    <n v="2.1999999999999999E-2"/>
    <n v="20.14"/>
    <n v="5.0599999999999996"/>
    <n v="1.05"/>
    <x v="183"/>
  </r>
  <r>
    <x v="0"/>
    <n v="6"/>
    <s v="RestOfWorld"/>
    <s v="3 Series"/>
    <n v="7330"/>
    <n v="46204"/>
    <n v="338675320"/>
    <n v="0.02"/>
    <n v="5.52"/>
    <n v="2.99"/>
    <n v="1.02"/>
    <x v="184"/>
  </r>
  <r>
    <x v="0"/>
    <n v="6"/>
    <s v="RestOfWorld"/>
    <s v="5 Series"/>
    <n v="9645"/>
    <n v="63818"/>
    <n v="615524610"/>
    <n v="2.4E-2"/>
    <n v="5.52"/>
    <n v="2.99"/>
    <n v="1.02"/>
    <x v="185"/>
  </r>
  <r>
    <x v="0"/>
    <n v="6"/>
    <s v="RestOfWorld"/>
    <s v="X3"/>
    <n v="4846"/>
    <n v="58895"/>
    <n v="285405170"/>
    <n v="-2E-3"/>
    <n v="5.52"/>
    <n v="2.99"/>
    <n v="1.02"/>
    <x v="186"/>
  </r>
  <r>
    <x v="0"/>
    <n v="6"/>
    <s v="RestOfWorld"/>
    <s v="X5"/>
    <n v="9611"/>
    <n v="68994"/>
    <n v="663101334"/>
    <n v="0.04"/>
    <n v="5.52"/>
    <n v="2.99"/>
    <n v="1.02"/>
    <x v="187"/>
  </r>
  <r>
    <x v="0"/>
    <n v="6"/>
    <s v="RestOfWorld"/>
    <s v="X7"/>
    <n v="9384"/>
    <n v="91719"/>
    <n v="860691096"/>
    <n v="8.9999999999999993E-3"/>
    <n v="5.52"/>
    <n v="2.99"/>
    <n v="1.02"/>
    <x v="188"/>
  </r>
  <r>
    <x v="0"/>
    <n v="6"/>
    <s v="RestOfWorld"/>
    <s v="i4"/>
    <n v="12069"/>
    <n v="66266"/>
    <n v="799764354"/>
    <n v="2.5000000000000001E-2"/>
    <n v="5.52"/>
    <n v="2.99"/>
    <n v="1.02"/>
    <x v="189"/>
  </r>
  <r>
    <x v="0"/>
    <n v="6"/>
    <s v="RestOfWorld"/>
    <s v="iX"/>
    <n v="4825"/>
    <n v="74969"/>
    <n v="361725425"/>
    <n v="4.1000000000000002E-2"/>
    <n v="5.52"/>
    <n v="2.99"/>
    <n v="1.02"/>
    <x v="190"/>
  </r>
  <r>
    <x v="0"/>
    <n v="6"/>
    <s v="RestOfWorld"/>
    <s v="MINI"/>
    <n v="10204"/>
    <n v="43122"/>
    <n v="440016888"/>
    <n v="1.7000000000000001E-2"/>
    <n v="5.52"/>
    <n v="2.99"/>
    <n v="1.02"/>
    <x v="191"/>
  </r>
  <r>
    <x v="0"/>
    <n v="7"/>
    <s v="Europe"/>
    <s v="3 Series"/>
    <n v="8432"/>
    <n v="47968"/>
    <n v="404466176"/>
    <n v="2.8000000000000001E-2"/>
    <n v="14.62"/>
    <n v="2.1800000000000002"/>
    <n v="0.98"/>
    <x v="192"/>
  </r>
  <r>
    <x v="0"/>
    <n v="7"/>
    <s v="Europe"/>
    <s v="5 Series"/>
    <n v="9253"/>
    <n v="62841"/>
    <n v="581467773"/>
    <n v="1.7000000000000001E-2"/>
    <n v="14.62"/>
    <n v="2.1800000000000002"/>
    <n v="0.98"/>
    <x v="193"/>
  </r>
  <r>
    <x v="0"/>
    <n v="7"/>
    <s v="Europe"/>
    <s v="X3"/>
    <n v="8255"/>
    <n v="58397"/>
    <n v="482067235"/>
    <n v="1.2999999999999999E-2"/>
    <n v="14.62"/>
    <n v="2.1800000000000002"/>
    <n v="0.98"/>
    <x v="194"/>
  </r>
  <r>
    <x v="0"/>
    <n v="7"/>
    <s v="Europe"/>
    <s v="X5"/>
    <n v="5109"/>
    <n v="67047"/>
    <n v="342543123"/>
    <n v="2.1999999999999999E-2"/>
    <n v="14.62"/>
    <n v="2.1800000000000002"/>
    <n v="0.98"/>
    <x v="195"/>
  </r>
  <r>
    <x v="0"/>
    <n v="7"/>
    <s v="Europe"/>
    <s v="X7"/>
    <n v="5836"/>
    <n v="91715"/>
    <n v="535248740"/>
    <n v="2.1999999999999999E-2"/>
    <n v="14.62"/>
    <n v="2.1800000000000002"/>
    <n v="0.98"/>
    <x v="196"/>
  </r>
  <r>
    <x v="0"/>
    <n v="7"/>
    <s v="Europe"/>
    <s v="i4"/>
    <n v="2661"/>
    <n v="63638"/>
    <n v="169340718"/>
    <n v="1.2E-2"/>
    <n v="14.62"/>
    <n v="2.1800000000000002"/>
    <n v="0.98"/>
    <x v="197"/>
  </r>
  <r>
    <x v="0"/>
    <n v="7"/>
    <s v="Europe"/>
    <s v="iX"/>
    <n v="2427"/>
    <n v="75125"/>
    <n v="182328375"/>
    <n v="4.3999999999999997E-2"/>
    <n v="14.62"/>
    <n v="2.1800000000000002"/>
    <n v="0.98"/>
    <x v="198"/>
  </r>
  <r>
    <x v="0"/>
    <n v="7"/>
    <s v="Europe"/>
    <s v="MINI"/>
    <n v="2720"/>
    <n v="42713"/>
    <n v="116179360"/>
    <n v="1.7000000000000001E-2"/>
    <n v="14.62"/>
    <n v="2.1800000000000002"/>
    <n v="0.98"/>
    <x v="199"/>
  </r>
  <r>
    <x v="0"/>
    <n v="7"/>
    <s v="China"/>
    <s v="3 Series"/>
    <n v="7951"/>
    <n v="47215"/>
    <n v="375406465"/>
    <n v="8.0000000000000002E-3"/>
    <n v="17.579999999999998"/>
    <n v="3.58"/>
    <n v="1.01"/>
    <x v="200"/>
  </r>
  <r>
    <x v="0"/>
    <n v="7"/>
    <s v="China"/>
    <s v="5 Series"/>
    <n v="10119"/>
    <n v="61654"/>
    <n v="623876826"/>
    <n v="3.0000000000000001E-3"/>
    <n v="17.579999999999998"/>
    <n v="3.58"/>
    <n v="1.01"/>
    <x v="201"/>
  </r>
  <r>
    <x v="0"/>
    <n v="7"/>
    <s v="China"/>
    <s v="X3"/>
    <n v="10834"/>
    <n v="58133"/>
    <n v="629812922"/>
    <n v="3.2000000000000001E-2"/>
    <n v="17.579999999999998"/>
    <n v="3.58"/>
    <n v="1.01"/>
    <x v="202"/>
  </r>
  <r>
    <x v="0"/>
    <n v="7"/>
    <s v="China"/>
    <s v="X5"/>
    <n v="9633"/>
    <n v="67125"/>
    <n v="646615125"/>
    <n v="2.1999999999999999E-2"/>
    <n v="17.579999999999998"/>
    <n v="3.58"/>
    <n v="1.01"/>
    <x v="2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E692254-C2F2-41A2-BAAB-3C568CA9E42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
  <location ref="A3:B5" firstHeaderRow="1" firstDataRow="1" firstDataCol="1"/>
  <pivotFields count="12">
    <pivotField axis="axisRow" showAll="0" sortType="ascending">
      <items count="2">
        <item x="0"/>
        <item t="default"/>
      </items>
    </pivotField>
    <pivotField showAll="0"/>
    <pivotField showAll="0"/>
    <pivotField showAll="0"/>
    <pivotField dataField="1" showAll="0"/>
    <pivotField showAll="0"/>
    <pivotField showAll="0"/>
    <pivotField showAll="0"/>
    <pivotField showAll="0"/>
    <pivotField showAll="0"/>
    <pivotField showAll="0"/>
    <pivotField numFmtId="14" showAll="0">
      <items count="205">
        <item h="1" x="0"/>
        <item h="1" x="1"/>
        <item h="1" x="2"/>
        <item h="1" x="3"/>
        <item h="1" x="4"/>
        <item h="1" x="5"/>
        <item h="1" x="6"/>
        <item h="1" x="7"/>
        <item x="8"/>
        <item h="1" x="9"/>
        <item h="1" x="10"/>
        <item h="1" x="11"/>
        <item h="1" x="12"/>
        <item h="1" x="13"/>
        <item h="1" x="14"/>
        <item h="1" x="15"/>
        <item h="1" x="16"/>
        <item h="1" x="17"/>
        <item h="1" x="18"/>
        <item h="1" x="19"/>
        <item h="1" x="20"/>
        <item h="1" x="21"/>
        <item h="1" x="22"/>
        <item h="1" x="23"/>
        <item h="1" x="24"/>
        <item h="1" x="25"/>
        <item h="1" x="26"/>
        <item h="1" x="27"/>
        <item h="1" x="28"/>
        <item h="1" x="29"/>
        <item h="1" x="30"/>
        <item h="1" x="31"/>
        <item h="1" x="32"/>
        <item h="1" x="33"/>
        <item h="1" x="34"/>
        <item x="35"/>
        <item h="1"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h="1" x="62"/>
        <item h="1" x="63"/>
        <item h="1" x="64"/>
        <item h="1" x="65"/>
        <item h="1" x="66"/>
        <item h="1"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h="1" x="99"/>
        <item h="1" x="100"/>
        <item h="1" x="101"/>
        <item h="1" x="102"/>
        <item h="1" x="103"/>
        <item h="1" x="104"/>
        <item h="1" x="105"/>
        <item h="1" x="106"/>
        <item h="1"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h="1" x="133"/>
        <item h="1" x="134"/>
        <item h="1" x="135"/>
        <item h="1" x="136"/>
        <item h="1" x="137"/>
        <item h="1" x="138"/>
        <item h="1" x="139"/>
        <item h="1" x="140"/>
        <item h="1" x="141"/>
        <item h="1" x="142"/>
        <item h="1" x="143"/>
        <item h="1" x="144"/>
        <item h="1" x="145"/>
        <item h="1" x="146"/>
        <item h="1" x="147"/>
        <item h="1" x="148"/>
        <item h="1" x="149"/>
        <item h="1" x="150"/>
        <item h="1" x="151"/>
        <item h="1" x="152"/>
        <item h="1" x="153"/>
        <item h="1" x="154"/>
        <item h="1" x="155"/>
        <item h="1" x="156"/>
        <item h="1" x="157"/>
        <item h="1" x="158"/>
        <item h="1" x="159"/>
        <item h="1" x="160"/>
        <item h="1" x="161"/>
        <item h="1" x="162"/>
        <item h="1" x="163"/>
        <item h="1" x="164"/>
        <item h="1" x="165"/>
        <item h="1" x="166"/>
        <item h="1" x="167"/>
        <item h="1" x="168"/>
        <item h="1" x="169"/>
        <item h="1" x="170"/>
        <item h="1" x="171"/>
        <item h="1" x="172"/>
        <item h="1" x="173"/>
        <item h="1" x="174"/>
        <item h="1" x="175"/>
        <item h="1" x="176"/>
        <item h="1" x="177"/>
        <item h="1" x="178"/>
        <item h="1" x="179"/>
        <item h="1" x="180"/>
        <item h="1" x="181"/>
        <item h="1" x="182"/>
        <item h="1" x="183"/>
        <item h="1" x="184"/>
        <item h="1" x="185"/>
        <item h="1" x="186"/>
        <item h="1" x="187"/>
        <item h="1" x="188"/>
        <item h="1" x="189"/>
        <item h="1" x="190"/>
        <item h="1" x="191"/>
        <item h="1" x="192"/>
        <item h="1" x="193"/>
        <item h="1" x="194"/>
        <item h="1" x="195"/>
        <item h="1" x="196"/>
        <item h="1" x="197"/>
        <item h="1" x="198"/>
        <item h="1" x="199"/>
        <item h="1" x="200"/>
        <item h="1" x="201"/>
        <item h="1" x="202"/>
        <item h="1" x="203"/>
        <item t="default"/>
      </items>
    </pivotField>
  </pivotFields>
  <rowFields count="1">
    <field x="0"/>
  </rowFields>
  <rowItems count="2">
    <i>
      <x/>
    </i>
    <i t="grand">
      <x/>
    </i>
  </rowItems>
  <colItems count="1">
    <i/>
  </colItems>
  <dataFields count="1">
    <dataField name="Sum of Units_Sold" fld="4" baseField="0" baseItem="0"/>
  </dataFields>
  <formats count="22">
    <format dxfId="69">
      <pivotArea type="all" dataOnly="0" outline="0" fieldPosition="0"/>
    </format>
    <format dxfId="68">
      <pivotArea outline="0" collapsedLevelsAreSubtotals="1" fieldPosition="0"/>
    </format>
    <format dxfId="67">
      <pivotArea field="0" type="button" dataOnly="0" labelOnly="1" outline="0" axis="axisRow" fieldPosition="0"/>
    </format>
    <format dxfId="66">
      <pivotArea dataOnly="0" labelOnly="1" fieldPosition="0">
        <references count="1">
          <reference field="0" count="0"/>
        </references>
      </pivotArea>
    </format>
    <format dxfId="65">
      <pivotArea dataOnly="0" labelOnly="1" grandRow="1" outline="0" fieldPosition="0"/>
    </format>
    <format dxfId="64">
      <pivotArea dataOnly="0" labelOnly="1" outline="0" axis="axisValues" fieldPosition="0"/>
    </format>
    <format dxfId="63">
      <pivotArea field="0" type="button" dataOnly="0" labelOnly="1" outline="0" axis="axisRow" fieldPosition="0"/>
    </format>
    <format dxfId="62">
      <pivotArea dataOnly="0" labelOnly="1" outline="0" axis="axisValues" fieldPosition="0"/>
    </format>
    <format dxfId="61">
      <pivotArea field="0" type="button" dataOnly="0" labelOnly="1" outline="0" axis="axisRow" fieldPosition="0"/>
    </format>
    <format dxfId="60">
      <pivotArea dataOnly="0" labelOnly="1" outline="0" axis="axisValues" fieldPosition="0"/>
    </format>
    <format dxfId="59">
      <pivotArea field="0" type="button" dataOnly="0" labelOnly="1" outline="0" axis="axisRow" fieldPosition="0"/>
    </format>
    <format dxfId="58">
      <pivotArea dataOnly="0" labelOnly="1" outline="0" axis="axisValues" fieldPosition="0"/>
    </format>
    <format dxfId="57">
      <pivotArea collapsedLevelsAreSubtotals="1" fieldPosition="0">
        <references count="1">
          <reference field="0" count="0"/>
        </references>
      </pivotArea>
    </format>
    <format dxfId="56">
      <pivotArea dataOnly="0" labelOnly="1" fieldPosition="0">
        <references count="1">
          <reference field="0" count="0"/>
        </references>
      </pivotArea>
    </format>
    <format dxfId="55">
      <pivotArea grandRow="1" outline="0" collapsedLevelsAreSubtotals="1" fieldPosition="0"/>
    </format>
    <format dxfId="54">
      <pivotArea dataOnly="0" labelOnly="1" grandRow="1" outline="0" fieldPosition="0"/>
    </format>
    <format dxfId="53">
      <pivotArea grandRow="1" outline="0" collapsedLevelsAreSubtotals="1" fieldPosition="0"/>
    </format>
    <format dxfId="52">
      <pivotArea dataOnly="0" labelOnly="1" grandRow="1" outline="0" fieldPosition="0"/>
    </format>
    <format dxfId="51">
      <pivotArea grandRow="1" outline="0" collapsedLevelsAreSubtotals="1" fieldPosition="0"/>
    </format>
    <format dxfId="50">
      <pivotArea dataOnly="0" labelOnly="1" grandRow="1" outline="0" fieldPosition="0"/>
    </format>
    <format dxfId="49">
      <pivotArea collapsedLevelsAreSubtotals="1" fieldPosition="0">
        <references count="1">
          <reference field="0" count="0"/>
        </references>
      </pivotArea>
    </format>
    <format dxfId="48">
      <pivotArea grandRow="1"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59CAF92C-B1D2-4472-A8DE-B9C3A628E9B8}" sourceName="Date">
  <pivotTables>
    <pivotTable tabId="2" name="PivotTable1"/>
  </pivotTables>
  <data>
    <tabular pivotCacheId="1232485959">
      <items count="204">
        <i x="0"/>
        <i x="1"/>
        <i x="2"/>
        <i x="3"/>
        <i x="4"/>
        <i x="5"/>
        <i x="6"/>
        <i x="7"/>
        <i x="8" s="1"/>
        <i x="9"/>
        <i x="10"/>
        <i x="11"/>
        <i x="12"/>
        <i x="13"/>
        <i x="14"/>
        <i x="15"/>
        <i x="16"/>
        <i x="17"/>
        <i x="18"/>
        <i x="19"/>
        <i x="20"/>
        <i x="21"/>
        <i x="22"/>
        <i x="23"/>
        <i x="24"/>
        <i x="25"/>
        <i x="26"/>
        <i x="27"/>
        <i x="28"/>
        <i x="29"/>
        <i x="30"/>
        <i x="31"/>
        <i x="32"/>
        <i x="33"/>
        <i x="34"/>
        <i x="35" s="1"/>
        <i x="36"/>
        <i x="37"/>
        <i x="38"/>
        <i x="39"/>
        <i x="40"/>
        <i x="41"/>
        <i x="42"/>
        <i x="43"/>
        <i x="44"/>
        <i x="45"/>
        <i x="46"/>
        <i x="47"/>
        <i x="48"/>
        <i x="49"/>
        <i x="50"/>
        <i x="51"/>
        <i x="52"/>
        <i x="53"/>
        <i x="54"/>
        <i x="55"/>
        <i x="56"/>
        <i x="57"/>
        <i x="58"/>
        <i x="59"/>
        <i x="60"/>
        <i x="61"/>
        <i x="62"/>
        <i x="63"/>
        <i x="64"/>
        <i x="65"/>
        <i x="66"/>
        <i x="67"/>
        <i x="68"/>
        <i x="69"/>
        <i x="70"/>
        <i x="71"/>
        <i x="72"/>
        <i x="73"/>
        <i x="74"/>
        <i x="75"/>
        <i x="76"/>
        <i x="77"/>
        <i x="78"/>
        <i x="79"/>
        <i x="80"/>
        <i x="81"/>
        <i x="82"/>
        <i x="83"/>
        <i x="84"/>
        <i x="85"/>
        <i x="86"/>
        <i x="87"/>
        <i x="88"/>
        <i x="89"/>
        <i x="90"/>
        <i x="91"/>
        <i x="92"/>
        <i x="93"/>
        <i x="94"/>
        <i x="95"/>
        <i x="96"/>
        <i x="97"/>
        <i x="98"/>
        <i x="99"/>
        <i x="100"/>
        <i x="101"/>
        <i x="102"/>
        <i x="103"/>
        <i x="104"/>
        <i x="105"/>
        <i x="106"/>
        <i x="107"/>
        <i x="108"/>
        <i x="109"/>
        <i x="110"/>
        <i x="111"/>
        <i x="112"/>
        <i x="113"/>
        <i x="114"/>
        <i x="115"/>
        <i x="116"/>
        <i x="117"/>
        <i x="118"/>
        <i x="119"/>
        <i x="120"/>
        <i x="121"/>
        <i x="122"/>
        <i x="123"/>
        <i x="124"/>
        <i x="125"/>
        <i x="126"/>
        <i x="127"/>
        <i x="128"/>
        <i x="129"/>
        <i x="130"/>
        <i x="131"/>
        <i x="132"/>
        <i x="133"/>
        <i x="134"/>
        <i x="135"/>
        <i x="136"/>
        <i x="137"/>
        <i x="138"/>
        <i x="139"/>
        <i x="140"/>
        <i x="141"/>
        <i x="142"/>
        <i x="143"/>
        <i x="144"/>
        <i x="145"/>
        <i x="146"/>
        <i x="147"/>
        <i x="148"/>
        <i x="149"/>
        <i x="150"/>
        <i x="151"/>
        <i x="152"/>
        <i x="153"/>
        <i x="154"/>
        <i x="155"/>
        <i x="156"/>
        <i x="157"/>
        <i x="158"/>
        <i x="159"/>
        <i x="160"/>
        <i x="161"/>
        <i x="162"/>
        <i x="163"/>
        <i x="164"/>
        <i x="165"/>
        <i x="166"/>
        <i x="167"/>
        <i x="168"/>
        <i x="169"/>
        <i x="170"/>
        <i x="171"/>
        <i x="172"/>
        <i x="173"/>
        <i x="174"/>
        <i x="175"/>
        <i x="176"/>
        <i x="177"/>
        <i x="178"/>
        <i x="179"/>
        <i x="180"/>
        <i x="181"/>
        <i x="182"/>
        <i x="183"/>
        <i x="184"/>
        <i x="185"/>
        <i x="186"/>
        <i x="187"/>
        <i x="188"/>
        <i x="189"/>
        <i x="190"/>
        <i x="191"/>
        <i x="192"/>
        <i x="193"/>
        <i x="194"/>
        <i x="195"/>
        <i x="196"/>
        <i x="197"/>
        <i x="198"/>
        <i x="199"/>
        <i x="200"/>
        <i x="201"/>
        <i x="202"/>
        <i x="20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xr10:uid="{AE0367D3-5797-4AB8-BE9B-53000E6C0E12}" cache="Slicer_Date" caption="Date" startItem="35"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4B052B93-4C3D-427C-9511-16EA6CA496E9}" sourceName="Date">
  <pivotTables>
    <pivotTable tabId="2" name="PivotTable1"/>
  </pivotTables>
  <state minimalRefreshVersion="6" lastRefreshVersion="6" pivotCacheId="1232485959"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B4CB5243-5111-423F-8F96-FCD3324038D9}" cache="NativeTimeline_Date" caption="Date" level="2" selectionLevel="2" scrollPosition="2024-06-24T00:00:00" style="TimeSlicerStyleDark1"/>
</timeline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0E061-3D73-49B6-B716-287AC78FD1F9}">
  <dimension ref="A1:S205"/>
  <sheetViews>
    <sheetView zoomScale="98" zoomScaleNormal="98" workbookViewId="0">
      <pane ySplit="1" topLeftCell="A23" activePane="bottomLeft" state="frozen"/>
      <selection pane="bottomLeft" activeCell="K13" sqref="K13"/>
    </sheetView>
  </sheetViews>
  <sheetFormatPr defaultRowHeight="14.4"/>
  <cols>
    <col min="3" max="3" width="11.44140625" bestFit="1" customWidth="1"/>
    <col min="4" max="4" width="7.44140625" bestFit="1" customWidth="1"/>
    <col min="5" max="5" width="10.109375" bestFit="1" customWidth="1"/>
    <col min="6" max="6" width="15" style="12" customWidth="1"/>
    <col min="7" max="7" width="12.33203125" bestFit="1" customWidth="1"/>
    <col min="8" max="8" width="10" bestFit="1" customWidth="1"/>
    <col min="9" max="9" width="14.6640625" bestFit="1" customWidth="1"/>
    <col min="10" max="10" width="11.6640625" bestFit="1" customWidth="1"/>
    <col min="11" max="11" width="15.44140625" bestFit="1" customWidth="1"/>
    <col min="12" max="12" width="12.6640625" customWidth="1"/>
    <col min="16" max="16" width="10.21875" bestFit="1" customWidth="1"/>
    <col min="19" max="19" width="13.5546875" customWidth="1"/>
  </cols>
  <sheetData>
    <row r="1" spans="1:19" s="1" customFormat="1" ht="28.8" customHeight="1">
      <c r="A1" s="2" t="s">
        <v>0</v>
      </c>
      <c r="B1" s="2" t="s">
        <v>1</v>
      </c>
      <c r="C1" s="2" t="s">
        <v>2</v>
      </c>
      <c r="D1" s="2" t="s">
        <v>3</v>
      </c>
      <c r="E1" s="2" t="s">
        <v>4</v>
      </c>
      <c r="F1" s="10" t="s">
        <v>5</v>
      </c>
      <c r="G1" s="2" t="s">
        <v>6</v>
      </c>
      <c r="H1" s="2" t="s">
        <v>7</v>
      </c>
      <c r="I1" s="2" t="s">
        <v>8</v>
      </c>
      <c r="J1" s="2" t="s">
        <v>9</v>
      </c>
      <c r="K1" s="2" t="s">
        <v>10</v>
      </c>
      <c r="L1" s="2" t="s">
        <v>23</v>
      </c>
    </row>
    <row r="2" spans="1:19" ht="14.4" customHeight="1">
      <c r="A2" s="3" t="s">
        <v>31</v>
      </c>
      <c r="B2" s="3">
        <v>1</v>
      </c>
      <c r="C2" s="3" t="s">
        <v>11</v>
      </c>
      <c r="D2" s="3" t="s">
        <v>12</v>
      </c>
      <c r="E2" s="3">
        <v>7822</v>
      </c>
      <c r="F2" s="11">
        <v>47482</v>
      </c>
      <c r="G2" s="3">
        <v>371404204</v>
      </c>
      <c r="H2" s="3">
        <v>1.0999999999999999E-2</v>
      </c>
      <c r="I2" s="3">
        <v>19.12</v>
      </c>
      <c r="J2" s="3">
        <v>3.5</v>
      </c>
      <c r="K2" s="3">
        <v>1</v>
      </c>
      <c r="L2" s="4">
        <f>WORKDAY(DATE(2024,1,1)-1,ROW(A1))</f>
        <v>45292</v>
      </c>
      <c r="N2" s="18" t="s">
        <v>24</v>
      </c>
      <c r="O2" s="18"/>
      <c r="P2" s="18"/>
      <c r="Q2" s="18"/>
    </row>
    <row r="3" spans="1:19" ht="14.4" customHeight="1">
      <c r="A3" s="3">
        <v>2018</v>
      </c>
      <c r="B3" s="3">
        <v>1</v>
      </c>
      <c r="C3" s="3" t="s">
        <v>11</v>
      </c>
      <c r="D3" s="3" t="s">
        <v>13</v>
      </c>
      <c r="E3" s="3">
        <v>10280</v>
      </c>
      <c r="F3" s="11">
        <v>61685</v>
      </c>
      <c r="G3" s="3">
        <v>634121800</v>
      </c>
      <c r="H3" s="3">
        <v>1.9E-2</v>
      </c>
      <c r="I3" s="3">
        <v>19.12</v>
      </c>
      <c r="J3" s="3">
        <v>3.5</v>
      </c>
      <c r="K3" s="3">
        <v>1</v>
      </c>
      <c r="L3" s="4">
        <f t="shared" ref="L3:L66" si="0">WORKDAY(DATE(2024,1,1)-1,ROW(A2))</f>
        <v>45293</v>
      </c>
      <c r="N3" s="18"/>
      <c r="O3" s="18"/>
      <c r="P3" s="18"/>
      <c r="Q3" s="18"/>
      <c r="S3" s="5"/>
    </row>
    <row r="4" spans="1:19">
      <c r="A4" s="3">
        <v>2018</v>
      </c>
      <c r="B4" s="3">
        <v>1</v>
      </c>
      <c r="C4" s="3" t="s">
        <v>11</v>
      </c>
      <c r="D4" s="3" t="s">
        <v>14</v>
      </c>
      <c r="E4" s="3">
        <v>3105</v>
      </c>
      <c r="F4" s="11">
        <v>58433</v>
      </c>
      <c r="G4" s="3">
        <v>181434465</v>
      </c>
      <c r="H4" s="3">
        <v>2.1999999999999999E-2</v>
      </c>
      <c r="I4" s="3">
        <v>19.12</v>
      </c>
      <c r="J4" s="3">
        <v>3.5</v>
      </c>
      <c r="K4" s="3">
        <v>1</v>
      </c>
      <c r="L4" s="4">
        <f t="shared" si="0"/>
        <v>45294</v>
      </c>
      <c r="S4" s="5"/>
    </row>
    <row r="5" spans="1:19" ht="14.4" customHeight="1">
      <c r="A5" s="3">
        <v>2018</v>
      </c>
      <c r="B5" s="3">
        <v>1</v>
      </c>
      <c r="C5" s="3" t="s">
        <v>11</v>
      </c>
      <c r="D5" s="3" t="s">
        <v>15</v>
      </c>
      <c r="E5" s="3">
        <v>7420</v>
      </c>
      <c r="F5" s="11">
        <v>67955</v>
      </c>
      <c r="G5" s="3">
        <v>504226100</v>
      </c>
      <c r="H5" s="3">
        <v>2.1000000000000001E-2</v>
      </c>
      <c r="I5" s="3">
        <v>19.12</v>
      </c>
      <c r="J5" s="3">
        <v>3.5</v>
      </c>
      <c r="K5" s="3">
        <v>1</v>
      </c>
      <c r="L5" s="4">
        <f t="shared" si="0"/>
        <v>45295</v>
      </c>
      <c r="N5" s="19" t="s">
        <v>25</v>
      </c>
      <c r="O5" s="19"/>
      <c r="P5" s="6"/>
      <c r="S5" s="5"/>
    </row>
    <row r="6" spans="1:19" ht="14.4" customHeight="1">
      <c r="A6" s="3">
        <v>2018</v>
      </c>
      <c r="B6" s="3">
        <v>1</v>
      </c>
      <c r="C6" s="3" t="s">
        <v>11</v>
      </c>
      <c r="D6" s="3" t="s">
        <v>16</v>
      </c>
      <c r="E6" s="3">
        <v>8474</v>
      </c>
      <c r="F6" s="11">
        <v>92300</v>
      </c>
      <c r="G6" s="3">
        <v>782150200</v>
      </c>
      <c r="H6" s="3">
        <v>3.5000000000000003E-2</v>
      </c>
      <c r="I6" s="3">
        <v>19.12</v>
      </c>
      <c r="J6" s="3">
        <v>3.5</v>
      </c>
      <c r="K6" s="3">
        <v>1</v>
      </c>
      <c r="L6" s="4">
        <f t="shared" si="0"/>
        <v>45296</v>
      </c>
      <c r="N6" s="19"/>
      <c r="O6" s="19"/>
      <c r="P6" s="6"/>
      <c r="S6" s="5"/>
    </row>
    <row r="7" spans="1:19">
      <c r="A7" s="3">
        <v>2018</v>
      </c>
      <c r="B7" s="3">
        <v>1</v>
      </c>
      <c r="C7" s="3" t="s">
        <v>11</v>
      </c>
      <c r="D7" s="3" t="s">
        <v>17</v>
      </c>
      <c r="E7" s="3">
        <v>10607</v>
      </c>
      <c r="F7" s="11">
        <v>64082</v>
      </c>
      <c r="G7" s="3">
        <v>679717774</v>
      </c>
      <c r="H7" s="3">
        <v>3.5000000000000003E-2</v>
      </c>
      <c r="I7" s="3">
        <v>19.12</v>
      </c>
      <c r="J7" s="3">
        <v>3.5</v>
      </c>
      <c r="K7" s="3">
        <v>1</v>
      </c>
      <c r="L7" s="4">
        <f t="shared" si="0"/>
        <v>45299</v>
      </c>
      <c r="N7" s="20" t="str">
        <f>TRIM(D2)</f>
        <v>3 Series</v>
      </c>
      <c r="O7" s="20"/>
      <c r="S7" s="5"/>
    </row>
    <row r="8" spans="1:19">
      <c r="A8" s="3">
        <v>2018</v>
      </c>
      <c r="B8" s="3">
        <v>1</v>
      </c>
      <c r="C8" s="3" t="s">
        <v>11</v>
      </c>
      <c r="D8" s="3" t="s">
        <v>18</v>
      </c>
      <c r="E8" s="3">
        <v>4805</v>
      </c>
      <c r="F8" s="11">
        <v>73975</v>
      </c>
      <c r="G8" s="3">
        <v>355449875</v>
      </c>
      <c r="H8" s="3">
        <v>1.6E-2</v>
      </c>
      <c r="I8" s="3">
        <v>19.12</v>
      </c>
      <c r="J8" s="3">
        <v>3.5</v>
      </c>
      <c r="K8" s="3">
        <v>1</v>
      </c>
      <c r="L8" s="4">
        <f t="shared" si="0"/>
        <v>45300</v>
      </c>
    </row>
    <row r="9" spans="1:19" ht="14.4" customHeight="1">
      <c r="A9" s="3">
        <v>2018</v>
      </c>
      <c r="B9" s="3">
        <v>1</v>
      </c>
      <c r="C9" s="3" t="s">
        <v>11</v>
      </c>
      <c r="D9" s="3" t="s">
        <v>19</v>
      </c>
      <c r="E9" s="3">
        <v>2554</v>
      </c>
      <c r="F9" s="11">
        <v>43005</v>
      </c>
      <c r="G9" s="3">
        <v>109834770</v>
      </c>
      <c r="H9" s="3">
        <v>1.2999999999999999E-2</v>
      </c>
      <c r="I9" s="3">
        <v>19.12</v>
      </c>
      <c r="J9" s="3">
        <v>3.5</v>
      </c>
      <c r="K9" s="3">
        <v>1</v>
      </c>
      <c r="L9" s="4">
        <f t="shared" si="0"/>
        <v>45301</v>
      </c>
      <c r="N9" s="16" t="s">
        <v>30</v>
      </c>
      <c r="O9" s="16"/>
    </row>
    <row r="10" spans="1:19" ht="14.4" customHeight="1">
      <c r="A10" s="3">
        <v>2018</v>
      </c>
      <c r="B10" s="3">
        <v>1</v>
      </c>
      <c r="C10" s="3" t="s">
        <v>20</v>
      </c>
      <c r="D10" s="3" t="s">
        <v>12</v>
      </c>
      <c r="E10" s="3">
        <v>3826</v>
      </c>
      <c r="F10" s="11">
        <v>48068</v>
      </c>
      <c r="G10" s="3">
        <v>183908168</v>
      </c>
      <c r="H10" s="3">
        <v>2.1000000000000001E-2</v>
      </c>
      <c r="I10" s="3">
        <v>17.600000000000001</v>
      </c>
      <c r="J10" s="3">
        <v>2.37</v>
      </c>
      <c r="K10" s="3">
        <v>1.02</v>
      </c>
      <c r="L10" s="4">
        <f t="shared" si="0"/>
        <v>45302</v>
      </c>
      <c r="N10" s="16"/>
      <c r="O10" s="16"/>
    </row>
    <row r="11" spans="1:19">
      <c r="A11" s="3">
        <v>2018</v>
      </c>
      <c r="B11" s="3">
        <v>1</v>
      </c>
      <c r="C11" s="3" t="s">
        <v>20</v>
      </c>
      <c r="D11" s="3" t="s">
        <v>13</v>
      </c>
      <c r="E11" s="3">
        <v>7498</v>
      </c>
      <c r="F11" s="11">
        <v>62435</v>
      </c>
      <c r="G11" s="3">
        <v>468137630</v>
      </c>
      <c r="H11" s="3">
        <v>1.4999999999999999E-2</v>
      </c>
      <c r="I11" s="3">
        <v>17.600000000000001</v>
      </c>
      <c r="J11" s="3">
        <v>2.37</v>
      </c>
      <c r="K11" s="3">
        <v>1.02</v>
      </c>
      <c r="L11" s="4">
        <f t="shared" si="0"/>
        <v>45303</v>
      </c>
      <c r="N11" s="15" t="str">
        <f>VLOOKUP(A2, $A$2:$K$500, 3, 0)</f>
        <v>Europe</v>
      </c>
      <c r="O11" s="15"/>
    </row>
    <row r="12" spans="1:19">
      <c r="A12" s="3">
        <v>2018</v>
      </c>
      <c r="B12" s="3">
        <v>1</v>
      </c>
      <c r="C12" s="3" t="s">
        <v>20</v>
      </c>
      <c r="D12" s="3" t="s">
        <v>14</v>
      </c>
      <c r="E12" s="3">
        <v>10727</v>
      </c>
      <c r="F12" s="11">
        <v>57363</v>
      </c>
      <c r="G12" s="3">
        <v>615332901</v>
      </c>
      <c r="H12" s="3">
        <v>1.4E-2</v>
      </c>
      <c r="I12" s="3">
        <v>17.600000000000001</v>
      </c>
      <c r="J12" s="3">
        <v>2.37</v>
      </c>
      <c r="K12" s="3">
        <v>1.02</v>
      </c>
      <c r="L12" s="4">
        <f t="shared" si="0"/>
        <v>45306</v>
      </c>
    </row>
    <row r="13" spans="1:19">
      <c r="A13" s="3">
        <v>2018</v>
      </c>
      <c r="B13" s="3">
        <v>1</v>
      </c>
      <c r="C13" s="3" t="s">
        <v>20</v>
      </c>
      <c r="D13" s="3" t="s">
        <v>15</v>
      </c>
      <c r="E13" s="3">
        <v>8298</v>
      </c>
      <c r="F13" s="11">
        <v>68390</v>
      </c>
      <c r="G13" s="3">
        <v>567500220</v>
      </c>
      <c r="H13" s="3">
        <v>1.7000000000000001E-2</v>
      </c>
      <c r="I13" s="3">
        <v>17.600000000000001</v>
      </c>
      <c r="J13" s="3">
        <v>2.37</v>
      </c>
      <c r="K13" s="3">
        <v>1.02</v>
      </c>
      <c r="L13" s="4">
        <f t="shared" si="0"/>
        <v>45307</v>
      </c>
      <c r="N13" s="16" t="s">
        <v>32</v>
      </c>
      <c r="O13" s="16"/>
    </row>
    <row r="14" spans="1:19">
      <c r="A14" s="3">
        <v>2018</v>
      </c>
      <c r="B14" s="3">
        <v>1</v>
      </c>
      <c r="C14" s="3" t="s">
        <v>20</v>
      </c>
      <c r="D14" s="3" t="s">
        <v>16</v>
      </c>
      <c r="E14" s="3">
        <v>9119</v>
      </c>
      <c r="F14" s="11">
        <v>90034</v>
      </c>
      <c r="G14" s="3">
        <v>821020046</v>
      </c>
      <c r="H14" s="3">
        <v>0.02</v>
      </c>
      <c r="I14" s="3">
        <v>17.600000000000001</v>
      </c>
      <c r="J14" s="3">
        <v>2.37</v>
      </c>
      <c r="K14" s="3">
        <v>1.02</v>
      </c>
      <c r="L14" s="4">
        <f t="shared" si="0"/>
        <v>45308</v>
      </c>
      <c r="N14" s="16"/>
      <c r="O14" s="16"/>
    </row>
    <row r="15" spans="1:19">
      <c r="A15" s="3">
        <v>2018</v>
      </c>
      <c r="B15" s="3">
        <v>1</v>
      </c>
      <c r="C15" s="3" t="s">
        <v>20</v>
      </c>
      <c r="D15" s="3" t="s">
        <v>17</v>
      </c>
      <c r="E15" s="3">
        <v>5369</v>
      </c>
      <c r="F15" s="11">
        <v>64955</v>
      </c>
      <c r="G15" s="3">
        <v>348743395</v>
      </c>
      <c r="H15" s="3">
        <v>8.9999999999999993E-3</v>
      </c>
      <c r="I15" s="3">
        <v>17.600000000000001</v>
      </c>
      <c r="J15" s="3">
        <v>2.37</v>
      </c>
      <c r="K15" s="3">
        <v>1.02</v>
      </c>
      <c r="L15" s="4">
        <f t="shared" si="0"/>
        <v>45309</v>
      </c>
      <c r="N15" s="17" t="str">
        <f>IFERROR(INDEX($C$2:$C$500, MATCH(TRIM(D2), $D$2:$D$500, 0)), "Model Not Found")</f>
        <v>Europe</v>
      </c>
      <c r="O15" s="17"/>
    </row>
    <row r="16" spans="1:19">
      <c r="A16" s="3">
        <v>2018</v>
      </c>
      <c r="B16" s="3">
        <v>1</v>
      </c>
      <c r="C16" s="3" t="s">
        <v>20</v>
      </c>
      <c r="D16" s="3" t="s">
        <v>18</v>
      </c>
      <c r="E16" s="3">
        <v>3880</v>
      </c>
      <c r="F16" s="11">
        <v>76461</v>
      </c>
      <c r="G16" s="3">
        <v>296668680</v>
      </c>
      <c r="H16" s="3">
        <v>7.0000000000000001E-3</v>
      </c>
      <c r="I16" s="3">
        <v>17.600000000000001</v>
      </c>
      <c r="J16" s="3">
        <v>2.37</v>
      </c>
      <c r="K16" s="3">
        <v>1.02</v>
      </c>
      <c r="L16" s="4">
        <f t="shared" si="0"/>
        <v>45310</v>
      </c>
    </row>
    <row r="17" spans="1:18">
      <c r="A17" s="3">
        <v>2018</v>
      </c>
      <c r="B17" s="3">
        <v>1</v>
      </c>
      <c r="C17" s="3" t="s">
        <v>20</v>
      </c>
      <c r="D17" s="3" t="s">
        <v>19</v>
      </c>
      <c r="E17" s="3">
        <v>6025</v>
      </c>
      <c r="F17" s="11">
        <v>43893</v>
      </c>
      <c r="G17" s="3">
        <v>264455325</v>
      </c>
      <c r="H17" s="3">
        <v>3.1E-2</v>
      </c>
      <c r="I17" s="3">
        <v>17.600000000000001</v>
      </c>
      <c r="J17" s="3">
        <v>2.37</v>
      </c>
      <c r="K17" s="3">
        <v>1.02</v>
      </c>
      <c r="L17" s="4">
        <f t="shared" si="0"/>
        <v>45313</v>
      </c>
    </row>
    <row r="18" spans="1:18">
      <c r="A18" s="3">
        <v>2018</v>
      </c>
      <c r="B18" s="3">
        <v>1</v>
      </c>
      <c r="C18" s="3" t="s">
        <v>21</v>
      </c>
      <c r="D18" s="3" t="s">
        <v>12</v>
      </c>
      <c r="E18" s="3">
        <v>9622</v>
      </c>
      <c r="F18" s="11">
        <v>46337</v>
      </c>
      <c r="G18" s="3">
        <v>445854614</v>
      </c>
      <c r="H18" s="3">
        <v>0.01</v>
      </c>
      <c r="I18" s="3">
        <v>20.49</v>
      </c>
      <c r="J18" s="3">
        <v>0.82</v>
      </c>
      <c r="K18" s="3">
        <v>0.97</v>
      </c>
      <c r="L18" s="4">
        <f t="shared" si="0"/>
        <v>45314</v>
      </c>
      <c r="R18" t="s">
        <v>26</v>
      </c>
    </row>
    <row r="19" spans="1:18">
      <c r="A19" s="3">
        <v>2018</v>
      </c>
      <c r="B19" s="3">
        <v>1</v>
      </c>
      <c r="C19" s="3" t="s">
        <v>21</v>
      </c>
      <c r="D19" s="3" t="s">
        <v>13</v>
      </c>
      <c r="E19" s="3">
        <v>3209</v>
      </c>
      <c r="F19" s="11">
        <v>61076</v>
      </c>
      <c r="G19" s="3">
        <v>195992884</v>
      </c>
      <c r="H19" s="3">
        <v>4.0000000000000001E-3</v>
      </c>
      <c r="I19" s="3">
        <v>20.49</v>
      </c>
      <c r="J19" s="3">
        <v>0.82</v>
      </c>
      <c r="K19" s="3">
        <v>0.97</v>
      </c>
      <c r="L19" s="4">
        <f t="shared" si="0"/>
        <v>45315</v>
      </c>
    </row>
    <row r="20" spans="1:18">
      <c r="A20" s="3">
        <v>2018</v>
      </c>
      <c r="B20" s="3">
        <v>1</v>
      </c>
      <c r="C20" s="3" t="s">
        <v>21</v>
      </c>
      <c r="D20" s="3" t="s">
        <v>14</v>
      </c>
      <c r="E20" s="3">
        <v>7017</v>
      </c>
      <c r="F20" s="11">
        <v>56379</v>
      </c>
      <c r="G20" s="3">
        <v>395611443</v>
      </c>
      <c r="H20" s="3">
        <v>7.0000000000000001E-3</v>
      </c>
      <c r="I20" s="3">
        <v>20.49</v>
      </c>
      <c r="J20" s="3">
        <v>0.82</v>
      </c>
      <c r="K20" s="3">
        <v>0.97</v>
      </c>
      <c r="L20" s="4">
        <f t="shared" si="0"/>
        <v>45316</v>
      </c>
    </row>
    <row r="21" spans="1:18">
      <c r="A21" s="3">
        <v>2018</v>
      </c>
      <c r="B21" s="3">
        <v>1</v>
      </c>
      <c r="C21" s="3" t="s">
        <v>21</v>
      </c>
      <c r="D21" s="3" t="s">
        <v>15</v>
      </c>
      <c r="E21" s="3">
        <v>10624</v>
      </c>
      <c r="F21" s="11">
        <v>70112</v>
      </c>
      <c r="G21" s="3">
        <v>744869888</v>
      </c>
      <c r="H21" s="3">
        <v>1.0999999999999999E-2</v>
      </c>
      <c r="I21" s="3">
        <v>20.49</v>
      </c>
      <c r="J21" s="3">
        <v>0.82</v>
      </c>
      <c r="K21" s="3">
        <v>0.97</v>
      </c>
      <c r="L21" s="4">
        <f t="shared" si="0"/>
        <v>45317</v>
      </c>
    </row>
    <row r="22" spans="1:18">
      <c r="A22" s="3">
        <v>2018</v>
      </c>
      <c r="B22" s="3">
        <v>1</v>
      </c>
      <c r="C22" s="3" t="s">
        <v>21</v>
      </c>
      <c r="D22" s="3" t="s">
        <v>16</v>
      </c>
      <c r="E22" s="3">
        <v>7387</v>
      </c>
      <c r="F22" s="11">
        <v>91698</v>
      </c>
      <c r="G22" s="3">
        <v>677373126</v>
      </c>
      <c r="H22" s="3">
        <v>2.5999999999999999E-2</v>
      </c>
      <c r="I22" s="3">
        <v>20.49</v>
      </c>
      <c r="J22" s="3">
        <v>0.82</v>
      </c>
      <c r="K22" s="3">
        <v>0.97</v>
      </c>
      <c r="L22" s="4">
        <f t="shared" si="0"/>
        <v>45320</v>
      </c>
    </row>
    <row r="23" spans="1:18">
      <c r="A23" s="3">
        <v>2018</v>
      </c>
      <c r="B23" s="3">
        <v>1</v>
      </c>
      <c r="C23" s="3" t="s">
        <v>21</v>
      </c>
      <c r="D23" s="3" t="s">
        <v>17</v>
      </c>
      <c r="E23" s="3">
        <v>7972</v>
      </c>
      <c r="F23" s="11">
        <v>66561</v>
      </c>
      <c r="G23" s="3">
        <v>530624292</v>
      </c>
      <c r="H23" s="3">
        <v>2.9000000000000001E-2</v>
      </c>
      <c r="I23" s="3">
        <v>20.49</v>
      </c>
      <c r="J23" s="3">
        <v>0.82</v>
      </c>
      <c r="K23" s="3">
        <v>0.97</v>
      </c>
      <c r="L23" s="4">
        <f t="shared" si="0"/>
        <v>45321</v>
      </c>
    </row>
    <row r="24" spans="1:18">
      <c r="A24" s="3">
        <v>2018</v>
      </c>
      <c r="B24" s="3">
        <v>1</v>
      </c>
      <c r="C24" s="3" t="s">
        <v>21</v>
      </c>
      <c r="D24" s="3" t="s">
        <v>18</v>
      </c>
      <c r="E24" s="3">
        <v>8249</v>
      </c>
      <c r="F24" s="11">
        <v>73502</v>
      </c>
      <c r="G24" s="3">
        <v>606317998</v>
      </c>
      <c r="H24" s="3">
        <v>1.0999999999999999E-2</v>
      </c>
      <c r="I24" s="3">
        <v>20.49</v>
      </c>
      <c r="J24" s="3">
        <v>0.82</v>
      </c>
      <c r="K24" s="3">
        <v>0.97</v>
      </c>
      <c r="L24" s="4">
        <f t="shared" si="0"/>
        <v>45322</v>
      </c>
    </row>
    <row r="25" spans="1:18">
      <c r="A25" s="3">
        <v>2018</v>
      </c>
      <c r="B25" s="3">
        <v>1</v>
      </c>
      <c r="C25" s="3" t="s">
        <v>21</v>
      </c>
      <c r="D25" s="3" t="s">
        <v>19</v>
      </c>
      <c r="E25" s="3">
        <v>4706</v>
      </c>
      <c r="F25" s="11">
        <v>43645</v>
      </c>
      <c r="G25" s="3">
        <v>205393370</v>
      </c>
      <c r="H25" s="3">
        <v>1.9E-2</v>
      </c>
      <c r="I25" s="3">
        <v>20.49</v>
      </c>
      <c r="J25" s="3">
        <v>0.82</v>
      </c>
      <c r="K25" s="3">
        <v>0.97</v>
      </c>
      <c r="L25" s="4">
        <f t="shared" si="0"/>
        <v>45323</v>
      </c>
    </row>
    <row r="26" spans="1:18">
      <c r="A26" s="3">
        <v>2018</v>
      </c>
      <c r="B26" s="3">
        <v>1</v>
      </c>
      <c r="C26" s="3" t="s">
        <v>22</v>
      </c>
      <c r="D26" s="3" t="s">
        <v>12</v>
      </c>
      <c r="E26" s="3">
        <v>10121</v>
      </c>
      <c r="F26" s="11">
        <v>47485</v>
      </c>
      <c r="G26" s="3">
        <v>480595685</v>
      </c>
      <c r="H26" s="3">
        <v>0</v>
      </c>
      <c r="I26" s="3">
        <v>6.28</v>
      </c>
      <c r="J26" s="3">
        <v>4.18</v>
      </c>
      <c r="K26" s="3">
        <v>0.97</v>
      </c>
      <c r="L26" s="4">
        <f t="shared" si="0"/>
        <v>45324</v>
      </c>
    </row>
    <row r="27" spans="1:18">
      <c r="A27" s="3">
        <v>2018</v>
      </c>
      <c r="B27" s="3">
        <v>1</v>
      </c>
      <c r="C27" s="3" t="s">
        <v>22</v>
      </c>
      <c r="D27" s="3" t="s">
        <v>13</v>
      </c>
      <c r="E27" s="3">
        <v>6023</v>
      </c>
      <c r="F27" s="11">
        <v>61028</v>
      </c>
      <c r="G27" s="3">
        <v>367571644</v>
      </c>
      <c r="H27" s="3">
        <v>3.1E-2</v>
      </c>
      <c r="I27" s="3">
        <v>6.28</v>
      </c>
      <c r="J27" s="3">
        <v>4.18</v>
      </c>
      <c r="K27" s="3">
        <v>0.97</v>
      </c>
      <c r="L27" s="4">
        <f t="shared" si="0"/>
        <v>45327</v>
      </c>
    </row>
    <row r="28" spans="1:18">
      <c r="A28" s="3">
        <v>2018</v>
      </c>
      <c r="B28" s="3">
        <v>1</v>
      </c>
      <c r="C28" s="3" t="s">
        <v>22</v>
      </c>
      <c r="D28" s="3" t="s">
        <v>14</v>
      </c>
      <c r="E28" s="3">
        <v>9390</v>
      </c>
      <c r="F28" s="11">
        <v>58842</v>
      </c>
      <c r="G28" s="3">
        <v>552526380</v>
      </c>
      <c r="H28" s="3">
        <v>1.2E-2</v>
      </c>
      <c r="I28" s="3">
        <v>6.28</v>
      </c>
      <c r="J28" s="3">
        <v>4.18</v>
      </c>
      <c r="K28" s="3">
        <v>0.97</v>
      </c>
      <c r="L28" s="4">
        <f t="shared" si="0"/>
        <v>45328</v>
      </c>
    </row>
    <row r="29" spans="1:18">
      <c r="A29" s="3">
        <v>2018</v>
      </c>
      <c r="B29" s="3">
        <v>1</v>
      </c>
      <c r="C29" s="3" t="s">
        <v>22</v>
      </c>
      <c r="D29" s="3" t="s">
        <v>15</v>
      </c>
      <c r="E29" s="3">
        <v>6638</v>
      </c>
      <c r="F29" s="11">
        <v>67206</v>
      </c>
      <c r="G29" s="3">
        <v>446113428</v>
      </c>
      <c r="H29" s="3">
        <v>1.2E-2</v>
      </c>
      <c r="I29" s="3">
        <v>6.28</v>
      </c>
      <c r="J29" s="3">
        <v>4.18</v>
      </c>
      <c r="K29" s="3">
        <v>0.97</v>
      </c>
      <c r="L29" s="4">
        <f t="shared" si="0"/>
        <v>45329</v>
      </c>
    </row>
    <row r="30" spans="1:18">
      <c r="A30" s="3">
        <v>2018</v>
      </c>
      <c r="B30" s="3">
        <v>1</v>
      </c>
      <c r="C30" s="3" t="s">
        <v>22</v>
      </c>
      <c r="D30" s="3" t="s">
        <v>16</v>
      </c>
      <c r="E30" s="3">
        <v>7252</v>
      </c>
      <c r="F30" s="11">
        <v>93762</v>
      </c>
      <c r="G30" s="3">
        <v>679962024</v>
      </c>
      <c r="H30" s="3">
        <v>1.7999999999999999E-2</v>
      </c>
      <c r="I30" s="3">
        <v>6.28</v>
      </c>
      <c r="J30" s="3">
        <v>4.18</v>
      </c>
      <c r="K30" s="3">
        <v>0.97</v>
      </c>
      <c r="L30" s="4">
        <f t="shared" si="0"/>
        <v>45330</v>
      </c>
    </row>
    <row r="31" spans="1:18">
      <c r="A31" s="3">
        <v>2018</v>
      </c>
      <c r="B31" s="3">
        <v>1</v>
      </c>
      <c r="C31" s="3" t="s">
        <v>22</v>
      </c>
      <c r="D31" s="3" t="s">
        <v>17</v>
      </c>
      <c r="E31" s="3">
        <v>3194</v>
      </c>
      <c r="F31" s="11">
        <v>65790</v>
      </c>
      <c r="G31" s="3">
        <v>210133260</v>
      </c>
      <c r="H31" s="3">
        <v>0.01</v>
      </c>
      <c r="I31" s="3">
        <v>6.28</v>
      </c>
      <c r="J31" s="3">
        <v>4.18</v>
      </c>
      <c r="K31" s="3">
        <v>0.97</v>
      </c>
      <c r="L31" s="4">
        <f t="shared" si="0"/>
        <v>45331</v>
      </c>
    </row>
    <row r="32" spans="1:18">
      <c r="A32" s="3">
        <v>2018</v>
      </c>
      <c r="B32" s="3">
        <v>1</v>
      </c>
      <c r="C32" s="3" t="s">
        <v>22</v>
      </c>
      <c r="D32" s="3" t="s">
        <v>18</v>
      </c>
      <c r="E32" s="3">
        <v>9412</v>
      </c>
      <c r="F32" s="11">
        <v>74757</v>
      </c>
      <c r="G32" s="3">
        <v>703612884</v>
      </c>
      <c r="H32" s="3">
        <v>2.1000000000000001E-2</v>
      </c>
      <c r="I32" s="3">
        <v>6.28</v>
      </c>
      <c r="J32" s="3">
        <v>4.18</v>
      </c>
      <c r="K32" s="3">
        <v>0.97</v>
      </c>
      <c r="L32" s="4">
        <f t="shared" si="0"/>
        <v>45334</v>
      </c>
    </row>
    <row r="33" spans="1:12">
      <c r="A33" s="3">
        <v>2018</v>
      </c>
      <c r="B33" s="3">
        <v>1</v>
      </c>
      <c r="C33" s="3" t="s">
        <v>22</v>
      </c>
      <c r="D33" s="3" t="s">
        <v>19</v>
      </c>
      <c r="E33" s="3">
        <v>9570</v>
      </c>
      <c r="F33" s="11">
        <v>42278</v>
      </c>
      <c r="G33" s="3">
        <v>404600460</v>
      </c>
      <c r="H33" s="3">
        <v>0</v>
      </c>
      <c r="I33" s="3">
        <v>6.28</v>
      </c>
      <c r="J33" s="3">
        <v>4.18</v>
      </c>
      <c r="K33" s="3">
        <v>0.97</v>
      </c>
      <c r="L33" s="4">
        <f t="shared" si="0"/>
        <v>45335</v>
      </c>
    </row>
    <row r="34" spans="1:12">
      <c r="A34" s="3">
        <v>2018</v>
      </c>
      <c r="B34" s="3">
        <v>2</v>
      </c>
      <c r="C34" s="3" t="s">
        <v>11</v>
      </c>
      <c r="D34" s="3" t="s">
        <v>12</v>
      </c>
      <c r="E34" s="3">
        <v>5374</v>
      </c>
      <c r="F34" s="11">
        <v>47597</v>
      </c>
      <c r="G34" s="3">
        <v>255786278</v>
      </c>
      <c r="H34" s="3">
        <v>2.3E-2</v>
      </c>
      <c r="I34" s="3">
        <v>15.6</v>
      </c>
      <c r="J34" s="3">
        <v>4.4800000000000004</v>
      </c>
      <c r="K34" s="3">
        <v>0.98</v>
      </c>
      <c r="L34" s="4">
        <f t="shared" si="0"/>
        <v>45336</v>
      </c>
    </row>
    <row r="35" spans="1:12">
      <c r="A35" s="3">
        <v>2018</v>
      </c>
      <c r="B35" s="3">
        <v>2</v>
      </c>
      <c r="C35" s="3" t="s">
        <v>11</v>
      </c>
      <c r="D35" s="3" t="s">
        <v>13</v>
      </c>
      <c r="E35" s="3">
        <v>4933</v>
      </c>
      <c r="F35" s="11">
        <v>60795</v>
      </c>
      <c r="G35" s="3">
        <v>299901735</v>
      </c>
      <c r="H35" s="3">
        <v>2.9000000000000001E-2</v>
      </c>
      <c r="I35" s="3">
        <v>15.6</v>
      </c>
      <c r="J35" s="3">
        <v>4.4800000000000004</v>
      </c>
      <c r="K35" s="3">
        <v>0.98</v>
      </c>
      <c r="L35" s="4">
        <f t="shared" si="0"/>
        <v>45337</v>
      </c>
    </row>
    <row r="36" spans="1:12">
      <c r="A36" s="3">
        <v>2018</v>
      </c>
      <c r="B36" s="3">
        <v>2</v>
      </c>
      <c r="C36" s="3" t="s">
        <v>11</v>
      </c>
      <c r="D36" s="3" t="s">
        <v>14</v>
      </c>
      <c r="E36" s="3">
        <v>5820</v>
      </c>
      <c r="F36" s="11">
        <v>57663</v>
      </c>
      <c r="G36" s="3">
        <v>335598660</v>
      </c>
      <c r="H36" s="3">
        <v>0.03</v>
      </c>
      <c r="I36" s="3">
        <v>15.6</v>
      </c>
      <c r="J36" s="3">
        <v>4.4800000000000004</v>
      </c>
      <c r="K36" s="3">
        <v>0.98</v>
      </c>
      <c r="L36" s="4">
        <f t="shared" si="0"/>
        <v>45338</v>
      </c>
    </row>
    <row r="37" spans="1:12">
      <c r="A37" s="3">
        <v>2018</v>
      </c>
      <c r="B37" s="3">
        <v>2</v>
      </c>
      <c r="C37" s="3" t="s">
        <v>11</v>
      </c>
      <c r="D37" s="3" t="s">
        <v>15</v>
      </c>
      <c r="E37" s="3">
        <v>7687</v>
      </c>
      <c r="F37" s="11">
        <v>70302</v>
      </c>
      <c r="G37" s="3">
        <v>540411474</v>
      </c>
      <c r="H37" s="3">
        <v>1.7999999999999999E-2</v>
      </c>
      <c r="I37" s="3">
        <v>15.6</v>
      </c>
      <c r="J37" s="3">
        <v>4.4800000000000004</v>
      </c>
      <c r="K37" s="3">
        <v>0.98</v>
      </c>
      <c r="L37" s="4">
        <f t="shared" si="0"/>
        <v>45341</v>
      </c>
    </row>
    <row r="38" spans="1:12">
      <c r="A38" s="3">
        <v>2018</v>
      </c>
      <c r="B38" s="3">
        <v>2</v>
      </c>
      <c r="C38" s="3" t="s">
        <v>11</v>
      </c>
      <c r="D38" s="3" t="s">
        <v>16</v>
      </c>
      <c r="E38" s="3">
        <v>9397</v>
      </c>
      <c r="F38" s="11">
        <v>92680</v>
      </c>
      <c r="G38" s="3">
        <v>870913960</v>
      </c>
      <c r="H38" s="3">
        <v>2.8000000000000001E-2</v>
      </c>
      <c r="I38" s="3">
        <v>15.6</v>
      </c>
      <c r="J38" s="3">
        <v>4.4800000000000004</v>
      </c>
      <c r="K38" s="3">
        <v>0.98</v>
      </c>
      <c r="L38" s="4">
        <f t="shared" si="0"/>
        <v>45342</v>
      </c>
    </row>
    <row r="39" spans="1:12">
      <c r="A39" s="3">
        <v>2018</v>
      </c>
      <c r="B39" s="3">
        <v>2</v>
      </c>
      <c r="C39" s="3" t="s">
        <v>11</v>
      </c>
      <c r="D39" s="3" t="s">
        <v>17</v>
      </c>
      <c r="E39" s="3">
        <v>7945</v>
      </c>
      <c r="F39" s="11">
        <v>64282</v>
      </c>
      <c r="G39" s="3">
        <v>510720490</v>
      </c>
      <c r="H39" s="3">
        <v>7.0000000000000001E-3</v>
      </c>
      <c r="I39" s="3">
        <v>15.6</v>
      </c>
      <c r="J39" s="3">
        <v>4.4800000000000004</v>
      </c>
      <c r="K39" s="3">
        <v>0.98</v>
      </c>
      <c r="L39" s="4">
        <f t="shared" si="0"/>
        <v>45343</v>
      </c>
    </row>
    <row r="40" spans="1:12">
      <c r="A40" s="3">
        <v>2018</v>
      </c>
      <c r="B40" s="3">
        <v>2</v>
      </c>
      <c r="C40" s="3" t="s">
        <v>11</v>
      </c>
      <c r="D40" s="3" t="s">
        <v>18</v>
      </c>
      <c r="E40" s="3">
        <v>9524</v>
      </c>
      <c r="F40" s="11">
        <v>73317</v>
      </c>
      <c r="G40" s="3">
        <v>698271108</v>
      </c>
      <c r="H40" s="3">
        <v>2.1000000000000001E-2</v>
      </c>
      <c r="I40" s="3">
        <v>15.6</v>
      </c>
      <c r="J40" s="3">
        <v>4.4800000000000004</v>
      </c>
      <c r="K40" s="3">
        <v>0.98</v>
      </c>
      <c r="L40" s="4">
        <f t="shared" si="0"/>
        <v>45344</v>
      </c>
    </row>
    <row r="41" spans="1:12">
      <c r="A41" s="3">
        <v>2018</v>
      </c>
      <c r="B41" s="3">
        <v>2</v>
      </c>
      <c r="C41" s="3" t="s">
        <v>11</v>
      </c>
      <c r="D41" s="3" t="s">
        <v>19</v>
      </c>
      <c r="E41" s="3">
        <v>5935</v>
      </c>
      <c r="F41" s="11">
        <v>43296</v>
      </c>
      <c r="G41" s="3">
        <v>256961760</v>
      </c>
      <c r="H41" s="3">
        <v>8.0000000000000002E-3</v>
      </c>
      <c r="I41" s="3">
        <v>15.6</v>
      </c>
      <c r="J41" s="3">
        <v>4.4800000000000004</v>
      </c>
      <c r="K41" s="3">
        <v>0.98</v>
      </c>
      <c r="L41" s="4">
        <f t="shared" si="0"/>
        <v>45345</v>
      </c>
    </row>
    <row r="42" spans="1:12">
      <c r="A42" s="3">
        <v>2018</v>
      </c>
      <c r="B42" s="3">
        <v>2</v>
      </c>
      <c r="C42" s="3" t="s">
        <v>20</v>
      </c>
      <c r="D42" s="3" t="s">
        <v>12</v>
      </c>
      <c r="E42" s="3">
        <v>3795</v>
      </c>
      <c r="F42" s="11">
        <v>47520</v>
      </c>
      <c r="G42" s="3">
        <v>180338400</v>
      </c>
      <c r="H42" s="3">
        <v>1.0999999999999999E-2</v>
      </c>
      <c r="I42" s="3">
        <v>20.6</v>
      </c>
      <c r="J42" s="3">
        <v>2.66</v>
      </c>
      <c r="K42" s="3">
        <v>0.98</v>
      </c>
      <c r="L42" s="4">
        <f t="shared" si="0"/>
        <v>45348</v>
      </c>
    </row>
    <row r="43" spans="1:12">
      <c r="A43" s="3">
        <v>2018</v>
      </c>
      <c r="B43" s="3">
        <v>2</v>
      </c>
      <c r="C43" s="3" t="s">
        <v>20</v>
      </c>
      <c r="D43" s="3" t="s">
        <v>13</v>
      </c>
      <c r="E43" s="3">
        <v>8630</v>
      </c>
      <c r="F43" s="11">
        <v>60563</v>
      </c>
      <c r="G43" s="3">
        <v>522658690</v>
      </c>
      <c r="H43" s="3">
        <v>3.4000000000000002E-2</v>
      </c>
      <c r="I43" s="3">
        <v>20.6</v>
      </c>
      <c r="J43" s="3">
        <v>2.66</v>
      </c>
      <c r="K43" s="3">
        <v>0.98</v>
      </c>
      <c r="L43" s="4">
        <f t="shared" si="0"/>
        <v>45349</v>
      </c>
    </row>
    <row r="44" spans="1:12">
      <c r="A44" s="3">
        <v>2018</v>
      </c>
      <c r="B44" s="3">
        <v>2</v>
      </c>
      <c r="C44" s="3" t="s">
        <v>20</v>
      </c>
      <c r="D44" s="3" t="s">
        <v>14</v>
      </c>
      <c r="E44" s="3">
        <v>3601</v>
      </c>
      <c r="F44" s="11">
        <v>59184</v>
      </c>
      <c r="G44" s="3">
        <v>213121584</v>
      </c>
      <c r="H44" s="3">
        <v>0.02</v>
      </c>
      <c r="I44" s="3">
        <v>20.6</v>
      </c>
      <c r="J44" s="3">
        <v>2.66</v>
      </c>
      <c r="K44" s="3">
        <v>0.98</v>
      </c>
      <c r="L44" s="4">
        <f t="shared" si="0"/>
        <v>45350</v>
      </c>
    </row>
    <row r="45" spans="1:12">
      <c r="A45" s="3">
        <v>2018</v>
      </c>
      <c r="B45" s="3">
        <v>2</v>
      </c>
      <c r="C45" s="3" t="s">
        <v>20</v>
      </c>
      <c r="D45" s="3" t="s">
        <v>15</v>
      </c>
      <c r="E45" s="3">
        <v>3929</v>
      </c>
      <c r="F45" s="11">
        <v>70696</v>
      </c>
      <c r="G45" s="3">
        <v>277764584</v>
      </c>
      <c r="H45" s="3">
        <v>3.0000000000000001E-3</v>
      </c>
      <c r="I45" s="3">
        <v>20.6</v>
      </c>
      <c r="J45" s="3">
        <v>2.66</v>
      </c>
      <c r="K45" s="3">
        <v>0.98</v>
      </c>
      <c r="L45" s="4">
        <f t="shared" si="0"/>
        <v>45351</v>
      </c>
    </row>
    <row r="46" spans="1:12">
      <c r="A46" s="3">
        <v>2018</v>
      </c>
      <c r="B46" s="3">
        <v>2</v>
      </c>
      <c r="C46" s="3" t="s">
        <v>20</v>
      </c>
      <c r="D46" s="3" t="s">
        <v>16</v>
      </c>
      <c r="E46" s="3">
        <v>3038</v>
      </c>
      <c r="F46" s="11">
        <v>91589</v>
      </c>
      <c r="G46" s="3">
        <v>278247382</v>
      </c>
      <c r="H46" s="3">
        <v>2.1000000000000001E-2</v>
      </c>
      <c r="I46" s="3">
        <v>20.6</v>
      </c>
      <c r="J46" s="3">
        <v>2.66</v>
      </c>
      <c r="K46" s="3">
        <v>0.98</v>
      </c>
      <c r="L46" s="4">
        <f t="shared" si="0"/>
        <v>45352</v>
      </c>
    </row>
    <row r="47" spans="1:12">
      <c r="A47" s="3">
        <v>2018</v>
      </c>
      <c r="B47" s="3">
        <v>2</v>
      </c>
      <c r="C47" s="3" t="s">
        <v>20</v>
      </c>
      <c r="D47" s="3" t="s">
        <v>17</v>
      </c>
      <c r="E47" s="3">
        <v>3186</v>
      </c>
      <c r="F47" s="11">
        <v>64759</v>
      </c>
      <c r="G47" s="3">
        <v>206322174</v>
      </c>
      <c r="H47" s="3">
        <v>4.4999999999999998E-2</v>
      </c>
      <c r="I47" s="3">
        <v>20.6</v>
      </c>
      <c r="J47" s="3">
        <v>2.66</v>
      </c>
      <c r="K47" s="3">
        <v>0.98</v>
      </c>
      <c r="L47" s="4">
        <f t="shared" si="0"/>
        <v>45355</v>
      </c>
    </row>
    <row r="48" spans="1:12">
      <c r="A48" s="3">
        <v>2018</v>
      </c>
      <c r="B48" s="3">
        <v>2</v>
      </c>
      <c r="C48" s="3" t="s">
        <v>20</v>
      </c>
      <c r="D48" s="3" t="s">
        <v>18</v>
      </c>
      <c r="E48" s="3">
        <v>9397</v>
      </c>
      <c r="F48" s="11">
        <v>74076</v>
      </c>
      <c r="G48" s="3">
        <v>696092172</v>
      </c>
      <c r="H48" s="3">
        <v>3.4000000000000002E-2</v>
      </c>
      <c r="I48" s="3">
        <v>20.6</v>
      </c>
      <c r="J48" s="3">
        <v>2.66</v>
      </c>
      <c r="K48" s="3">
        <v>0.98</v>
      </c>
      <c r="L48" s="4">
        <f t="shared" si="0"/>
        <v>45356</v>
      </c>
    </row>
    <row r="49" spans="1:12">
      <c r="A49" s="3">
        <v>2018</v>
      </c>
      <c r="B49" s="3">
        <v>2</v>
      </c>
      <c r="C49" s="3" t="s">
        <v>20</v>
      </c>
      <c r="D49" s="3" t="s">
        <v>19</v>
      </c>
      <c r="E49" s="3">
        <v>3996</v>
      </c>
      <c r="F49" s="11">
        <v>42777</v>
      </c>
      <c r="G49" s="3">
        <v>170936892</v>
      </c>
      <c r="H49" s="3">
        <v>3.1E-2</v>
      </c>
      <c r="I49" s="3">
        <v>20.6</v>
      </c>
      <c r="J49" s="3">
        <v>2.66</v>
      </c>
      <c r="K49" s="3">
        <v>0.98</v>
      </c>
      <c r="L49" s="4">
        <f t="shared" si="0"/>
        <v>45357</v>
      </c>
    </row>
    <row r="50" spans="1:12">
      <c r="A50" s="3">
        <v>2018</v>
      </c>
      <c r="B50" s="3">
        <v>2</v>
      </c>
      <c r="C50" s="3" t="s">
        <v>21</v>
      </c>
      <c r="D50" s="3" t="s">
        <v>12</v>
      </c>
      <c r="E50" s="3">
        <v>10885</v>
      </c>
      <c r="F50" s="11">
        <v>49681</v>
      </c>
      <c r="G50" s="3">
        <v>540777685</v>
      </c>
      <c r="H50" s="3">
        <v>1.9E-2</v>
      </c>
      <c r="I50" s="3">
        <v>15.66</v>
      </c>
      <c r="J50" s="3">
        <v>4.1399999999999997</v>
      </c>
      <c r="K50" s="3">
        <v>1.02</v>
      </c>
      <c r="L50" s="4">
        <f t="shared" si="0"/>
        <v>45358</v>
      </c>
    </row>
    <row r="51" spans="1:12">
      <c r="A51" s="3">
        <v>2018</v>
      </c>
      <c r="B51" s="3">
        <v>2</v>
      </c>
      <c r="C51" s="3" t="s">
        <v>21</v>
      </c>
      <c r="D51" s="3" t="s">
        <v>13</v>
      </c>
      <c r="E51" s="3">
        <v>2562</v>
      </c>
      <c r="F51" s="11">
        <v>63029</v>
      </c>
      <c r="G51" s="3">
        <v>161480298</v>
      </c>
      <c r="H51" s="3">
        <v>3.4000000000000002E-2</v>
      </c>
      <c r="I51" s="3">
        <v>15.66</v>
      </c>
      <c r="J51" s="3">
        <v>4.1399999999999997</v>
      </c>
      <c r="K51" s="3">
        <v>1.02</v>
      </c>
      <c r="L51" s="4">
        <f t="shared" si="0"/>
        <v>45359</v>
      </c>
    </row>
    <row r="52" spans="1:12">
      <c r="A52" s="3">
        <v>2018</v>
      </c>
      <c r="B52" s="3">
        <v>2</v>
      </c>
      <c r="C52" s="3" t="s">
        <v>21</v>
      </c>
      <c r="D52" s="3" t="s">
        <v>14</v>
      </c>
      <c r="E52" s="3">
        <v>4208</v>
      </c>
      <c r="F52" s="11">
        <v>59272</v>
      </c>
      <c r="G52" s="3">
        <v>249416576</v>
      </c>
      <c r="H52" s="3">
        <v>2.5000000000000001E-2</v>
      </c>
      <c r="I52" s="3">
        <v>15.66</v>
      </c>
      <c r="J52" s="3">
        <v>4.1399999999999997</v>
      </c>
      <c r="K52" s="3">
        <v>1.02</v>
      </c>
      <c r="L52" s="4">
        <f t="shared" si="0"/>
        <v>45362</v>
      </c>
    </row>
    <row r="53" spans="1:12">
      <c r="A53" s="3">
        <v>2018</v>
      </c>
      <c r="B53" s="3">
        <v>2</v>
      </c>
      <c r="C53" s="3" t="s">
        <v>21</v>
      </c>
      <c r="D53" s="3" t="s">
        <v>15</v>
      </c>
      <c r="E53" s="3">
        <v>11247</v>
      </c>
      <c r="F53" s="11">
        <v>67186</v>
      </c>
      <c r="G53" s="3">
        <v>755640942</v>
      </c>
      <c r="H53" s="3">
        <v>2.5000000000000001E-2</v>
      </c>
      <c r="I53" s="3">
        <v>15.66</v>
      </c>
      <c r="J53" s="3">
        <v>4.1399999999999997</v>
      </c>
      <c r="K53" s="3">
        <v>1.02</v>
      </c>
      <c r="L53" s="4">
        <f t="shared" si="0"/>
        <v>45363</v>
      </c>
    </row>
    <row r="54" spans="1:12">
      <c r="A54" s="3">
        <v>2018</v>
      </c>
      <c r="B54" s="3">
        <v>2</v>
      </c>
      <c r="C54" s="3" t="s">
        <v>21</v>
      </c>
      <c r="D54" s="3" t="s">
        <v>16</v>
      </c>
      <c r="E54" s="3">
        <v>4760</v>
      </c>
      <c r="F54" s="11">
        <v>93002</v>
      </c>
      <c r="G54" s="3">
        <v>442689520</v>
      </c>
      <c r="H54" s="3">
        <v>2.1000000000000001E-2</v>
      </c>
      <c r="I54" s="3">
        <v>15.66</v>
      </c>
      <c r="J54" s="3">
        <v>4.1399999999999997</v>
      </c>
      <c r="K54" s="3">
        <v>1.02</v>
      </c>
      <c r="L54" s="4">
        <f t="shared" si="0"/>
        <v>45364</v>
      </c>
    </row>
    <row r="55" spans="1:12">
      <c r="A55" s="3">
        <v>2018</v>
      </c>
      <c r="B55" s="3">
        <v>2</v>
      </c>
      <c r="C55" s="3" t="s">
        <v>21</v>
      </c>
      <c r="D55" s="3" t="s">
        <v>17</v>
      </c>
      <c r="E55" s="3">
        <v>8593</v>
      </c>
      <c r="F55" s="11">
        <v>64369</v>
      </c>
      <c r="G55" s="3">
        <v>553122817</v>
      </c>
      <c r="H55" s="3">
        <v>1.4999999999999999E-2</v>
      </c>
      <c r="I55" s="3">
        <v>15.66</v>
      </c>
      <c r="J55" s="3">
        <v>4.1399999999999997</v>
      </c>
      <c r="K55" s="3">
        <v>1.02</v>
      </c>
      <c r="L55" s="4">
        <f t="shared" si="0"/>
        <v>45365</v>
      </c>
    </row>
    <row r="56" spans="1:12">
      <c r="A56" s="3">
        <v>2018</v>
      </c>
      <c r="B56" s="3">
        <v>2</v>
      </c>
      <c r="C56" s="3" t="s">
        <v>21</v>
      </c>
      <c r="D56" s="3" t="s">
        <v>18</v>
      </c>
      <c r="E56" s="3">
        <v>4261</v>
      </c>
      <c r="F56" s="11">
        <v>74734</v>
      </c>
      <c r="G56" s="3">
        <v>318441574</v>
      </c>
      <c r="H56" s="3">
        <v>1.4999999999999999E-2</v>
      </c>
      <c r="I56" s="3">
        <v>15.66</v>
      </c>
      <c r="J56" s="3">
        <v>4.1399999999999997</v>
      </c>
      <c r="K56" s="3">
        <v>1.02</v>
      </c>
      <c r="L56" s="4">
        <f t="shared" si="0"/>
        <v>45366</v>
      </c>
    </row>
    <row r="57" spans="1:12">
      <c r="A57" s="3">
        <v>2018</v>
      </c>
      <c r="B57" s="3">
        <v>2</v>
      </c>
      <c r="C57" s="3" t="s">
        <v>21</v>
      </c>
      <c r="D57" s="3" t="s">
        <v>19</v>
      </c>
      <c r="E57" s="3">
        <v>4125</v>
      </c>
      <c r="F57" s="11">
        <v>40488</v>
      </c>
      <c r="G57" s="3">
        <v>167013000</v>
      </c>
      <c r="H57" s="3">
        <v>3.1E-2</v>
      </c>
      <c r="I57" s="3">
        <v>15.66</v>
      </c>
      <c r="J57" s="3">
        <v>4.1399999999999997</v>
      </c>
      <c r="K57" s="3">
        <v>1.02</v>
      </c>
      <c r="L57" s="4">
        <f t="shared" si="0"/>
        <v>45369</v>
      </c>
    </row>
    <row r="58" spans="1:12">
      <c r="A58" s="3">
        <v>2018</v>
      </c>
      <c r="B58" s="3">
        <v>2</v>
      </c>
      <c r="C58" s="3" t="s">
        <v>22</v>
      </c>
      <c r="D58" s="3" t="s">
        <v>12</v>
      </c>
      <c r="E58" s="3">
        <v>6874</v>
      </c>
      <c r="F58" s="11">
        <v>47969</v>
      </c>
      <c r="G58" s="3">
        <v>329738906</v>
      </c>
      <c r="H58" s="3">
        <v>3.2000000000000001E-2</v>
      </c>
      <c r="I58" s="3">
        <v>6.87</v>
      </c>
      <c r="J58" s="3">
        <v>2.08</v>
      </c>
      <c r="K58" s="3">
        <v>1.05</v>
      </c>
      <c r="L58" s="4">
        <f t="shared" si="0"/>
        <v>45370</v>
      </c>
    </row>
    <row r="59" spans="1:12">
      <c r="A59" s="3">
        <v>2018</v>
      </c>
      <c r="B59" s="3">
        <v>2</v>
      </c>
      <c r="C59" s="3" t="s">
        <v>22</v>
      </c>
      <c r="D59" s="3" t="s">
        <v>13</v>
      </c>
      <c r="E59" s="3">
        <v>7632</v>
      </c>
      <c r="F59" s="11">
        <v>63369</v>
      </c>
      <c r="G59" s="3">
        <v>483632208</v>
      </c>
      <c r="H59" s="3">
        <v>2.9000000000000001E-2</v>
      </c>
      <c r="I59" s="3">
        <v>6.87</v>
      </c>
      <c r="J59" s="3">
        <v>2.08</v>
      </c>
      <c r="K59" s="3">
        <v>1.05</v>
      </c>
      <c r="L59" s="4">
        <f t="shared" si="0"/>
        <v>45371</v>
      </c>
    </row>
    <row r="60" spans="1:12">
      <c r="A60" s="3">
        <v>2018</v>
      </c>
      <c r="B60" s="3">
        <v>2</v>
      </c>
      <c r="C60" s="3" t="s">
        <v>22</v>
      </c>
      <c r="D60" s="3" t="s">
        <v>14</v>
      </c>
      <c r="E60" s="3">
        <v>2623</v>
      </c>
      <c r="F60" s="11">
        <v>57016</v>
      </c>
      <c r="G60" s="3">
        <v>149552968</v>
      </c>
      <c r="H60" s="3">
        <v>0.03</v>
      </c>
      <c r="I60" s="3">
        <v>6.87</v>
      </c>
      <c r="J60" s="3">
        <v>2.08</v>
      </c>
      <c r="K60" s="3">
        <v>1.05</v>
      </c>
      <c r="L60" s="4">
        <f t="shared" si="0"/>
        <v>45372</v>
      </c>
    </row>
    <row r="61" spans="1:12">
      <c r="A61" s="3">
        <v>2018</v>
      </c>
      <c r="B61" s="3">
        <v>2</v>
      </c>
      <c r="C61" s="3" t="s">
        <v>22</v>
      </c>
      <c r="D61" s="3" t="s">
        <v>15</v>
      </c>
      <c r="E61" s="3">
        <v>4321</v>
      </c>
      <c r="F61" s="11">
        <v>69944</v>
      </c>
      <c r="G61" s="3">
        <v>302228024</v>
      </c>
      <c r="H61" s="3">
        <v>2.5000000000000001E-2</v>
      </c>
      <c r="I61" s="3">
        <v>6.87</v>
      </c>
      <c r="J61" s="3">
        <v>2.08</v>
      </c>
      <c r="K61" s="3">
        <v>1.05</v>
      </c>
      <c r="L61" s="4">
        <f t="shared" si="0"/>
        <v>45373</v>
      </c>
    </row>
    <row r="62" spans="1:12">
      <c r="A62" s="3">
        <v>2018</v>
      </c>
      <c r="B62" s="3">
        <v>2</v>
      </c>
      <c r="C62" s="3" t="s">
        <v>22</v>
      </c>
      <c r="D62" s="3" t="s">
        <v>16</v>
      </c>
      <c r="E62" s="3">
        <v>7526</v>
      </c>
      <c r="F62" s="11">
        <v>91183</v>
      </c>
      <c r="G62" s="3">
        <v>686243258</v>
      </c>
      <c r="H62" s="3">
        <v>2.1000000000000001E-2</v>
      </c>
      <c r="I62" s="3">
        <v>6.87</v>
      </c>
      <c r="J62" s="3">
        <v>2.08</v>
      </c>
      <c r="K62" s="3">
        <v>1.05</v>
      </c>
      <c r="L62" s="4">
        <f t="shared" si="0"/>
        <v>45376</v>
      </c>
    </row>
    <row r="63" spans="1:12">
      <c r="A63" s="3">
        <v>2018</v>
      </c>
      <c r="B63" s="3">
        <v>2</v>
      </c>
      <c r="C63" s="3" t="s">
        <v>22</v>
      </c>
      <c r="D63" s="3" t="s">
        <v>17</v>
      </c>
      <c r="E63" s="3">
        <v>9175</v>
      </c>
      <c r="F63" s="11">
        <v>65056</v>
      </c>
      <c r="G63" s="3">
        <v>596888800</v>
      </c>
      <c r="H63" s="3">
        <v>2.5000000000000001E-2</v>
      </c>
      <c r="I63" s="3">
        <v>6.87</v>
      </c>
      <c r="J63" s="3">
        <v>2.08</v>
      </c>
      <c r="K63" s="3">
        <v>1.05</v>
      </c>
      <c r="L63" s="4">
        <f t="shared" si="0"/>
        <v>45377</v>
      </c>
    </row>
    <row r="64" spans="1:12">
      <c r="A64" s="3">
        <v>2018</v>
      </c>
      <c r="B64" s="3">
        <v>2</v>
      </c>
      <c r="C64" s="3" t="s">
        <v>22</v>
      </c>
      <c r="D64" s="3" t="s">
        <v>18</v>
      </c>
      <c r="E64" s="3">
        <v>9405</v>
      </c>
      <c r="F64" s="11">
        <v>74154</v>
      </c>
      <c r="G64" s="3">
        <v>697418370</v>
      </c>
      <c r="H64" s="3">
        <v>3.3000000000000002E-2</v>
      </c>
      <c r="I64" s="3">
        <v>6.87</v>
      </c>
      <c r="J64" s="3">
        <v>2.08</v>
      </c>
      <c r="K64" s="3">
        <v>1.05</v>
      </c>
      <c r="L64" s="4">
        <f t="shared" si="0"/>
        <v>45378</v>
      </c>
    </row>
    <row r="65" spans="1:12">
      <c r="A65" s="3">
        <v>2018</v>
      </c>
      <c r="B65" s="3">
        <v>2</v>
      </c>
      <c r="C65" s="3" t="s">
        <v>22</v>
      </c>
      <c r="D65" s="3" t="s">
        <v>19</v>
      </c>
      <c r="E65" s="3">
        <v>6649</v>
      </c>
      <c r="F65" s="11">
        <v>42199</v>
      </c>
      <c r="G65" s="3">
        <v>280581151</v>
      </c>
      <c r="H65" s="3">
        <v>1.0999999999999999E-2</v>
      </c>
      <c r="I65" s="3">
        <v>6.87</v>
      </c>
      <c r="J65" s="3">
        <v>2.08</v>
      </c>
      <c r="K65" s="3">
        <v>1.05</v>
      </c>
      <c r="L65" s="4">
        <f t="shared" si="0"/>
        <v>45379</v>
      </c>
    </row>
    <row r="66" spans="1:12">
      <c r="A66" s="3">
        <v>2018</v>
      </c>
      <c r="B66" s="3">
        <v>3</v>
      </c>
      <c r="C66" s="3" t="s">
        <v>11</v>
      </c>
      <c r="D66" s="3" t="s">
        <v>12</v>
      </c>
      <c r="E66" s="3">
        <v>4562</v>
      </c>
      <c r="F66" s="11">
        <v>47884</v>
      </c>
      <c r="G66" s="3">
        <v>218446808</v>
      </c>
      <c r="H66" s="3">
        <v>2.3E-2</v>
      </c>
      <c r="I66" s="3">
        <v>19.96</v>
      </c>
      <c r="J66" s="3">
        <v>3.92</v>
      </c>
      <c r="K66" s="3">
        <v>0.99</v>
      </c>
      <c r="L66" s="4">
        <f t="shared" si="0"/>
        <v>45380</v>
      </c>
    </row>
    <row r="67" spans="1:12">
      <c r="A67" s="3">
        <v>2018</v>
      </c>
      <c r="B67" s="3">
        <v>3</v>
      </c>
      <c r="C67" s="3" t="s">
        <v>11</v>
      </c>
      <c r="D67" s="3" t="s">
        <v>13</v>
      </c>
      <c r="E67" s="3">
        <v>6007</v>
      </c>
      <c r="F67" s="11">
        <v>61919</v>
      </c>
      <c r="G67" s="3">
        <v>371947433</v>
      </c>
      <c r="H67" s="3">
        <v>1.2999999999999999E-2</v>
      </c>
      <c r="I67" s="3">
        <v>19.96</v>
      </c>
      <c r="J67" s="3">
        <v>3.92</v>
      </c>
      <c r="K67" s="3">
        <v>0.99</v>
      </c>
      <c r="L67" s="4">
        <f t="shared" ref="L67:L130" si="1">WORKDAY(DATE(2024,1,1)-1,ROW(A66))</f>
        <v>45383</v>
      </c>
    </row>
    <row r="68" spans="1:12">
      <c r="A68" s="3">
        <v>2018</v>
      </c>
      <c r="B68" s="3">
        <v>3</v>
      </c>
      <c r="C68" s="3" t="s">
        <v>11</v>
      </c>
      <c r="D68" s="3" t="s">
        <v>14</v>
      </c>
      <c r="E68" s="3">
        <v>8220</v>
      </c>
      <c r="F68" s="11">
        <v>59791</v>
      </c>
      <c r="G68" s="3">
        <v>491482020</v>
      </c>
      <c r="H68" s="3">
        <v>3.9E-2</v>
      </c>
      <c r="I68" s="3">
        <v>19.96</v>
      </c>
      <c r="J68" s="3">
        <v>3.92</v>
      </c>
      <c r="K68" s="3">
        <v>0.99</v>
      </c>
      <c r="L68" s="4">
        <f t="shared" si="1"/>
        <v>45384</v>
      </c>
    </row>
    <row r="69" spans="1:12">
      <c r="A69" s="3">
        <v>2018</v>
      </c>
      <c r="B69" s="3">
        <v>3</v>
      </c>
      <c r="C69" s="3" t="s">
        <v>11</v>
      </c>
      <c r="D69" s="3" t="s">
        <v>15</v>
      </c>
      <c r="E69" s="3">
        <v>3801</v>
      </c>
      <c r="F69" s="11">
        <v>68704</v>
      </c>
      <c r="G69" s="3">
        <v>261143904</v>
      </c>
      <c r="H69" s="3">
        <v>2.5000000000000001E-2</v>
      </c>
      <c r="I69" s="3">
        <v>19.96</v>
      </c>
      <c r="J69" s="3">
        <v>3.92</v>
      </c>
      <c r="K69" s="3">
        <v>0.99</v>
      </c>
      <c r="L69" s="4">
        <f t="shared" si="1"/>
        <v>45385</v>
      </c>
    </row>
    <row r="70" spans="1:12">
      <c r="A70" s="3">
        <v>2018</v>
      </c>
      <c r="B70" s="3">
        <v>3</v>
      </c>
      <c r="C70" s="3" t="s">
        <v>11</v>
      </c>
      <c r="D70" s="3" t="s">
        <v>16</v>
      </c>
      <c r="E70" s="3">
        <v>11937</v>
      </c>
      <c r="F70" s="11">
        <v>90815</v>
      </c>
      <c r="G70" s="3">
        <v>1084058655</v>
      </c>
      <c r="H70" s="3">
        <v>0.02</v>
      </c>
      <c r="I70" s="3">
        <v>19.96</v>
      </c>
      <c r="J70" s="3">
        <v>3.92</v>
      </c>
      <c r="K70" s="3">
        <v>0.99</v>
      </c>
      <c r="L70" s="4">
        <f t="shared" si="1"/>
        <v>45386</v>
      </c>
    </row>
    <row r="71" spans="1:12">
      <c r="A71" s="3">
        <v>2018</v>
      </c>
      <c r="B71" s="3">
        <v>3</v>
      </c>
      <c r="C71" s="3" t="s">
        <v>11</v>
      </c>
      <c r="D71" s="3" t="s">
        <v>17</v>
      </c>
      <c r="E71" s="3">
        <v>7135</v>
      </c>
      <c r="F71" s="11">
        <v>64527</v>
      </c>
      <c r="G71" s="3">
        <v>460400145</v>
      </c>
      <c r="H71" s="3">
        <v>1.6E-2</v>
      </c>
      <c r="I71" s="3">
        <v>19.96</v>
      </c>
      <c r="J71" s="3">
        <v>3.92</v>
      </c>
      <c r="K71" s="3">
        <v>0.99</v>
      </c>
      <c r="L71" s="4">
        <f t="shared" si="1"/>
        <v>45387</v>
      </c>
    </row>
    <row r="72" spans="1:12">
      <c r="A72" s="3">
        <v>2018</v>
      </c>
      <c r="B72" s="3">
        <v>3</v>
      </c>
      <c r="C72" s="3" t="s">
        <v>11</v>
      </c>
      <c r="D72" s="3" t="s">
        <v>18</v>
      </c>
      <c r="E72" s="3">
        <v>9366</v>
      </c>
      <c r="F72" s="11">
        <v>73639</v>
      </c>
      <c r="G72" s="3">
        <v>689702874</v>
      </c>
      <c r="H72" s="3">
        <v>2.9000000000000001E-2</v>
      </c>
      <c r="I72" s="3">
        <v>19.96</v>
      </c>
      <c r="J72" s="3">
        <v>3.92</v>
      </c>
      <c r="K72" s="3">
        <v>0.99</v>
      </c>
      <c r="L72" s="4">
        <f t="shared" si="1"/>
        <v>45390</v>
      </c>
    </row>
    <row r="73" spans="1:12">
      <c r="A73" s="3">
        <v>2018</v>
      </c>
      <c r="B73" s="3">
        <v>3</v>
      </c>
      <c r="C73" s="3" t="s">
        <v>11</v>
      </c>
      <c r="D73" s="3" t="s">
        <v>19</v>
      </c>
      <c r="E73" s="3">
        <v>7760</v>
      </c>
      <c r="F73" s="11">
        <v>40954</v>
      </c>
      <c r="G73" s="3">
        <v>317803040</v>
      </c>
      <c r="H73" s="3">
        <v>0.03</v>
      </c>
      <c r="I73" s="3">
        <v>19.96</v>
      </c>
      <c r="J73" s="3">
        <v>3.92</v>
      </c>
      <c r="K73" s="3">
        <v>0.99</v>
      </c>
      <c r="L73" s="4">
        <f t="shared" si="1"/>
        <v>45391</v>
      </c>
    </row>
    <row r="74" spans="1:12">
      <c r="A74" s="3">
        <v>2018</v>
      </c>
      <c r="B74" s="3">
        <v>3</v>
      </c>
      <c r="C74" s="3" t="s">
        <v>20</v>
      </c>
      <c r="D74" s="3" t="s">
        <v>12</v>
      </c>
      <c r="E74" s="3">
        <v>6529</v>
      </c>
      <c r="F74" s="11">
        <v>48074</v>
      </c>
      <c r="G74" s="3">
        <v>313875146</v>
      </c>
      <c r="H74" s="3">
        <v>2.9000000000000001E-2</v>
      </c>
      <c r="I74" s="3">
        <v>15.71</v>
      </c>
      <c r="J74" s="3">
        <v>1.63</v>
      </c>
      <c r="K74" s="3">
        <v>0.98</v>
      </c>
      <c r="L74" s="4">
        <f t="shared" si="1"/>
        <v>45392</v>
      </c>
    </row>
    <row r="75" spans="1:12">
      <c r="A75" s="3">
        <v>2018</v>
      </c>
      <c r="B75" s="3">
        <v>3</v>
      </c>
      <c r="C75" s="3" t="s">
        <v>20</v>
      </c>
      <c r="D75" s="3" t="s">
        <v>13</v>
      </c>
      <c r="E75" s="3">
        <v>2997</v>
      </c>
      <c r="F75" s="11">
        <v>63348</v>
      </c>
      <c r="G75" s="3">
        <v>189853956</v>
      </c>
      <c r="H75" s="3">
        <v>0.02</v>
      </c>
      <c r="I75" s="3">
        <v>15.71</v>
      </c>
      <c r="J75" s="3">
        <v>1.63</v>
      </c>
      <c r="K75" s="3">
        <v>0.98</v>
      </c>
      <c r="L75" s="4">
        <f t="shared" si="1"/>
        <v>45393</v>
      </c>
    </row>
    <row r="76" spans="1:12">
      <c r="A76" s="3">
        <v>2018</v>
      </c>
      <c r="B76" s="3">
        <v>3</v>
      </c>
      <c r="C76" s="3" t="s">
        <v>20</v>
      </c>
      <c r="D76" s="3" t="s">
        <v>14</v>
      </c>
      <c r="E76" s="3">
        <v>8132</v>
      </c>
      <c r="F76" s="11">
        <v>57504</v>
      </c>
      <c r="G76" s="3">
        <v>467622528</v>
      </c>
      <c r="H76" s="3">
        <v>3.4000000000000002E-2</v>
      </c>
      <c r="I76" s="3">
        <v>15.71</v>
      </c>
      <c r="J76" s="3">
        <v>1.63</v>
      </c>
      <c r="K76" s="3">
        <v>0.98</v>
      </c>
      <c r="L76" s="4">
        <f t="shared" si="1"/>
        <v>45394</v>
      </c>
    </row>
    <row r="77" spans="1:12">
      <c r="A77" s="3">
        <v>2018</v>
      </c>
      <c r="B77" s="3">
        <v>3</v>
      </c>
      <c r="C77" s="3" t="s">
        <v>20</v>
      </c>
      <c r="D77" s="3" t="s">
        <v>15</v>
      </c>
      <c r="E77" s="3">
        <v>11545</v>
      </c>
      <c r="F77" s="11">
        <v>67815</v>
      </c>
      <c r="G77" s="3">
        <v>782924175</v>
      </c>
      <c r="H77" s="3">
        <v>3.2000000000000001E-2</v>
      </c>
      <c r="I77" s="3">
        <v>15.71</v>
      </c>
      <c r="J77" s="3">
        <v>1.63</v>
      </c>
      <c r="K77" s="3">
        <v>0.98</v>
      </c>
      <c r="L77" s="4">
        <f t="shared" si="1"/>
        <v>45397</v>
      </c>
    </row>
    <row r="78" spans="1:12">
      <c r="A78" s="3">
        <v>2018</v>
      </c>
      <c r="B78" s="3">
        <v>3</v>
      </c>
      <c r="C78" s="3" t="s">
        <v>20</v>
      </c>
      <c r="D78" s="3" t="s">
        <v>16</v>
      </c>
      <c r="E78" s="3">
        <v>11201</v>
      </c>
      <c r="F78" s="11">
        <v>90016</v>
      </c>
      <c r="G78" s="3">
        <v>1008269216</v>
      </c>
      <c r="H78" s="3">
        <v>0.02</v>
      </c>
      <c r="I78" s="3">
        <v>15.71</v>
      </c>
      <c r="J78" s="3">
        <v>1.63</v>
      </c>
      <c r="K78" s="3">
        <v>0.98</v>
      </c>
      <c r="L78" s="4">
        <f t="shared" si="1"/>
        <v>45398</v>
      </c>
    </row>
    <row r="79" spans="1:12">
      <c r="A79" s="3">
        <v>2018</v>
      </c>
      <c r="B79" s="3">
        <v>3</v>
      </c>
      <c r="C79" s="3" t="s">
        <v>20</v>
      </c>
      <c r="D79" s="3" t="s">
        <v>17</v>
      </c>
      <c r="E79" s="3">
        <v>10822</v>
      </c>
      <c r="F79" s="11">
        <v>64243</v>
      </c>
      <c r="G79" s="3">
        <v>695237746</v>
      </c>
      <c r="H79" s="3">
        <v>1.9E-2</v>
      </c>
      <c r="I79" s="3">
        <v>15.71</v>
      </c>
      <c r="J79" s="3">
        <v>1.63</v>
      </c>
      <c r="K79" s="3">
        <v>0.98</v>
      </c>
      <c r="L79" s="4">
        <f t="shared" si="1"/>
        <v>45399</v>
      </c>
    </row>
    <row r="80" spans="1:12">
      <c r="A80" s="3">
        <v>2018</v>
      </c>
      <c r="B80" s="3">
        <v>3</v>
      </c>
      <c r="C80" s="3" t="s">
        <v>20</v>
      </c>
      <c r="D80" s="3" t="s">
        <v>18</v>
      </c>
      <c r="E80" s="3">
        <v>5175</v>
      </c>
      <c r="F80" s="11">
        <v>73180</v>
      </c>
      <c r="G80" s="3">
        <v>378706500</v>
      </c>
      <c r="H80" s="3">
        <v>1.9E-2</v>
      </c>
      <c r="I80" s="3">
        <v>15.71</v>
      </c>
      <c r="J80" s="3">
        <v>1.63</v>
      </c>
      <c r="K80" s="3">
        <v>0.98</v>
      </c>
      <c r="L80" s="4">
        <f t="shared" si="1"/>
        <v>45400</v>
      </c>
    </row>
    <row r="81" spans="1:12">
      <c r="A81" s="3">
        <v>2018</v>
      </c>
      <c r="B81" s="3">
        <v>3</v>
      </c>
      <c r="C81" s="3" t="s">
        <v>20</v>
      </c>
      <c r="D81" s="3" t="s">
        <v>19</v>
      </c>
      <c r="E81" s="3">
        <v>3416</v>
      </c>
      <c r="F81" s="11">
        <v>43170</v>
      </c>
      <c r="G81" s="3">
        <v>147468720</v>
      </c>
      <c r="H81" s="3">
        <v>2.7E-2</v>
      </c>
      <c r="I81" s="3">
        <v>15.71</v>
      </c>
      <c r="J81" s="3">
        <v>1.63</v>
      </c>
      <c r="K81" s="3">
        <v>0.98</v>
      </c>
      <c r="L81" s="4">
        <f t="shared" si="1"/>
        <v>45401</v>
      </c>
    </row>
    <row r="82" spans="1:12">
      <c r="A82" s="3">
        <v>2018</v>
      </c>
      <c r="B82" s="3">
        <v>3</v>
      </c>
      <c r="C82" s="3" t="s">
        <v>21</v>
      </c>
      <c r="D82" s="3" t="s">
        <v>12</v>
      </c>
      <c r="E82" s="3">
        <v>6483</v>
      </c>
      <c r="F82" s="11">
        <v>47758</v>
      </c>
      <c r="G82" s="3">
        <v>309615114</v>
      </c>
      <c r="H82" s="3">
        <v>2.1999999999999999E-2</v>
      </c>
      <c r="I82" s="3">
        <v>15.88</v>
      </c>
      <c r="J82" s="3">
        <v>2.0499999999999998</v>
      </c>
      <c r="K82" s="3">
        <v>0.98</v>
      </c>
      <c r="L82" s="4">
        <f t="shared" si="1"/>
        <v>45404</v>
      </c>
    </row>
    <row r="83" spans="1:12">
      <c r="A83" s="3">
        <v>2018</v>
      </c>
      <c r="B83" s="3">
        <v>3</v>
      </c>
      <c r="C83" s="3" t="s">
        <v>21</v>
      </c>
      <c r="D83" s="3" t="s">
        <v>13</v>
      </c>
      <c r="E83" s="3">
        <v>10129</v>
      </c>
      <c r="F83" s="11">
        <v>60569</v>
      </c>
      <c r="G83" s="3">
        <v>613503401</v>
      </c>
      <c r="H83" s="3">
        <v>8.0000000000000002E-3</v>
      </c>
      <c r="I83" s="3">
        <v>15.88</v>
      </c>
      <c r="J83" s="3">
        <v>2.0499999999999998</v>
      </c>
      <c r="K83" s="3">
        <v>0.98</v>
      </c>
      <c r="L83" s="4">
        <f t="shared" si="1"/>
        <v>45405</v>
      </c>
    </row>
    <row r="84" spans="1:12">
      <c r="A84" s="3">
        <v>2018</v>
      </c>
      <c r="B84" s="3">
        <v>3</v>
      </c>
      <c r="C84" s="3" t="s">
        <v>21</v>
      </c>
      <c r="D84" s="3" t="s">
        <v>14</v>
      </c>
      <c r="E84" s="3">
        <v>8736</v>
      </c>
      <c r="F84" s="11">
        <v>59359</v>
      </c>
      <c r="G84" s="3">
        <v>518560224</v>
      </c>
      <c r="H84" s="3">
        <v>1.0999999999999999E-2</v>
      </c>
      <c r="I84" s="3">
        <v>15.88</v>
      </c>
      <c r="J84" s="3">
        <v>2.0499999999999998</v>
      </c>
      <c r="K84" s="3">
        <v>0.98</v>
      </c>
      <c r="L84" s="4">
        <f t="shared" si="1"/>
        <v>45406</v>
      </c>
    </row>
    <row r="85" spans="1:12">
      <c r="A85" s="3">
        <v>2018</v>
      </c>
      <c r="B85" s="3">
        <v>3</v>
      </c>
      <c r="C85" s="3" t="s">
        <v>21</v>
      </c>
      <c r="D85" s="3" t="s">
        <v>15</v>
      </c>
      <c r="E85" s="3">
        <v>7165</v>
      </c>
      <c r="F85" s="11">
        <v>69901</v>
      </c>
      <c r="G85" s="3">
        <v>500840665</v>
      </c>
      <c r="H85" s="3">
        <v>2.1999999999999999E-2</v>
      </c>
      <c r="I85" s="3">
        <v>15.88</v>
      </c>
      <c r="J85" s="3">
        <v>2.0499999999999998</v>
      </c>
      <c r="K85" s="3">
        <v>0.98</v>
      </c>
      <c r="L85" s="4">
        <f t="shared" si="1"/>
        <v>45407</v>
      </c>
    </row>
    <row r="86" spans="1:12">
      <c r="A86" s="3">
        <v>2018</v>
      </c>
      <c r="B86" s="3">
        <v>3</v>
      </c>
      <c r="C86" s="3" t="s">
        <v>21</v>
      </c>
      <c r="D86" s="3" t="s">
        <v>16</v>
      </c>
      <c r="E86" s="3">
        <v>4604</v>
      </c>
      <c r="F86" s="11">
        <v>91409</v>
      </c>
      <c r="G86" s="3">
        <v>420847036</v>
      </c>
      <c r="H86" s="3">
        <v>2.1000000000000001E-2</v>
      </c>
      <c r="I86" s="3">
        <v>15.88</v>
      </c>
      <c r="J86" s="3">
        <v>2.0499999999999998</v>
      </c>
      <c r="K86" s="3">
        <v>0.98</v>
      </c>
      <c r="L86" s="4">
        <f t="shared" si="1"/>
        <v>45408</v>
      </c>
    </row>
    <row r="87" spans="1:12">
      <c r="A87" s="3">
        <v>2018</v>
      </c>
      <c r="B87" s="3">
        <v>3</v>
      </c>
      <c r="C87" s="3" t="s">
        <v>21</v>
      </c>
      <c r="D87" s="3" t="s">
        <v>17</v>
      </c>
      <c r="E87" s="3">
        <v>3612</v>
      </c>
      <c r="F87" s="11">
        <v>66175</v>
      </c>
      <c r="G87" s="3">
        <v>239024100</v>
      </c>
      <c r="H87" s="3">
        <v>8.9999999999999993E-3</v>
      </c>
      <c r="I87" s="3">
        <v>15.88</v>
      </c>
      <c r="J87" s="3">
        <v>2.0499999999999998</v>
      </c>
      <c r="K87" s="3">
        <v>0.98</v>
      </c>
      <c r="L87" s="4">
        <f t="shared" si="1"/>
        <v>45411</v>
      </c>
    </row>
    <row r="88" spans="1:12">
      <c r="A88" s="3">
        <v>2018</v>
      </c>
      <c r="B88" s="3">
        <v>3</v>
      </c>
      <c r="C88" s="3" t="s">
        <v>21</v>
      </c>
      <c r="D88" s="3" t="s">
        <v>18</v>
      </c>
      <c r="E88" s="3">
        <v>11655</v>
      </c>
      <c r="F88" s="11">
        <v>76110</v>
      </c>
      <c r="G88" s="3">
        <v>887062050</v>
      </c>
      <c r="H88" s="3">
        <v>2.4E-2</v>
      </c>
      <c r="I88" s="3">
        <v>15.88</v>
      </c>
      <c r="J88" s="3">
        <v>2.0499999999999998</v>
      </c>
      <c r="K88" s="3">
        <v>0.98</v>
      </c>
      <c r="L88" s="4">
        <f t="shared" si="1"/>
        <v>45412</v>
      </c>
    </row>
    <row r="89" spans="1:12">
      <c r="A89" s="3">
        <v>2018</v>
      </c>
      <c r="B89" s="3">
        <v>3</v>
      </c>
      <c r="C89" s="3" t="s">
        <v>21</v>
      </c>
      <c r="D89" s="3" t="s">
        <v>19</v>
      </c>
      <c r="E89" s="3">
        <v>8905</v>
      </c>
      <c r="F89" s="11">
        <v>41705</v>
      </c>
      <c r="G89" s="3">
        <v>371383025</v>
      </c>
      <c r="H89" s="3">
        <v>1.2999999999999999E-2</v>
      </c>
      <c r="I89" s="3">
        <v>15.88</v>
      </c>
      <c r="J89" s="3">
        <v>2.0499999999999998</v>
      </c>
      <c r="K89" s="3">
        <v>0.98</v>
      </c>
      <c r="L89" s="4">
        <f t="shared" si="1"/>
        <v>45413</v>
      </c>
    </row>
    <row r="90" spans="1:12">
      <c r="A90" s="3">
        <v>2018</v>
      </c>
      <c r="B90" s="3">
        <v>3</v>
      </c>
      <c r="C90" s="3" t="s">
        <v>22</v>
      </c>
      <c r="D90" s="3" t="s">
        <v>12</v>
      </c>
      <c r="E90" s="3">
        <v>12337</v>
      </c>
      <c r="F90" s="11">
        <v>49847</v>
      </c>
      <c r="G90" s="3">
        <v>614962439</v>
      </c>
      <c r="H90" s="3">
        <v>8.0000000000000002E-3</v>
      </c>
      <c r="I90" s="3">
        <v>6.73</v>
      </c>
      <c r="J90" s="3">
        <v>3.52</v>
      </c>
      <c r="K90" s="3">
        <v>1.02</v>
      </c>
      <c r="L90" s="4">
        <f t="shared" si="1"/>
        <v>45414</v>
      </c>
    </row>
    <row r="91" spans="1:12">
      <c r="A91" s="3">
        <v>2018</v>
      </c>
      <c r="B91" s="3">
        <v>3</v>
      </c>
      <c r="C91" s="3" t="s">
        <v>22</v>
      </c>
      <c r="D91" s="3" t="s">
        <v>13</v>
      </c>
      <c r="E91" s="3">
        <v>10070</v>
      </c>
      <c r="F91" s="11">
        <v>60399</v>
      </c>
      <c r="G91" s="3">
        <v>608217930</v>
      </c>
      <c r="H91" s="3">
        <v>2.5000000000000001E-2</v>
      </c>
      <c r="I91" s="3">
        <v>6.73</v>
      </c>
      <c r="J91" s="3">
        <v>3.52</v>
      </c>
      <c r="K91" s="3">
        <v>1.02</v>
      </c>
      <c r="L91" s="4">
        <f t="shared" si="1"/>
        <v>45415</v>
      </c>
    </row>
    <row r="92" spans="1:12">
      <c r="A92" s="3">
        <v>2018</v>
      </c>
      <c r="B92" s="3">
        <v>3</v>
      </c>
      <c r="C92" s="3" t="s">
        <v>22</v>
      </c>
      <c r="D92" s="3" t="s">
        <v>14</v>
      </c>
      <c r="E92" s="3">
        <v>12829</v>
      </c>
      <c r="F92" s="11">
        <v>57982</v>
      </c>
      <c r="G92" s="3">
        <v>743851078</v>
      </c>
      <c r="H92" s="3">
        <v>4.0000000000000001E-3</v>
      </c>
      <c r="I92" s="3">
        <v>6.73</v>
      </c>
      <c r="J92" s="3">
        <v>3.52</v>
      </c>
      <c r="K92" s="3">
        <v>1.02</v>
      </c>
      <c r="L92" s="4">
        <f t="shared" si="1"/>
        <v>45418</v>
      </c>
    </row>
    <row r="93" spans="1:12">
      <c r="A93" s="3">
        <v>2018</v>
      </c>
      <c r="B93" s="3">
        <v>3</v>
      </c>
      <c r="C93" s="3" t="s">
        <v>22</v>
      </c>
      <c r="D93" s="3" t="s">
        <v>15</v>
      </c>
      <c r="E93" s="3">
        <v>3688</v>
      </c>
      <c r="F93" s="11">
        <v>67050</v>
      </c>
      <c r="G93" s="3">
        <v>247280400</v>
      </c>
      <c r="H93" s="3">
        <v>0.04</v>
      </c>
      <c r="I93" s="3">
        <v>6.73</v>
      </c>
      <c r="J93" s="3">
        <v>3.52</v>
      </c>
      <c r="K93" s="3">
        <v>1.02</v>
      </c>
      <c r="L93" s="4">
        <f t="shared" si="1"/>
        <v>45419</v>
      </c>
    </row>
    <row r="94" spans="1:12">
      <c r="A94" s="3">
        <v>2018</v>
      </c>
      <c r="B94" s="3">
        <v>3</v>
      </c>
      <c r="C94" s="3" t="s">
        <v>22</v>
      </c>
      <c r="D94" s="3" t="s">
        <v>16</v>
      </c>
      <c r="E94" s="3">
        <v>6895</v>
      </c>
      <c r="F94" s="11">
        <v>92361</v>
      </c>
      <c r="G94" s="3">
        <v>636829095</v>
      </c>
      <c r="H94" s="3">
        <v>2E-3</v>
      </c>
      <c r="I94" s="3">
        <v>6.73</v>
      </c>
      <c r="J94" s="3">
        <v>3.52</v>
      </c>
      <c r="K94" s="3">
        <v>1.02</v>
      </c>
      <c r="L94" s="4">
        <f t="shared" si="1"/>
        <v>45420</v>
      </c>
    </row>
    <row r="95" spans="1:12">
      <c r="A95" s="3">
        <v>2018</v>
      </c>
      <c r="B95" s="3">
        <v>3</v>
      </c>
      <c r="C95" s="3" t="s">
        <v>22</v>
      </c>
      <c r="D95" s="3" t="s">
        <v>17</v>
      </c>
      <c r="E95" s="3">
        <v>11009</v>
      </c>
      <c r="F95" s="11">
        <v>65352</v>
      </c>
      <c r="G95" s="3">
        <v>719460168</v>
      </c>
      <c r="H95" s="3">
        <v>2.4E-2</v>
      </c>
      <c r="I95" s="3">
        <v>6.73</v>
      </c>
      <c r="J95" s="3">
        <v>3.52</v>
      </c>
      <c r="K95" s="3">
        <v>1.02</v>
      </c>
      <c r="L95" s="4">
        <f t="shared" si="1"/>
        <v>45421</v>
      </c>
    </row>
    <row r="96" spans="1:12">
      <c r="A96" s="3">
        <v>2018</v>
      </c>
      <c r="B96" s="3">
        <v>3</v>
      </c>
      <c r="C96" s="3" t="s">
        <v>22</v>
      </c>
      <c r="D96" s="3" t="s">
        <v>18</v>
      </c>
      <c r="E96" s="3">
        <v>8004</v>
      </c>
      <c r="F96" s="11">
        <v>75491</v>
      </c>
      <c r="G96" s="3">
        <v>604229964</v>
      </c>
      <c r="H96" s="3">
        <v>1.4999999999999999E-2</v>
      </c>
      <c r="I96" s="3">
        <v>6.73</v>
      </c>
      <c r="J96" s="3">
        <v>3.52</v>
      </c>
      <c r="K96" s="3">
        <v>1.02</v>
      </c>
      <c r="L96" s="4">
        <f t="shared" si="1"/>
        <v>45422</v>
      </c>
    </row>
    <row r="97" spans="1:12">
      <c r="A97" s="3">
        <v>2018</v>
      </c>
      <c r="B97" s="3">
        <v>3</v>
      </c>
      <c r="C97" s="3" t="s">
        <v>22</v>
      </c>
      <c r="D97" s="3" t="s">
        <v>19</v>
      </c>
      <c r="E97" s="3">
        <v>6186</v>
      </c>
      <c r="F97" s="11">
        <v>41595</v>
      </c>
      <c r="G97" s="3">
        <v>257306670</v>
      </c>
      <c r="H97" s="3">
        <v>3.1E-2</v>
      </c>
      <c r="I97" s="3">
        <v>6.73</v>
      </c>
      <c r="J97" s="3">
        <v>3.52</v>
      </c>
      <c r="K97" s="3">
        <v>1.02</v>
      </c>
      <c r="L97" s="4">
        <f t="shared" si="1"/>
        <v>45425</v>
      </c>
    </row>
    <row r="98" spans="1:12">
      <c r="A98" s="3">
        <v>2018</v>
      </c>
      <c r="B98" s="3">
        <v>4</v>
      </c>
      <c r="C98" s="3" t="s">
        <v>11</v>
      </c>
      <c r="D98" s="3" t="s">
        <v>12</v>
      </c>
      <c r="E98" s="3">
        <v>3207</v>
      </c>
      <c r="F98" s="11">
        <v>48914</v>
      </c>
      <c r="G98" s="3">
        <v>156867198</v>
      </c>
      <c r="H98" s="3">
        <v>1.6E-2</v>
      </c>
      <c r="I98" s="3">
        <v>14.6</v>
      </c>
      <c r="J98" s="3">
        <v>3.55</v>
      </c>
      <c r="K98" s="3">
        <v>0.96</v>
      </c>
      <c r="L98" s="4">
        <f t="shared" si="1"/>
        <v>45426</v>
      </c>
    </row>
    <row r="99" spans="1:12">
      <c r="A99" s="3">
        <v>2018</v>
      </c>
      <c r="B99" s="3">
        <v>4</v>
      </c>
      <c r="C99" s="3" t="s">
        <v>11</v>
      </c>
      <c r="D99" s="3" t="s">
        <v>13</v>
      </c>
      <c r="E99" s="3">
        <v>8992</v>
      </c>
      <c r="F99" s="11">
        <v>62983</v>
      </c>
      <c r="G99" s="3">
        <v>566343136</v>
      </c>
      <c r="H99" s="3">
        <v>7.0000000000000001E-3</v>
      </c>
      <c r="I99" s="3">
        <v>14.6</v>
      </c>
      <c r="J99" s="3">
        <v>3.55</v>
      </c>
      <c r="K99" s="3">
        <v>0.96</v>
      </c>
      <c r="L99" s="4">
        <f t="shared" si="1"/>
        <v>45427</v>
      </c>
    </row>
    <row r="100" spans="1:12">
      <c r="A100" s="3">
        <v>2018</v>
      </c>
      <c r="B100" s="3">
        <v>4</v>
      </c>
      <c r="C100" s="3" t="s">
        <v>11</v>
      </c>
      <c r="D100" s="3" t="s">
        <v>14</v>
      </c>
      <c r="E100" s="3">
        <v>9962</v>
      </c>
      <c r="F100" s="11">
        <v>57081</v>
      </c>
      <c r="G100" s="3">
        <v>568640922</v>
      </c>
      <c r="H100" s="3">
        <v>7.0000000000000001E-3</v>
      </c>
      <c r="I100" s="3">
        <v>14.6</v>
      </c>
      <c r="J100" s="3">
        <v>3.55</v>
      </c>
      <c r="K100" s="3">
        <v>0.96</v>
      </c>
      <c r="L100" s="4">
        <f t="shared" si="1"/>
        <v>45428</v>
      </c>
    </row>
    <row r="101" spans="1:12">
      <c r="A101" s="3">
        <v>2018</v>
      </c>
      <c r="B101" s="3">
        <v>4</v>
      </c>
      <c r="C101" s="3" t="s">
        <v>11</v>
      </c>
      <c r="D101" s="3" t="s">
        <v>15</v>
      </c>
      <c r="E101" s="3">
        <v>10860</v>
      </c>
      <c r="F101" s="11">
        <v>70545</v>
      </c>
      <c r="G101" s="3">
        <v>766118700</v>
      </c>
      <c r="H101" s="3">
        <v>0</v>
      </c>
      <c r="I101" s="3">
        <v>14.6</v>
      </c>
      <c r="J101" s="3">
        <v>3.55</v>
      </c>
      <c r="K101" s="3">
        <v>0.96</v>
      </c>
      <c r="L101" s="4">
        <f t="shared" si="1"/>
        <v>45429</v>
      </c>
    </row>
    <row r="102" spans="1:12">
      <c r="A102" s="3">
        <v>2018</v>
      </c>
      <c r="B102" s="3">
        <v>4</v>
      </c>
      <c r="C102" s="3" t="s">
        <v>11</v>
      </c>
      <c r="D102" s="3" t="s">
        <v>16</v>
      </c>
      <c r="E102" s="3">
        <v>10267</v>
      </c>
      <c r="F102" s="11">
        <v>91931</v>
      </c>
      <c r="G102" s="3">
        <v>943855577</v>
      </c>
      <c r="H102" s="3">
        <v>1.9E-2</v>
      </c>
      <c r="I102" s="3">
        <v>14.6</v>
      </c>
      <c r="J102" s="3">
        <v>3.55</v>
      </c>
      <c r="K102" s="3">
        <v>0.96</v>
      </c>
      <c r="L102" s="4">
        <f t="shared" si="1"/>
        <v>45432</v>
      </c>
    </row>
    <row r="103" spans="1:12">
      <c r="A103" s="3">
        <v>2018</v>
      </c>
      <c r="B103" s="3">
        <v>4</v>
      </c>
      <c r="C103" s="3" t="s">
        <v>11</v>
      </c>
      <c r="D103" s="3" t="s">
        <v>17</v>
      </c>
      <c r="E103" s="3">
        <v>11118</v>
      </c>
      <c r="F103" s="11">
        <v>64664</v>
      </c>
      <c r="G103" s="3">
        <v>718934352</v>
      </c>
      <c r="H103" s="3">
        <v>1.2E-2</v>
      </c>
      <c r="I103" s="3">
        <v>14.6</v>
      </c>
      <c r="J103" s="3">
        <v>3.55</v>
      </c>
      <c r="K103" s="3">
        <v>0.96</v>
      </c>
      <c r="L103" s="4">
        <f t="shared" si="1"/>
        <v>45433</v>
      </c>
    </row>
    <row r="104" spans="1:12">
      <c r="A104" s="3">
        <v>2018</v>
      </c>
      <c r="B104" s="3">
        <v>4</v>
      </c>
      <c r="C104" s="3" t="s">
        <v>11</v>
      </c>
      <c r="D104" s="3" t="s">
        <v>18</v>
      </c>
      <c r="E104" s="3">
        <v>3401</v>
      </c>
      <c r="F104" s="11">
        <v>74119</v>
      </c>
      <c r="G104" s="3">
        <v>252078719</v>
      </c>
      <c r="H104" s="3">
        <v>1.9E-2</v>
      </c>
      <c r="I104" s="3">
        <v>14.6</v>
      </c>
      <c r="J104" s="3">
        <v>3.55</v>
      </c>
      <c r="K104" s="3">
        <v>0.96</v>
      </c>
      <c r="L104" s="4">
        <f t="shared" si="1"/>
        <v>45434</v>
      </c>
    </row>
    <row r="105" spans="1:12">
      <c r="A105" s="3">
        <v>2018</v>
      </c>
      <c r="B105" s="3">
        <v>4</v>
      </c>
      <c r="C105" s="3" t="s">
        <v>11</v>
      </c>
      <c r="D105" s="3" t="s">
        <v>19</v>
      </c>
      <c r="E105" s="3">
        <v>9789</v>
      </c>
      <c r="F105" s="11">
        <v>41141</v>
      </c>
      <c r="G105" s="3">
        <v>402729249</v>
      </c>
      <c r="H105" s="3">
        <v>2.8000000000000001E-2</v>
      </c>
      <c r="I105" s="3">
        <v>14.6</v>
      </c>
      <c r="J105" s="3">
        <v>3.55</v>
      </c>
      <c r="K105" s="3">
        <v>0.96</v>
      </c>
      <c r="L105" s="4">
        <f t="shared" si="1"/>
        <v>45435</v>
      </c>
    </row>
    <row r="106" spans="1:12">
      <c r="A106" s="3">
        <v>2018</v>
      </c>
      <c r="B106" s="3">
        <v>4</v>
      </c>
      <c r="C106" s="3" t="s">
        <v>20</v>
      </c>
      <c r="D106" s="3" t="s">
        <v>12</v>
      </c>
      <c r="E106" s="3">
        <v>5550</v>
      </c>
      <c r="F106" s="11">
        <v>46580</v>
      </c>
      <c r="G106" s="3">
        <v>258519000</v>
      </c>
      <c r="H106" s="3">
        <v>4.1000000000000002E-2</v>
      </c>
      <c r="I106" s="3">
        <v>15.96</v>
      </c>
      <c r="J106" s="3">
        <v>3.95</v>
      </c>
      <c r="K106" s="3">
        <v>1.04</v>
      </c>
      <c r="L106" s="4">
        <f t="shared" si="1"/>
        <v>45436</v>
      </c>
    </row>
    <row r="107" spans="1:12">
      <c r="A107" s="3">
        <v>2018</v>
      </c>
      <c r="B107" s="3">
        <v>4</v>
      </c>
      <c r="C107" s="3" t="s">
        <v>20</v>
      </c>
      <c r="D107" s="3" t="s">
        <v>13</v>
      </c>
      <c r="E107" s="3">
        <v>9028</v>
      </c>
      <c r="F107" s="11">
        <v>62294</v>
      </c>
      <c r="G107" s="3">
        <v>562390232</v>
      </c>
      <c r="H107" s="3">
        <v>2.1999999999999999E-2</v>
      </c>
      <c r="I107" s="3">
        <v>15.96</v>
      </c>
      <c r="J107" s="3">
        <v>3.95</v>
      </c>
      <c r="K107" s="3">
        <v>1.04</v>
      </c>
      <c r="L107" s="4">
        <f t="shared" si="1"/>
        <v>45439</v>
      </c>
    </row>
    <row r="108" spans="1:12">
      <c r="A108" s="3">
        <v>2018</v>
      </c>
      <c r="B108" s="3">
        <v>4</v>
      </c>
      <c r="C108" s="3" t="s">
        <v>20</v>
      </c>
      <c r="D108" s="3" t="s">
        <v>14</v>
      </c>
      <c r="E108" s="3">
        <v>10098</v>
      </c>
      <c r="F108" s="11">
        <v>56996</v>
      </c>
      <c r="G108" s="3">
        <v>575545608</v>
      </c>
      <c r="H108" s="3">
        <v>1.2999999999999999E-2</v>
      </c>
      <c r="I108" s="3">
        <v>15.96</v>
      </c>
      <c r="J108" s="3">
        <v>3.95</v>
      </c>
      <c r="K108" s="3">
        <v>1.04</v>
      </c>
      <c r="L108" s="4">
        <f t="shared" si="1"/>
        <v>45440</v>
      </c>
    </row>
    <row r="109" spans="1:12">
      <c r="A109" s="3">
        <v>2018</v>
      </c>
      <c r="B109" s="3">
        <v>4</v>
      </c>
      <c r="C109" s="3" t="s">
        <v>20</v>
      </c>
      <c r="D109" s="3" t="s">
        <v>15</v>
      </c>
      <c r="E109" s="3">
        <v>9265</v>
      </c>
      <c r="F109" s="11">
        <v>69744</v>
      </c>
      <c r="G109" s="3">
        <v>646178160</v>
      </c>
      <c r="H109" s="3">
        <v>7.0000000000000001E-3</v>
      </c>
      <c r="I109" s="3">
        <v>15.96</v>
      </c>
      <c r="J109" s="3">
        <v>3.95</v>
      </c>
      <c r="K109" s="3">
        <v>1.04</v>
      </c>
      <c r="L109" s="4">
        <f t="shared" si="1"/>
        <v>45441</v>
      </c>
    </row>
    <row r="110" spans="1:12">
      <c r="A110" s="3">
        <v>2018</v>
      </c>
      <c r="B110" s="3">
        <v>4</v>
      </c>
      <c r="C110" s="3" t="s">
        <v>20</v>
      </c>
      <c r="D110" s="3" t="s">
        <v>16</v>
      </c>
      <c r="E110" s="3">
        <v>11338</v>
      </c>
      <c r="F110" s="11">
        <v>91227</v>
      </c>
      <c r="G110" s="3">
        <v>1034331726</v>
      </c>
      <c r="H110" s="3">
        <v>2.4E-2</v>
      </c>
      <c r="I110" s="3">
        <v>15.96</v>
      </c>
      <c r="J110" s="3">
        <v>3.95</v>
      </c>
      <c r="K110" s="3">
        <v>1.04</v>
      </c>
      <c r="L110" s="4">
        <f t="shared" si="1"/>
        <v>45442</v>
      </c>
    </row>
    <row r="111" spans="1:12">
      <c r="A111" s="3">
        <v>2018</v>
      </c>
      <c r="B111" s="3">
        <v>4</v>
      </c>
      <c r="C111" s="3" t="s">
        <v>20</v>
      </c>
      <c r="D111" s="3" t="s">
        <v>17</v>
      </c>
      <c r="E111" s="3">
        <v>8661</v>
      </c>
      <c r="F111" s="11">
        <v>65479</v>
      </c>
      <c r="G111" s="3">
        <v>567113619</v>
      </c>
      <c r="H111" s="3">
        <v>2.8000000000000001E-2</v>
      </c>
      <c r="I111" s="3">
        <v>15.96</v>
      </c>
      <c r="J111" s="3">
        <v>3.95</v>
      </c>
      <c r="K111" s="3">
        <v>1.04</v>
      </c>
      <c r="L111" s="4">
        <f t="shared" si="1"/>
        <v>45443</v>
      </c>
    </row>
    <row r="112" spans="1:12">
      <c r="A112" s="3">
        <v>2018</v>
      </c>
      <c r="B112" s="3">
        <v>4</v>
      </c>
      <c r="C112" s="3" t="s">
        <v>20</v>
      </c>
      <c r="D112" s="3" t="s">
        <v>18</v>
      </c>
      <c r="E112" s="3">
        <v>8534</v>
      </c>
      <c r="F112" s="11">
        <v>74757</v>
      </c>
      <c r="G112" s="3">
        <v>637976238</v>
      </c>
      <c r="H112" s="3">
        <v>7.0000000000000001E-3</v>
      </c>
      <c r="I112" s="3">
        <v>15.96</v>
      </c>
      <c r="J112" s="3">
        <v>3.95</v>
      </c>
      <c r="K112" s="3">
        <v>1.04</v>
      </c>
      <c r="L112" s="4">
        <f t="shared" si="1"/>
        <v>45446</v>
      </c>
    </row>
    <row r="113" spans="1:12">
      <c r="A113" s="3">
        <v>2018</v>
      </c>
      <c r="B113" s="3">
        <v>4</v>
      </c>
      <c r="C113" s="3" t="s">
        <v>20</v>
      </c>
      <c r="D113" s="3" t="s">
        <v>19</v>
      </c>
      <c r="E113" s="3">
        <v>6604</v>
      </c>
      <c r="F113" s="11">
        <v>42070</v>
      </c>
      <c r="G113" s="3">
        <v>277830280</v>
      </c>
      <c r="H113" s="3">
        <v>1.9E-2</v>
      </c>
      <c r="I113" s="3">
        <v>15.96</v>
      </c>
      <c r="J113" s="3">
        <v>3.95</v>
      </c>
      <c r="K113" s="3">
        <v>1.04</v>
      </c>
      <c r="L113" s="4">
        <f t="shared" si="1"/>
        <v>45447</v>
      </c>
    </row>
    <row r="114" spans="1:12">
      <c r="A114" s="3">
        <v>2018</v>
      </c>
      <c r="B114" s="3">
        <v>4</v>
      </c>
      <c r="C114" s="3" t="s">
        <v>21</v>
      </c>
      <c r="D114" s="3" t="s">
        <v>12</v>
      </c>
      <c r="E114" s="3">
        <v>4739</v>
      </c>
      <c r="F114" s="11">
        <v>46515</v>
      </c>
      <c r="G114" s="3">
        <v>220434585</v>
      </c>
      <c r="H114" s="3">
        <v>5.1999999999999998E-2</v>
      </c>
      <c r="I114" s="3">
        <v>14.11</v>
      </c>
      <c r="J114" s="3">
        <v>2.68</v>
      </c>
      <c r="K114" s="3">
        <v>1.02</v>
      </c>
      <c r="L114" s="4">
        <f t="shared" si="1"/>
        <v>45448</v>
      </c>
    </row>
    <row r="115" spans="1:12">
      <c r="A115" s="3">
        <v>2018</v>
      </c>
      <c r="B115" s="3">
        <v>4</v>
      </c>
      <c r="C115" s="3" t="s">
        <v>21</v>
      </c>
      <c r="D115" s="3" t="s">
        <v>13</v>
      </c>
      <c r="E115" s="3">
        <v>5072</v>
      </c>
      <c r="F115" s="11">
        <v>60335</v>
      </c>
      <c r="G115" s="3">
        <v>306019120</v>
      </c>
      <c r="H115" s="3">
        <v>2.1000000000000001E-2</v>
      </c>
      <c r="I115" s="3">
        <v>14.11</v>
      </c>
      <c r="J115" s="3">
        <v>2.68</v>
      </c>
      <c r="K115" s="3">
        <v>1.02</v>
      </c>
      <c r="L115" s="4">
        <f t="shared" si="1"/>
        <v>45449</v>
      </c>
    </row>
    <row r="116" spans="1:12">
      <c r="A116" s="3">
        <v>2018</v>
      </c>
      <c r="B116" s="3">
        <v>4</v>
      </c>
      <c r="C116" s="3" t="s">
        <v>21</v>
      </c>
      <c r="D116" s="3" t="s">
        <v>14</v>
      </c>
      <c r="E116" s="3">
        <v>7959</v>
      </c>
      <c r="F116" s="11">
        <v>57931</v>
      </c>
      <c r="G116" s="3">
        <v>461072829</v>
      </c>
      <c r="H116" s="3">
        <v>3.2000000000000001E-2</v>
      </c>
      <c r="I116" s="3">
        <v>14.11</v>
      </c>
      <c r="J116" s="3">
        <v>2.68</v>
      </c>
      <c r="K116" s="3">
        <v>1.02</v>
      </c>
      <c r="L116" s="4">
        <f t="shared" si="1"/>
        <v>45450</v>
      </c>
    </row>
    <row r="117" spans="1:12">
      <c r="A117" s="3">
        <v>2018</v>
      </c>
      <c r="B117" s="3">
        <v>4</v>
      </c>
      <c r="C117" s="3" t="s">
        <v>21</v>
      </c>
      <c r="D117" s="3" t="s">
        <v>15</v>
      </c>
      <c r="E117" s="3">
        <v>8866</v>
      </c>
      <c r="F117" s="11">
        <v>70746</v>
      </c>
      <c r="G117" s="3">
        <v>627234036</v>
      </c>
      <c r="H117" s="3">
        <v>2.5000000000000001E-2</v>
      </c>
      <c r="I117" s="3">
        <v>14.11</v>
      </c>
      <c r="J117" s="3">
        <v>2.68</v>
      </c>
      <c r="K117" s="3">
        <v>1.02</v>
      </c>
      <c r="L117" s="4">
        <f t="shared" si="1"/>
        <v>45453</v>
      </c>
    </row>
    <row r="118" spans="1:12">
      <c r="A118" s="3">
        <v>2018</v>
      </c>
      <c r="B118" s="3">
        <v>4</v>
      </c>
      <c r="C118" s="3" t="s">
        <v>21</v>
      </c>
      <c r="D118" s="3" t="s">
        <v>16</v>
      </c>
      <c r="E118" s="3">
        <v>4680</v>
      </c>
      <c r="F118" s="11">
        <v>93498</v>
      </c>
      <c r="G118" s="3">
        <v>437570640</v>
      </c>
      <c r="H118" s="3">
        <v>2.1999999999999999E-2</v>
      </c>
      <c r="I118" s="3">
        <v>14.11</v>
      </c>
      <c r="J118" s="3">
        <v>2.68</v>
      </c>
      <c r="K118" s="3">
        <v>1.02</v>
      </c>
      <c r="L118" s="4">
        <f t="shared" si="1"/>
        <v>45454</v>
      </c>
    </row>
    <row r="119" spans="1:12">
      <c r="A119" s="3">
        <v>2018</v>
      </c>
      <c r="B119" s="3">
        <v>4</v>
      </c>
      <c r="C119" s="3" t="s">
        <v>21</v>
      </c>
      <c r="D119" s="3" t="s">
        <v>17</v>
      </c>
      <c r="E119" s="3">
        <v>7820</v>
      </c>
      <c r="F119" s="11">
        <v>64291</v>
      </c>
      <c r="G119" s="3">
        <v>502755620</v>
      </c>
      <c r="H119" s="3">
        <v>1.7000000000000001E-2</v>
      </c>
      <c r="I119" s="3">
        <v>14.11</v>
      </c>
      <c r="J119" s="3">
        <v>2.68</v>
      </c>
      <c r="K119" s="3">
        <v>1.02</v>
      </c>
      <c r="L119" s="4">
        <f t="shared" si="1"/>
        <v>45455</v>
      </c>
    </row>
    <row r="120" spans="1:12">
      <c r="A120" s="3">
        <v>2018</v>
      </c>
      <c r="B120" s="3">
        <v>4</v>
      </c>
      <c r="C120" s="3" t="s">
        <v>21</v>
      </c>
      <c r="D120" s="3" t="s">
        <v>18</v>
      </c>
      <c r="E120" s="3">
        <v>9976</v>
      </c>
      <c r="F120" s="11">
        <v>74066</v>
      </c>
      <c r="G120" s="3">
        <v>738882416</v>
      </c>
      <c r="H120" s="3">
        <v>2.5000000000000001E-2</v>
      </c>
      <c r="I120" s="3">
        <v>14.11</v>
      </c>
      <c r="J120" s="3">
        <v>2.68</v>
      </c>
      <c r="K120" s="3">
        <v>1.02</v>
      </c>
      <c r="L120" s="4">
        <f t="shared" si="1"/>
        <v>45456</v>
      </c>
    </row>
    <row r="121" spans="1:12">
      <c r="A121" s="3">
        <v>2018</v>
      </c>
      <c r="B121" s="3">
        <v>4</v>
      </c>
      <c r="C121" s="3" t="s">
        <v>21</v>
      </c>
      <c r="D121" s="3" t="s">
        <v>19</v>
      </c>
      <c r="E121" s="3">
        <v>9711</v>
      </c>
      <c r="F121" s="11">
        <v>40284</v>
      </c>
      <c r="G121" s="3">
        <v>391197924</v>
      </c>
      <c r="H121" s="3">
        <v>3.1E-2</v>
      </c>
      <c r="I121" s="3">
        <v>14.11</v>
      </c>
      <c r="J121" s="3">
        <v>2.68</v>
      </c>
      <c r="K121" s="3">
        <v>1.02</v>
      </c>
      <c r="L121" s="4">
        <f t="shared" si="1"/>
        <v>45457</v>
      </c>
    </row>
    <row r="122" spans="1:12">
      <c r="A122" s="3">
        <v>2018</v>
      </c>
      <c r="B122" s="3">
        <v>4</v>
      </c>
      <c r="C122" s="3" t="s">
        <v>22</v>
      </c>
      <c r="D122" s="3" t="s">
        <v>12</v>
      </c>
      <c r="E122" s="3">
        <v>2771</v>
      </c>
      <c r="F122" s="11">
        <v>46825</v>
      </c>
      <c r="G122" s="3">
        <v>129752075</v>
      </c>
      <c r="H122" s="3">
        <v>0.02</v>
      </c>
      <c r="I122" s="3">
        <v>5.64</v>
      </c>
      <c r="J122" s="3">
        <v>2.5099999999999998</v>
      </c>
      <c r="K122" s="3">
        <v>1.01</v>
      </c>
      <c r="L122" s="4">
        <f t="shared" si="1"/>
        <v>45460</v>
      </c>
    </row>
    <row r="123" spans="1:12">
      <c r="A123" s="3">
        <v>2018</v>
      </c>
      <c r="B123" s="3">
        <v>4</v>
      </c>
      <c r="C123" s="3" t="s">
        <v>22</v>
      </c>
      <c r="D123" s="3" t="s">
        <v>13</v>
      </c>
      <c r="E123" s="3">
        <v>9659</v>
      </c>
      <c r="F123" s="11">
        <v>61649</v>
      </c>
      <c r="G123" s="3">
        <v>595467691</v>
      </c>
      <c r="H123" s="3">
        <v>3.0000000000000001E-3</v>
      </c>
      <c r="I123" s="3">
        <v>5.64</v>
      </c>
      <c r="J123" s="3">
        <v>2.5099999999999998</v>
      </c>
      <c r="K123" s="3">
        <v>1.01</v>
      </c>
      <c r="L123" s="4">
        <f t="shared" si="1"/>
        <v>45461</v>
      </c>
    </row>
    <row r="124" spans="1:12">
      <c r="A124" s="3">
        <v>2018</v>
      </c>
      <c r="B124" s="3">
        <v>4</v>
      </c>
      <c r="C124" s="3" t="s">
        <v>22</v>
      </c>
      <c r="D124" s="3" t="s">
        <v>14</v>
      </c>
      <c r="E124" s="3">
        <v>2766</v>
      </c>
      <c r="F124" s="11">
        <v>59068</v>
      </c>
      <c r="G124" s="3">
        <v>163382088</v>
      </c>
      <c r="H124" s="3">
        <v>1.9E-2</v>
      </c>
      <c r="I124" s="3">
        <v>5.64</v>
      </c>
      <c r="J124" s="3">
        <v>2.5099999999999998</v>
      </c>
      <c r="K124" s="3">
        <v>1.01</v>
      </c>
      <c r="L124" s="4">
        <f t="shared" si="1"/>
        <v>45462</v>
      </c>
    </row>
    <row r="125" spans="1:12">
      <c r="A125" s="3">
        <v>2018</v>
      </c>
      <c r="B125" s="3">
        <v>4</v>
      </c>
      <c r="C125" s="3" t="s">
        <v>22</v>
      </c>
      <c r="D125" s="3" t="s">
        <v>15</v>
      </c>
      <c r="E125" s="3">
        <v>10798</v>
      </c>
      <c r="F125" s="11">
        <v>70465</v>
      </c>
      <c r="G125" s="3">
        <v>760881070</v>
      </c>
      <c r="H125" s="3">
        <v>1.4999999999999999E-2</v>
      </c>
      <c r="I125" s="3">
        <v>5.64</v>
      </c>
      <c r="J125" s="3">
        <v>2.5099999999999998</v>
      </c>
      <c r="K125" s="3">
        <v>1.01</v>
      </c>
      <c r="L125" s="4">
        <f t="shared" si="1"/>
        <v>45463</v>
      </c>
    </row>
    <row r="126" spans="1:12">
      <c r="A126" s="3">
        <v>2018</v>
      </c>
      <c r="B126" s="3">
        <v>4</v>
      </c>
      <c r="C126" s="3" t="s">
        <v>22</v>
      </c>
      <c r="D126" s="3" t="s">
        <v>16</v>
      </c>
      <c r="E126" s="3">
        <v>8063</v>
      </c>
      <c r="F126" s="11">
        <v>93760</v>
      </c>
      <c r="G126" s="3">
        <v>755986880</v>
      </c>
      <c r="H126" s="3">
        <v>2.7E-2</v>
      </c>
      <c r="I126" s="3">
        <v>5.64</v>
      </c>
      <c r="J126" s="3">
        <v>2.5099999999999998</v>
      </c>
      <c r="K126" s="3">
        <v>1.01</v>
      </c>
      <c r="L126" s="4">
        <f t="shared" si="1"/>
        <v>45464</v>
      </c>
    </row>
    <row r="127" spans="1:12">
      <c r="A127" s="3">
        <v>2018</v>
      </c>
      <c r="B127" s="3">
        <v>4</v>
      </c>
      <c r="C127" s="3" t="s">
        <v>22</v>
      </c>
      <c r="D127" s="3" t="s">
        <v>17</v>
      </c>
      <c r="E127" s="3">
        <v>3440</v>
      </c>
      <c r="F127" s="11">
        <v>64571</v>
      </c>
      <c r="G127" s="3">
        <v>222124240</v>
      </c>
      <c r="H127" s="3">
        <v>2.5999999999999999E-2</v>
      </c>
      <c r="I127" s="3">
        <v>5.64</v>
      </c>
      <c r="J127" s="3">
        <v>2.5099999999999998</v>
      </c>
      <c r="K127" s="3">
        <v>1.01</v>
      </c>
      <c r="L127" s="4">
        <f t="shared" si="1"/>
        <v>45467</v>
      </c>
    </row>
    <row r="128" spans="1:12">
      <c r="A128" s="3">
        <v>2018</v>
      </c>
      <c r="B128" s="3">
        <v>4</v>
      </c>
      <c r="C128" s="3" t="s">
        <v>22</v>
      </c>
      <c r="D128" s="3" t="s">
        <v>18</v>
      </c>
      <c r="E128" s="3">
        <v>7194</v>
      </c>
      <c r="F128" s="11">
        <v>75710</v>
      </c>
      <c r="G128" s="3">
        <v>544657740</v>
      </c>
      <c r="H128" s="3">
        <v>2.5000000000000001E-2</v>
      </c>
      <c r="I128" s="3">
        <v>5.64</v>
      </c>
      <c r="J128" s="3">
        <v>2.5099999999999998</v>
      </c>
      <c r="K128" s="3">
        <v>1.01</v>
      </c>
      <c r="L128" s="4">
        <f t="shared" si="1"/>
        <v>45468</v>
      </c>
    </row>
    <row r="129" spans="1:12">
      <c r="A129" s="3">
        <v>2018</v>
      </c>
      <c r="B129" s="3">
        <v>4</v>
      </c>
      <c r="C129" s="3" t="s">
        <v>22</v>
      </c>
      <c r="D129" s="3" t="s">
        <v>19</v>
      </c>
      <c r="E129" s="3">
        <v>9364</v>
      </c>
      <c r="F129" s="11">
        <v>43807</v>
      </c>
      <c r="G129" s="3">
        <v>410208748</v>
      </c>
      <c r="H129" s="3">
        <v>5.0000000000000001E-3</v>
      </c>
      <c r="I129" s="3">
        <v>5.64</v>
      </c>
      <c r="J129" s="3">
        <v>2.5099999999999998</v>
      </c>
      <c r="K129" s="3">
        <v>1.01</v>
      </c>
      <c r="L129" s="4">
        <f t="shared" si="1"/>
        <v>45469</v>
      </c>
    </row>
    <row r="130" spans="1:12">
      <c r="A130" s="3">
        <v>2018</v>
      </c>
      <c r="B130" s="3">
        <v>5</v>
      </c>
      <c r="C130" s="3" t="s">
        <v>11</v>
      </c>
      <c r="D130" s="3" t="s">
        <v>12</v>
      </c>
      <c r="E130" s="3">
        <v>5143</v>
      </c>
      <c r="F130" s="11">
        <v>47365</v>
      </c>
      <c r="G130" s="3">
        <v>243598195</v>
      </c>
      <c r="H130" s="3">
        <v>3.3000000000000002E-2</v>
      </c>
      <c r="I130" s="3">
        <v>19.260000000000002</v>
      </c>
      <c r="J130" s="3">
        <v>2.78</v>
      </c>
      <c r="K130" s="3">
        <v>1.03</v>
      </c>
      <c r="L130" s="4">
        <f t="shared" si="1"/>
        <v>45470</v>
      </c>
    </row>
    <row r="131" spans="1:12">
      <c r="A131" s="3">
        <v>2018</v>
      </c>
      <c r="B131" s="3">
        <v>5</v>
      </c>
      <c r="C131" s="3" t="s">
        <v>11</v>
      </c>
      <c r="D131" s="3" t="s">
        <v>13</v>
      </c>
      <c r="E131" s="3">
        <v>6642</v>
      </c>
      <c r="F131" s="11">
        <v>60698</v>
      </c>
      <c r="G131" s="3">
        <v>403156116</v>
      </c>
      <c r="H131" s="3">
        <v>0.02</v>
      </c>
      <c r="I131" s="3">
        <v>19.260000000000002</v>
      </c>
      <c r="J131" s="3">
        <v>2.78</v>
      </c>
      <c r="K131" s="3">
        <v>1.03</v>
      </c>
      <c r="L131" s="4">
        <f t="shared" ref="L131:L194" si="2">WORKDAY(DATE(2024,1,1)-1,ROW(A130))</f>
        <v>45471</v>
      </c>
    </row>
    <row r="132" spans="1:12">
      <c r="A132" s="3">
        <v>2018</v>
      </c>
      <c r="B132" s="3">
        <v>5</v>
      </c>
      <c r="C132" s="3" t="s">
        <v>11</v>
      </c>
      <c r="D132" s="3" t="s">
        <v>14</v>
      </c>
      <c r="E132" s="3">
        <v>9201</v>
      </c>
      <c r="F132" s="11">
        <v>59455</v>
      </c>
      <c r="G132" s="3">
        <v>547045455</v>
      </c>
      <c r="H132" s="3">
        <v>2.3E-2</v>
      </c>
      <c r="I132" s="3">
        <v>19.260000000000002</v>
      </c>
      <c r="J132" s="3">
        <v>2.78</v>
      </c>
      <c r="K132" s="3">
        <v>1.03</v>
      </c>
      <c r="L132" s="4">
        <f t="shared" si="2"/>
        <v>45474</v>
      </c>
    </row>
    <row r="133" spans="1:12">
      <c r="A133" s="3">
        <v>2018</v>
      </c>
      <c r="B133" s="3">
        <v>5</v>
      </c>
      <c r="C133" s="3" t="s">
        <v>11</v>
      </c>
      <c r="D133" s="3" t="s">
        <v>15</v>
      </c>
      <c r="E133" s="3">
        <v>7073</v>
      </c>
      <c r="F133" s="11">
        <v>70577</v>
      </c>
      <c r="G133" s="3">
        <v>499191121</v>
      </c>
      <c r="H133" s="3">
        <v>1.9E-2</v>
      </c>
      <c r="I133" s="3">
        <v>19.260000000000002</v>
      </c>
      <c r="J133" s="3">
        <v>2.78</v>
      </c>
      <c r="K133" s="3">
        <v>1.03</v>
      </c>
      <c r="L133" s="4">
        <f t="shared" si="2"/>
        <v>45475</v>
      </c>
    </row>
    <row r="134" spans="1:12">
      <c r="A134" s="3">
        <v>2018</v>
      </c>
      <c r="B134" s="3">
        <v>5</v>
      </c>
      <c r="C134" s="3" t="s">
        <v>11</v>
      </c>
      <c r="D134" s="3" t="s">
        <v>16</v>
      </c>
      <c r="E134" s="3">
        <v>7586</v>
      </c>
      <c r="F134" s="11">
        <v>91492</v>
      </c>
      <c r="G134" s="3">
        <v>694058312</v>
      </c>
      <c r="H134" s="3">
        <v>3.1E-2</v>
      </c>
      <c r="I134" s="3">
        <v>19.260000000000002</v>
      </c>
      <c r="J134" s="3">
        <v>2.78</v>
      </c>
      <c r="K134" s="3">
        <v>1.03</v>
      </c>
      <c r="L134" s="4">
        <f t="shared" si="2"/>
        <v>45476</v>
      </c>
    </row>
    <row r="135" spans="1:12">
      <c r="A135" s="3">
        <v>2018</v>
      </c>
      <c r="B135" s="3">
        <v>5</v>
      </c>
      <c r="C135" s="3" t="s">
        <v>11</v>
      </c>
      <c r="D135" s="3" t="s">
        <v>17</v>
      </c>
      <c r="E135" s="3">
        <v>9643</v>
      </c>
      <c r="F135" s="11">
        <v>66636</v>
      </c>
      <c r="G135" s="3">
        <v>642570948</v>
      </c>
      <c r="H135" s="3">
        <v>4.1000000000000002E-2</v>
      </c>
      <c r="I135" s="3">
        <v>19.260000000000002</v>
      </c>
      <c r="J135" s="3">
        <v>2.78</v>
      </c>
      <c r="K135" s="3">
        <v>1.03</v>
      </c>
      <c r="L135" s="4">
        <f t="shared" si="2"/>
        <v>45477</v>
      </c>
    </row>
    <row r="136" spans="1:12">
      <c r="A136" s="3">
        <v>2018</v>
      </c>
      <c r="B136" s="3">
        <v>5</v>
      </c>
      <c r="C136" s="3" t="s">
        <v>11</v>
      </c>
      <c r="D136" s="3" t="s">
        <v>18</v>
      </c>
      <c r="E136" s="3">
        <v>3483</v>
      </c>
      <c r="F136" s="11">
        <v>76294</v>
      </c>
      <c r="G136" s="3">
        <v>265732002</v>
      </c>
      <c r="H136" s="3">
        <v>1.2999999999999999E-2</v>
      </c>
      <c r="I136" s="3">
        <v>19.260000000000002</v>
      </c>
      <c r="J136" s="3">
        <v>2.78</v>
      </c>
      <c r="K136" s="3">
        <v>1.03</v>
      </c>
      <c r="L136" s="4">
        <f t="shared" si="2"/>
        <v>45478</v>
      </c>
    </row>
    <row r="137" spans="1:12">
      <c r="A137" s="3">
        <v>2018</v>
      </c>
      <c r="B137" s="3">
        <v>5</v>
      </c>
      <c r="C137" s="3" t="s">
        <v>11</v>
      </c>
      <c r="D137" s="3" t="s">
        <v>19</v>
      </c>
      <c r="E137" s="3">
        <v>6867</v>
      </c>
      <c r="F137" s="11">
        <v>41156</v>
      </c>
      <c r="G137" s="3">
        <v>282618252</v>
      </c>
      <c r="H137" s="3">
        <v>0.02</v>
      </c>
      <c r="I137" s="3">
        <v>19.260000000000002</v>
      </c>
      <c r="J137" s="3">
        <v>2.78</v>
      </c>
      <c r="K137" s="3">
        <v>1.03</v>
      </c>
      <c r="L137" s="4">
        <f t="shared" si="2"/>
        <v>45481</v>
      </c>
    </row>
    <row r="138" spans="1:12">
      <c r="A138" s="3">
        <v>2018</v>
      </c>
      <c r="B138" s="3">
        <v>5</v>
      </c>
      <c r="C138" s="3" t="s">
        <v>20</v>
      </c>
      <c r="D138" s="3" t="s">
        <v>12</v>
      </c>
      <c r="E138" s="3">
        <v>6978</v>
      </c>
      <c r="F138" s="11">
        <v>48539</v>
      </c>
      <c r="G138" s="3">
        <v>338705142</v>
      </c>
      <c r="H138" s="3">
        <v>2.4E-2</v>
      </c>
      <c r="I138" s="3">
        <v>18.940000000000001</v>
      </c>
      <c r="J138" s="3">
        <v>3.32</v>
      </c>
      <c r="K138" s="3">
        <v>1.05</v>
      </c>
      <c r="L138" s="4">
        <f t="shared" si="2"/>
        <v>45482</v>
      </c>
    </row>
    <row r="139" spans="1:12">
      <c r="A139" s="3">
        <v>2018</v>
      </c>
      <c r="B139" s="3">
        <v>5</v>
      </c>
      <c r="C139" s="3" t="s">
        <v>20</v>
      </c>
      <c r="D139" s="3" t="s">
        <v>13</v>
      </c>
      <c r="E139" s="3">
        <v>9078</v>
      </c>
      <c r="F139" s="11">
        <v>63324</v>
      </c>
      <c r="G139" s="3">
        <v>574855272</v>
      </c>
      <c r="H139" s="3">
        <v>1.4E-2</v>
      </c>
      <c r="I139" s="3">
        <v>18.940000000000001</v>
      </c>
      <c r="J139" s="3">
        <v>3.32</v>
      </c>
      <c r="K139" s="3">
        <v>1.05</v>
      </c>
      <c r="L139" s="4">
        <f t="shared" si="2"/>
        <v>45483</v>
      </c>
    </row>
    <row r="140" spans="1:12">
      <c r="A140" s="3">
        <v>2018</v>
      </c>
      <c r="B140" s="3">
        <v>5</v>
      </c>
      <c r="C140" s="3" t="s">
        <v>20</v>
      </c>
      <c r="D140" s="3" t="s">
        <v>14</v>
      </c>
      <c r="E140" s="3">
        <v>3839</v>
      </c>
      <c r="F140" s="11">
        <v>57416</v>
      </c>
      <c r="G140" s="3">
        <v>220420024</v>
      </c>
      <c r="H140" s="3">
        <v>6.0000000000000001E-3</v>
      </c>
      <c r="I140" s="3">
        <v>18.940000000000001</v>
      </c>
      <c r="J140" s="3">
        <v>3.32</v>
      </c>
      <c r="K140" s="3">
        <v>1.05</v>
      </c>
      <c r="L140" s="4">
        <f t="shared" si="2"/>
        <v>45484</v>
      </c>
    </row>
    <row r="141" spans="1:12">
      <c r="A141" s="3">
        <v>2018</v>
      </c>
      <c r="B141" s="3">
        <v>5</v>
      </c>
      <c r="C141" s="3" t="s">
        <v>20</v>
      </c>
      <c r="D141" s="3" t="s">
        <v>15</v>
      </c>
      <c r="E141" s="3">
        <v>8966</v>
      </c>
      <c r="F141" s="11">
        <v>69681</v>
      </c>
      <c r="G141" s="3">
        <v>624759846</v>
      </c>
      <c r="H141" s="3">
        <v>1.6E-2</v>
      </c>
      <c r="I141" s="3">
        <v>18.940000000000001</v>
      </c>
      <c r="J141" s="3">
        <v>3.32</v>
      </c>
      <c r="K141" s="3">
        <v>1.05</v>
      </c>
      <c r="L141" s="4">
        <f t="shared" si="2"/>
        <v>45485</v>
      </c>
    </row>
    <row r="142" spans="1:12">
      <c r="A142" s="3">
        <v>2018</v>
      </c>
      <c r="B142" s="3">
        <v>5</v>
      </c>
      <c r="C142" s="3" t="s">
        <v>20</v>
      </c>
      <c r="D142" s="3" t="s">
        <v>16</v>
      </c>
      <c r="E142" s="3">
        <v>11313</v>
      </c>
      <c r="F142" s="11">
        <v>90510</v>
      </c>
      <c r="G142" s="3">
        <v>1023939630</v>
      </c>
      <c r="H142" s="3">
        <v>3.2000000000000001E-2</v>
      </c>
      <c r="I142" s="3">
        <v>18.940000000000001</v>
      </c>
      <c r="J142" s="3">
        <v>3.32</v>
      </c>
      <c r="K142" s="3">
        <v>1.05</v>
      </c>
      <c r="L142" s="4">
        <f t="shared" si="2"/>
        <v>45488</v>
      </c>
    </row>
    <row r="143" spans="1:12">
      <c r="A143" s="3">
        <v>2018</v>
      </c>
      <c r="B143" s="3">
        <v>5</v>
      </c>
      <c r="C143" s="3" t="s">
        <v>20</v>
      </c>
      <c r="D143" s="3" t="s">
        <v>17</v>
      </c>
      <c r="E143" s="3">
        <v>9494</v>
      </c>
      <c r="F143" s="11">
        <v>63216</v>
      </c>
      <c r="G143" s="3">
        <v>600172704</v>
      </c>
      <c r="H143" s="3">
        <v>1.4999999999999999E-2</v>
      </c>
      <c r="I143" s="3">
        <v>18.940000000000001</v>
      </c>
      <c r="J143" s="3">
        <v>3.32</v>
      </c>
      <c r="K143" s="3">
        <v>1.05</v>
      </c>
      <c r="L143" s="4">
        <f t="shared" si="2"/>
        <v>45489</v>
      </c>
    </row>
    <row r="144" spans="1:12">
      <c r="A144" s="3">
        <v>2018</v>
      </c>
      <c r="B144" s="3">
        <v>5</v>
      </c>
      <c r="C144" s="3" t="s">
        <v>20</v>
      </c>
      <c r="D144" s="3" t="s">
        <v>18</v>
      </c>
      <c r="E144" s="3">
        <v>3632</v>
      </c>
      <c r="F144" s="11">
        <v>76486</v>
      </c>
      <c r="G144" s="3">
        <v>277797152</v>
      </c>
      <c r="H144" s="3">
        <v>1.2999999999999999E-2</v>
      </c>
      <c r="I144" s="3">
        <v>18.940000000000001</v>
      </c>
      <c r="J144" s="3">
        <v>3.32</v>
      </c>
      <c r="K144" s="3">
        <v>1.05</v>
      </c>
      <c r="L144" s="4">
        <f t="shared" si="2"/>
        <v>45490</v>
      </c>
    </row>
    <row r="145" spans="1:12">
      <c r="A145" s="3">
        <v>2018</v>
      </c>
      <c r="B145" s="3">
        <v>5</v>
      </c>
      <c r="C145" s="3" t="s">
        <v>20</v>
      </c>
      <c r="D145" s="3" t="s">
        <v>19</v>
      </c>
      <c r="E145" s="3">
        <v>4094</v>
      </c>
      <c r="F145" s="11">
        <v>42492</v>
      </c>
      <c r="G145" s="3">
        <v>173962248</v>
      </c>
      <c r="H145" s="3">
        <v>3.4000000000000002E-2</v>
      </c>
      <c r="I145" s="3">
        <v>18.940000000000001</v>
      </c>
      <c r="J145" s="3">
        <v>3.32</v>
      </c>
      <c r="K145" s="3">
        <v>1.05</v>
      </c>
      <c r="L145" s="4">
        <f t="shared" si="2"/>
        <v>45491</v>
      </c>
    </row>
    <row r="146" spans="1:12">
      <c r="A146" s="3">
        <v>2018</v>
      </c>
      <c r="B146" s="3">
        <v>5</v>
      </c>
      <c r="C146" s="3" t="s">
        <v>21</v>
      </c>
      <c r="D146" s="3" t="s">
        <v>12</v>
      </c>
      <c r="E146" s="3">
        <v>6429</v>
      </c>
      <c r="F146" s="11">
        <v>47081</v>
      </c>
      <c r="G146" s="3">
        <v>302683749</v>
      </c>
      <c r="H146" s="3">
        <v>0.02</v>
      </c>
      <c r="I146" s="3">
        <v>15.74</v>
      </c>
      <c r="J146" s="3">
        <v>4.4800000000000004</v>
      </c>
      <c r="K146" s="3">
        <v>0.97</v>
      </c>
      <c r="L146" s="4">
        <f t="shared" si="2"/>
        <v>45492</v>
      </c>
    </row>
    <row r="147" spans="1:12">
      <c r="A147" s="3">
        <v>2018</v>
      </c>
      <c r="B147" s="3">
        <v>5</v>
      </c>
      <c r="C147" s="3" t="s">
        <v>21</v>
      </c>
      <c r="D147" s="3" t="s">
        <v>13</v>
      </c>
      <c r="E147" s="3">
        <v>8663</v>
      </c>
      <c r="F147" s="11">
        <v>60455</v>
      </c>
      <c r="G147" s="3">
        <v>523721665</v>
      </c>
      <c r="H147" s="3">
        <v>1.7000000000000001E-2</v>
      </c>
      <c r="I147" s="3">
        <v>15.74</v>
      </c>
      <c r="J147" s="3">
        <v>4.4800000000000004</v>
      </c>
      <c r="K147" s="3">
        <v>0.97</v>
      </c>
      <c r="L147" s="4">
        <f t="shared" si="2"/>
        <v>45495</v>
      </c>
    </row>
    <row r="148" spans="1:12">
      <c r="A148" s="3">
        <v>2018</v>
      </c>
      <c r="B148" s="3">
        <v>5</v>
      </c>
      <c r="C148" s="3" t="s">
        <v>21</v>
      </c>
      <c r="D148" s="3" t="s">
        <v>14</v>
      </c>
      <c r="E148" s="3">
        <v>11006</v>
      </c>
      <c r="F148" s="11">
        <v>57996</v>
      </c>
      <c r="G148" s="3">
        <v>638303976</v>
      </c>
      <c r="H148" s="3">
        <v>3.3000000000000002E-2</v>
      </c>
      <c r="I148" s="3">
        <v>15.74</v>
      </c>
      <c r="J148" s="3">
        <v>4.4800000000000004</v>
      </c>
      <c r="K148" s="3">
        <v>0.97</v>
      </c>
      <c r="L148" s="4">
        <f t="shared" si="2"/>
        <v>45496</v>
      </c>
    </row>
    <row r="149" spans="1:12">
      <c r="A149" s="3">
        <v>2018</v>
      </c>
      <c r="B149" s="3">
        <v>5</v>
      </c>
      <c r="C149" s="3" t="s">
        <v>21</v>
      </c>
      <c r="D149" s="3" t="s">
        <v>15</v>
      </c>
      <c r="E149" s="3">
        <v>2853</v>
      </c>
      <c r="F149" s="11">
        <v>68214</v>
      </c>
      <c r="G149" s="3">
        <v>194614542</v>
      </c>
      <c r="H149" s="3">
        <v>2.8000000000000001E-2</v>
      </c>
      <c r="I149" s="3">
        <v>15.74</v>
      </c>
      <c r="J149" s="3">
        <v>4.4800000000000004</v>
      </c>
      <c r="K149" s="3">
        <v>0.97</v>
      </c>
      <c r="L149" s="4">
        <f t="shared" si="2"/>
        <v>45497</v>
      </c>
    </row>
    <row r="150" spans="1:12">
      <c r="A150" s="3">
        <v>2018</v>
      </c>
      <c r="B150" s="3">
        <v>5</v>
      </c>
      <c r="C150" s="3" t="s">
        <v>21</v>
      </c>
      <c r="D150" s="3" t="s">
        <v>16</v>
      </c>
      <c r="E150" s="3">
        <v>3829</v>
      </c>
      <c r="F150" s="11">
        <v>90933</v>
      </c>
      <c r="G150" s="3">
        <v>348182457</v>
      </c>
      <c r="H150" s="3">
        <v>2.7E-2</v>
      </c>
      <c r="I150" s="3">
        <v>15.74</v>
      </c>
      <c r="J150" s="3">
        <v>4.4800000000000004</v>
      </c>
      <c r="K150" s="3">
        <v>0.97</v>
      </c>
      <c r="L150" s="4">
        <f t="shared" si="2"/>
        <v>45498</v>
      </c>
    </row>
    <row r="151" spans="1:12">
      <c r="A151" s="3">
        <v>2018</v>
      </c>
      <c r="B151" s="3">
        <v>5</v>
      </c>
      <c r="C151" s="3" t="s">
        <v>21</v>
      </c>
      <c r="D151" s="3" t="s">
        <v>17</v>
      </c>
      <c r="E151" s="3">
        <v>2501</v>
      </c>
      <c r="F151" s="11">
        <v>65105</v>
      </c>
      <c r="G151" s="3">
        <v>162827605</v>
      </c>
      <c r="H151" s="3">
        <v>1.6E-2</v>
      </c>
      <c r="I151" s="3">
        <v>15.74</v>
      </c>
      <c r="J151" s="3">
        <v>4.4800000000000004</v>
      </c>
      <c r="K151" s="3">
        <v>0.97</v>
      </c>
      <c r="L151" s="4">
        <f t="shared" si="2"/>
        <v>45499</v>
      </c>
    </row>
    <row r="152" spans="1:12">
      <c r="A152" s="3">
        <v>2018</v>
      </c>
      <c r="B152" s="3">
        <v>5</v>
      </c>
      <c r="C152" s="3" t="s">
        <v>21</v>
      </c>
      <c r="D152" s="3" t="s">
        <v>18</v>
      </c>
      <c r="E152" s="3">
        <v>5820</v>
      </c>
      <c r="F152" s="11">
        <v>73814</v>
      </c>
      <c r="G152" s="3">
        <v>429597480</v>
      </c>
      <c r="H152" s="3">
        <v>0.02</v>
      </c>
      <c r="I152" s="3">
        <v>15.74</v>
      </c>
      <c r="J152" s="3">
        <v>4.4800000000000004</v>
      </c>
      <c r="K152" s="3">
        <v>0.97</v>
      </c>
      <c r="L152" s="4">
        <f t="shared" si="2"/>
        <v>45502</v>
      </c>
    </row>
    <row r="153" spans="1:12">
      <c r="A153" s="3">
        <v>2018</v>
      </c>
      <c r="B153" s="3">
        <v>5</v>
      </c>
      <c r="C153" s="3" t="s">
        <v>21</v>
      </c>
      <c r="D153" s="3" t="s">
        <v>19</v>
      </c>
      <c r="E153" s="3">
        <v>6341</v>
      </c>
      <c r="F153" s="11">
        <v>42933</v>
      </c>
      <c r="G153" s="3">
        <v>272238153</v>
      </c>
      <c r="H153" s="3">
        <v>2.4E-2</v>
      </c>
      <c r="I153" s="3">
        <v>15.74</v>
      </c>
      <c r="J153" s="3">
        <v>4.4800000000000004</v>
      </c>
      <c r="K153" s="3">
        <v>0.97</v>
      </c>
      <c r="L153" s="4">
        <f t="shared" si="2"/>
        <v>45503</v>
      </c>
    </row>
    <row r="154" spans="1:12">
      <c r="A154" s="3">
        <v>2018</v>
      </c>
      <c r="B154" s="3">
        <v>5</v>
      </c>
      <c r="C154" s="3" t="s">
        <v>22</v>
      </c>
      <c r="D154" s="3" t="s">
        <v>12</v>
      </c>
      <c r="E154" s="3">
        <v>8255</v>
      </c>
      <c r="F154" s="11">
        <v>49486</v>
      </c>
      <c r="G154" s="3">
        <v>408506930</v>
      </c>
      <c r="H154" s="3">
        <v>3.5000000000000003E-2</v>
      </c>
      <c r="I154" s="3">
        <v>5.15</v>
      </c>
      <c r="J154" s="3">
        <v>3.84</v>
      </c>
      <c r="K154" s="3">
        <v>0.97</v>
      </c>
      <c r="L154" s="4">
        <f t="shared" si="2"/>
        <v>45504</v>
      </c>
    </row>
    <row r="155" spans="1:12">
      <c r="A155" s="3">
        <v>2018</v>
      </c>
      <c r="B155" s="3">
        <v>5</v>
      </c>
      <c r="C155" s="3" t="s">
        <v>22</v>
      </c>
      <c r="D155" s="3" t="s">
        <v>13</v>
      </c>
      <c r="E155" s="3">
        <v>5779</v>
      </c>
      <c r="F155" s="11">
        <v>61396</v>
      </c>
      <c r="G155" s="3">
        <v>354807484</v>
      </c>
      <c r="H155" s="3">
        <v>0.03</v>
      </c>
      <c r="I155" s="3">
        <v>5.15</v>
      </c>
      <c r="J155" s="3">
        <v>3.84</v>
      </c>
      <c r="K155" s="3">
        <v>0.97</v>
      </c>
      <c r="L155" s="4">
        <f t="shared" si="2"/>
        <v>45505</v>
      </c>
    </row>
    <row r="156" spans="1:12">
      <c r="A156" s="3">
        <v>2018</v>
      </c>
      <c r="B156" s="3">
        <v>5</v>
      </c>
      <c r="C156" s="3" t="s">
        <v>22</v>
      </c>
      <c r="D156" s="3" t="s">
        <v>14</v>
      </c>
      <c r="E156" s="3">
        <v>10025</v>
      </c>
      <c r="F156" s="11">
        <v>59018</v>
      </c>
      <c r="G156" s="3">
        <v>591655450</v>
      </c>
      <c r="H156" s="3">
        <v>3.4000000000000002E-2</v>
      </c>
      <c r="I156" s="3">
        <v>5.15</v>
      </c>
      <c r="J156" s="3">
        <v>3.84</v>
      </c>
      <c r="K156" s="3">
        <v>0.97</v>
      </c>
      <c r="L156" s="4">
        <f t="shared" si="2"/>
        <v>45506</v>
      </c>
    </row>
    <row r="157" spans="1:12">
      <c r="A157" s="3">
        <v>2018</v>
      </c>
      <c r="B157" s="3">
        <v>5</v>
      </c>
      <c r="C157" s="3" t="s">
        <v>22</v>
      </c>
      <c r="D157" s="3" t="s">
        <v>15</v>
      </c>
      <c r="E157" s="3">
        <v>3660</v>
      </c>
      <c r="F157" s="11">
        <v>69783</v>
      </c>
      <c r="G157" s="3">
        <v>255405780</v>
      </c>
      <c r="H157" s="3">
        <v>1.2999999999999999E-2</v>
      </c>
      <c r="I157" s="3">
        <v>5.15</v>
      </c>
      <c r="J157" s="3">
        <v>3.84</v>
      </c>
      <c r="K157" s="3">
        <v>0.97</v>
      </c>
      <c r="L157" s="4">
        <f t="shared" si="2"/>
        <v>45509</v>
      </c>
    </row>
    <row r="158" spans="1:12">
      <c r="A158" s="3">
        <v>2018</v>
      </c>
      <c r="B158" s="3">
        <v>5</v>
      </c>
      <c r="C158" s="3" t="s">
        <v>22</v>
      </c>
      <c r="D158" s="3" t="s">
        <v>16</v>
      </c>
      <c r="E158" s="3">
        <v>7184</v>
      </c>
      <c r="F158" s="11">
        <v>90372</v>
      </c>
      <c r="G158" s="3">
        <v>649232448</v>
      </c>
      <c r="H158" s="3">
        <v>1.0999999999999999E-2</v>
      </c>
      <c r="I158" s="3">
        <v>5.15</v>
      </c>
      <c r="J158" s="3">
        <v>3.84</v>
      </c>
      <c r="K158" s="3">
        <v>0.97</v>
      </c>
      <c r="L158" s="4">
        <f t="shared" si="2"/>
        <v>45510</v>
      </c>
    </row>
    <row r="159" spans="1:12">
      <c r="A159" s="3">
        <v>2018</v>
      </c>
      <c r="B159" s="3">
        <v>5</v>
      </c>
      <c r="C159" s="3" t="s">
        <v>22</v>
      </c>
      <c r="D159" s="3" t="s">
        <v>17</v>
      </c>
      <c r="E159" s="3">
        <v>11245</v>
      </c>
      <c r="F159" s="11">
        <v>64371</v>
      </c>
      <c r="G159" s="3">
        <v>723851895</v>
      </c>
      <c r="H159" s="3">
        <v>1.7999999999999999E-2</v>
      </c>
      <c r="I159" s="3">
        <v>5.15</v>
      </c>
      <c r="J159" s="3">
        <v>3.84</v>
      </c>
      <c r="K159" s="3">
        <v>0.97</v>
      </c>
      <c r="L159" s="4">
        <f t="shared" si="2"/>
        <v>45511</v>
      </c>
    </row>
    <row r="160" spans="1:12">
      <c r="A160" s="3">
        <v>2018</v>
      </c>
      <c r="B160" s="3">
        <v>5</v>
      </c>
      <c r="C160" s="3" t="s">
        <v>22</v>
      </c>
      <c r="D160" s="3" t="s">
        <v>18</v>
      </c>
      <c r="E160" s="3">
        <v>8853</v>
      </c>
      <c r="F160" s="11">
        <v>76249</v>
      </c>
      <c r="G160" s="3">
        <v>675032397</v>
      </c>
      <c r="H160" s="3">
        <v>-1E-3</v>
      </c>
      <c r="I160" s="3">
        <v>5.15</v>
      </c>
      <c r="J160" s="3">
        <v>3.84</v>
      </c>
      <c r="K160" s="3">
        <v>0.97</v>
      </c>
      <c r="L160" s="4">
        <f t="shared" si="2"/>
        <v>45512</v>
      </c>
    </row>
    <row r="161" spans="1:12">
      <c r="A161" s="3">
        <v>2018</v>
      </c>
      <c r="B161" s="3">
        <v>5</v>
      </c>
      <c r="C161" s="3" t="s">
        <v>22</v>
      </c>
      <c r="D161" s="3" t="s">
        <v>19</v>
      </c>
      <c r="E161" s="3">
        <v>2887</v>
      </c>
      <c r="F161" s="11">
        <v>42779</v>
      </c>
      <c r="G161" s="3">
        <v>123502973</v>
      </c>
      <c r="H161" s="3">
        <v>1.4999999999999999E-2</v>
      </c>
      <c r="I161" s="3">
        <v>5.15</v>
      </c>
      <c r="J161" s="3">
        <v>3.84</v>
      </c>
      <c r="K161" s="3">
        <v>0.97</v>
      </c>
      <c r="L161" s="4">
        <f t="shared" si="2"/>
        <v>45513</v>
      </c>
    </row>
    <row r="162" spans="1:12">
      <c r="A162" s="3">
        <v>2018</v>
      </c>
      <c r="B162" s="3">
        <v>6</v>
      </c>
      <c r="C162" s="3" t="s">
        <v>11</v>
      </c>
      <c r="D162" s="3" t="s">
        <v>12</v>
      </c>
      <c r="E162" s="3">
        <v>10562</v>
      </c>
      <c r="F162" s="11">
        <v>49795</v>
      </c>
      <c r="G162" s="3">
        <v>525934790</v>
      </c>
      <c r="H162" s="3">
        <v>1E-3</v>
      </c>
      <c r="I162" s="3">
        <v>17.170000000000002</v>
      </c>
      <c r="J162" s="3">
        <v>1.67</v>
      </c>
      <c r="K162" s="3">
        <v>0.98</v>
      </c>
      <c r="L162" s="4">
        <f t="shared" si="2"/>
        <v>45516</v>
      </c>
    </row>
    <row r="163" spans="1:12">
      <c r="A163" s="3">
        <v>2018</v>
      </c>
      <c r="B163" s="3">
        <v>6</v>
      </c>
      <c r="C163" s="3" t="s">
        <v>11</v>
      </c>
      <c r="D163" s="3" t="s">
        <v>13</v>
      </c>
      <c r="E163" s="3">
        <v>5806</v>
      </c>
      <c r="F163" s="11">
        <v>62799</v>
      </c>
      <c r="G163" s="3">
        <v>364610994</v>
      </c>
      <c r="H163" s="3">
        <v>2.4E-2</v>
      </c>
      <c r="I163" s="3">
        <v>17.170000000000002</v>
      </c>
      <c r="J163" s="3">
        <v>1.67</v>
      </c>
      <c r="K163" s="3">
        <v>0.98</v>
      </c>
      <c r="L163" s="4">
        <f t="shared" si="2"/>
        <v>45517</v>
      </c>
    </row>
    <row r="164" spans="1:12">
      <c r="A164" s="3">
        <v>2018</v>
      </c>
      <c r="B164" s="3">
        <v>6</v>
      </c>
      <c r="C164" s="3" t="s">
        <v>11</v>
      </c>
      <c r="D164" s="3" t="s">
        <v>14</v>
      </c>
      <c r="E164" s="3">
        <v>3766</v>
      </c>
      <c r="F164" s="11">
        <v>56708</v>
      </c>
      <c r="G164" s="3">
        <v>213562328</v>
      </c>
      <c r="H164" s="3">
        <v>1.9E-2</v>
      </c>
      <c r="I164" s="3">
        <v>17.170000000000002</v>
      </c>
      <c r="J164" s="3">
        <v>1.67</v>
      </c>
      <c r="K164" s="3">
        <v>0.98</v>
      </c>
      <c r="L164" s="4">
        <f t="shared" si="2"/>
        <v>45518</v>
      </c>
    </row>
    <row r="165" spans="1:12">
      <c r="A165" s="3">
        <v>2018</v>
      </c>
      <c r="B165" s="3">
        <v>6</v>
      </c>
      <c r="C165" s="3" t="s">
        <v>11</v>
      </c>
      <c r="D165" s="3" t="s">
        <v>15</v>
      </c>
      <c r="E165" s="3">
        <v>4771</v>
      </c>
      <c r="F165" s="11">
        <v>68944</v>
      </c>
      <c r="G165" s="3">
        <v>328931824</v>
      </c>
      <c r="H165" s="3">
        <v>2.5999999999999999E-2</v>
      </c>
      <c r="I165" s="3">
        <v>17.170000000000002</v>
      </c>
      <c r="J165" s="3">
        <v>1.67</v>
      </c>
      <c r="K165" s="3">
        <v>0.98</v>
      </c>
      <c r="L165" s="4">
        <f t="shared" si="2"/>
        <v>45519</v>
      </c>
    </row>
    <row r="166" spans="1:12">
      <c r="A166" s="3">
        <v>2018</v>
      </c>
      <c r="B166" s="3">
        <v>6</v>
      </c>
      <c r="C166" s="3" t="s">
        <v>11</v>
      </c>
      <c r="D166" s="3" t="s">
        <v>16</v>
      </c>
      <c r="E166" s="3">
        <v>2759</v>
      </c>
      <c r="F166" s="11">
        <v>90223</v>
      </c>
      <c r="G166" s="3">
        <v>248925257</v>
      </c>
      <c r="H166" s="3">
        <v>3.2000000000000001E-2</v>
      </c>
      <c r="I166" s="3">
        <v>17.170000000000002</v>
      </c>
      <c r="J166" s="3">
        <v>1.67</v>
      </c>
      <c r="K166" s="3">
        <v>0.98</v>
      </c>
      <c r="L166" s="4">
        <f t="shared" si="2"/>
        <v>45520</v>
      </c>
    </row>
    <row r="167" spans="1:12">
      <c r="A167" s="3">
        <v>2018</v>
      </c>
      <c r="B167" s="3">
        <v>6</v>
      </c>
      <c r="C167" s="3" t="s">
        <v>11</v>
      </c>
      <c r="D167" s="3" t="s">
        <v>17</v>
      </c>
      <c r="E167" s="3">
        <v>10943</v>
      </c>
      <c r="F167" s="11">
        <v>63062</v>
      </c>
      <c r="G167" s="3">
        <v>690087466</v>
      </c>
      <c r="H167" s="3">
        <v>1.4999999999999999E-2</v>
      </c>
      <c r="I167" s="3">
        <v>17.170000000000002</v>
      </c>
      <c r="J167" s="3">
        <v>1.67</v>
      </c>
      <c r="K167" s="3">
        <v>0.98</v>
      </c>
      <c r="L167" s="4">
        <f t="shared" si="2"/>
        <v>45523</v>
      </c>
    </row>
    <row r="168" spans="1:12">
      <c r="A168" s="3">
        <v>2018</v>
      </c>
      <c r="B168" s="3">
        <v>6</v>
      </c>
      <c r="C168" s="3" t="s">
        <v>11</v>
      </c>
      <c r="D168" s="3" t="s">
        <v>18</v>
      </c>
      <c r="E168" s="3">
        <v>7067</v>
      </c>
      <c r="F168" s="11">
        <v>74633</v>
      </c>
      <c r="G168" s="3">
        <v>527431411</v>
      </c>
      <c r="H168" s="3">
        <v>2.3E-2</v>
      </c>
      <c r="I168" s="3">
        <v>17.170000000000002</v>
      </c>
      <c r="J168" s="3">
        <v>1.67</v>
      </c>
      <c r="K168" s="3">
        <v>0.98</v>
      </c>
      <c r="L168" s="4">
        <f t="shared" si="2"/>
        <v>45524</v>
      </c>
    </row>
    <row r="169" spans="1:12">
      <c r="A169" s="3">
        <v>2018</v>
      </c>
      <c r="B169" s="3">
        <v>6</v>
      </c>
      <c r="C169" s="3" t="s">
        <v>11</v>
      </c>
      <c r="D169" s="3" t="s">
        <v>19</v>
      </c>
      <c r="E169" s="3">
        <v>10742</v>
      </c>
      <c r="F169" s="11">
        <v>40510</v>
      </c>
      <c r="G169" s="3">
        <v>435158420</v>
      </c>
      <c r="H169" s="3">
        <v>3.2000000000000001E-2</v>
      </c>
      <c r="I169" s="3">
        <v>17.170000000000002</v>
      </c>
      <c r="J169" s="3">
        <v>1.67</v>
      </c>
      <c r="K169" s="3">
        <v>0.98</v>
      </c>
      <c r="L169" s="4">
        <f t="shared" si="2"/>
        <v>45525</v>
      </c>
    </row>
    <row r="170" spans="1:12">
      <c r="A170" s="3">
        <v>2018</v>
      </c>
      <c r="B170" s="3">
        <v>6</v>
      </c>
      <c r="C170" s="3" t="s">
        <v>20</v>
      </c>
      <c r="D170" s="3" t="s">
        <v>12</v>
      </c>
      <c r="E170" s="3">
        <v>4950</v>
      </c>
      <c r="F170" s="11">
        <v>48818</v>
      </c>
      <c r="G170" s="3">
        <v>241649100</v>
      </c>
      <c r="H170" s="3">
        <v>3.5999999999999997E-2</v>
      </c>
      <c r="I170" s="3">
        <v>20.05</v>
      </c>
      <c r="J170" s="3">
        <v>2.89</v>
      </c>
      <c r="K170" s="3">
        <v>1</v>
      </c>
      <c r="L170" s="4">
        <f t="shared" si="2"/>
        <v>45526</v>
      </c>
    </row>
    <row r="171" spans="1:12">
      <c r="A171" s="3">
        <v>2018</v>
      </c>
      <c r="B171" s="3">
        <v>6</v>
      </c>
      <c r="C171" s="3" t="s">
        <v>20</v>
      </c>
      <c r="D171" s="3" t="s">
        <v>13</v>
      </c>
      <c r="E171" s="3">
        <v>4356</v>
      </c>
      <c r="F171" s="11">
        <v>63094</v>
      </c>
      <c r="G171" s="3">
        <v>274837464</v>
      </c>
      <c r="H171" s="3">
        <v>2.1999999999999999E-2</v>
      </c>
      <c r="I171" s="3">
        <v>20.05</v>
      </c>
      <c r="J171" s="3">
        <v>2.89</v>
      </c>
      <c r="K171" s="3">
        <v>1</v>
      </c>
      <c r="L171" s="4">
        <f t="shared" si="2"/>
        <v>45527</v>
      </c>
    </row>
    <row r="172" spans="1:12">
      <c r="A172" s="3">
        <v>2018</v>
      </c>
      <c r="B172" s="3">
        <v>6</v>
      </c>
      <c r="C172" s="3" t="s">
        <v>20</v>
      </c>
      <c r="D172" s="3" t="s">
        <v>14</v>
      </c>
      <c r="E172" s="3">
        <v>10604</v>
      </c>
      <c r="F172" s="11">
        <v>56082</v>
      </c>
      <c r="G172" s="3">
        <v>594693528</v>
      </c>
      <c r="H172" s="3">
        <v>2.9000000000000001E-2</v>
      </c>
      <c r="I172" s="3">
        <v>20.05</v>
      </c>
      <c r="J172" s="3">
        <v>2.89</v>
      </c>
      <c r="K172" s="3">
        <v>1</v>
      </c>
      <c r="L172" s="4">
        <f t="shared" si="2"/>
        <v>45530</v>
      </c>
    </row>
    <row r="173" spans="1:12">
      <c r="A173" s="3">
        <v>2018</v>
      </c>
      <c r="B173" s="3">
        <v>6</v>
      </c>
      <c r="C173" s="3" t="s">
        <v>20</v>
      </c>
      <c r="D173" s="3" t="s">
        <v>15</v>
      </c>
      <c r="E173" s="3">
        <v>10719</v>
      </c>
      <c r="F173" s="11">
        <v>69504</v>
      </c>
      <c r="G173" s="3">
        <v>745013376</v>
      </c>
      <c r="H173" s="3">
        <v>2.8000000000000001E-2</v>
      </c>
      <c r="I173" s="3">
        <v>20.05</v>
      </c>
      <c r="J173" s="3">
        <v>2.89</v>
      </c>
      <c r="K173" s="3">
        <v>1</v>
      </c>
      <c r="L173" s="4">
        <f t="shared" si="2"/>
        <v>45531</v>
      </c>
    </row>
    <row r="174" spans="1:12">
      <c r="A174" s="3">
        <v>2018</v>
      </c>
      <c r="B174" s="3">
        <v>6</v>
      </c>
      <c r="C174" s="3" t="s">
        <v>20</v>
      </c>
      <c r="D174" s="3" t="s">
        <v>16</v>
      </c>
      <c r="E174" s="3">
        <v>9346</v>
      </c>
      <c r="F174" s="11">
        <v>93843</v>
      </c>
      <c r="G174" s="3">
        <v>877056678</v>
      </c>
      <c r="H174" s="3">
        <v>1.2E-2</v>
      </c>
      <c r="I174" s="3">
        <v>20.05</v>
      </c>
      <c r="J174" s="3">
        <v>2.89</v>
      </c>
      <c r="K174" s="3">
        <v>1</v>
      </c>
      <c r="L174" s="4">
        <f t="shared" si="2"/>
        <v>45532</v>
      </c>
    </row>
    <row r="175" spans="1:12">
      <c r="A175" s="3">
        <v>2018</v>
      </c>
      <c r="B175" s="3">
        <v>6</v>
      </c>
      <c r="C175" s="3" t="s">
        <v>20</v>
      </c>
      <c r="D175" s="3" t="s">
        <v>17</v>
      </c>
      <c r="E175" s="3">
        <v>8871</v>
      </c>
      <c r="F175" s="11">
        <v>63448</v>
      </c>
      <c r="G175" s="3">
        <v>562847208</v>
      </c>
      <c r="H175" s="3">
        <v>1.0999999999999999E-2</v>
      </c>
      <c r="I175" s="3">
        <v>20.05</v>
      </c>
      <c r="J175" s="3">
        <v>2.89</v>
      </c>
      <c r="K175" s="3">
        <v>1</v>
      </c>
      <c r="L175" s="4">
        <f t="shared" si="2"/>
        <v>45533</v>
      </c>
    </row>
    <row r="176" spans="1:12">
      <c r="A176" s="3">
        <v>2018</v>
      </c>
      <c r="B176" s="3">
        <v>6</v>
      </c>
      <c r="C176" s="3" t="s">
        <v>20</v>
      </c>
      <c r="D176" s="3" t="s">
        <v>18</v>
      </c>
      <c r="E176" s="3">
        <v>8223</v>
      </c>
      <c r="F176" s="11">
        <v>73770</v>
      </c>
      <c r="G176" s="3">
        <v>606610710</v>
      </c>
      <c r="H176" s="3">
        <v>-1.4999999999999999E-2</v>
      </c>
      <c r="I176" s="3">
        <v>20.05</v>
      </c>
      <c r="J176" s="3">
        <v>2.89</v>
      </c>
      <c r="K176" s="3">
        <v>1</v>
      </c>
      <c r="L176" s="4">
        <f t="shared" si="2"/>
        <v>45534</v>
      </c>
    </row>
    <row r="177" spans="1:12">
      <c r="A177" s="3">
        <v>2018</v>
      </c>
      <c r="B177" s="3">
        <v>6</v>
      </c>
      <c r="C177" s="3" t="s">
        <v>20</v>
      </c>
      <c r="D177" s="3" t="s">
        <v>19</v>
      </c>
      <c r="E177" s="3">
        <v>7549</v>
      </c>
      <c r="F177" s="11">
        <v>41984</v>
      </c>
      <c r="G177" s="3">
        <v>316937216</v>
      </c>
      <c r="H177" s="3">
        <v>1.7000000000000001E-2</v>
      </c>
      <c r="I177" s="3">
        <v>20.05</v>
      </c>
      <c r="J177" s="3">
        <v>2.89</v>
      </c>
      <c r="K177" s="3">
        <v>1</v>
      </c>
      <c r="L177" s="4">
        <f t="shared" si="2"/>
        <v>45537</v>
      </c>
    </row>
    <row r="178" spans="1:12">
      <c r="A178" s="3">
        <v>2018</v>
      </c>
      <c r="B178" s="3">
        <v>6</v>
      </c>
      <c r="C178" s="3" t="s">
        <v>21</v>
      </c>
      <c r="D178" s="3" t="s">
        <v>12</v>
      </c>
      <c r="E178" s="3">
        <v>9948</v>
      </c>
      <c r="F178" s="11">
        <v>46577</v>
      </c>
      <c r="G178" s="3">
        <v>463347996</v>
      </c>
      <c r="H178" s="3">
        <v>2.5999999999999999E-2</v>
      </c>
      <c r="I178" s="3">
        <v>20.14</v>
      </c>
      <c r="J178" s="3">
        <v>5.0599999999999996</v>
      </c>
      <c r="K178" s="3">
        <v>1.05</v>
      </c>
      <c r="L178" s="4">
        <f t="shared" si="2"/>
        <v>45538</v>
      </c>
    </row>
    <row r="179" spans="1:12">
      <c r="A179" s="3">
        <v>2018</v>
      </c>
      <c r="B179" s="3">
        <v>6</v>
      </c>
      <c r="C179" s="3" t="s">
        <v>21</v>
      </c>
      <c r="D179" s="3" t="s">
        <v>13</v>
      </c>
      <c r="E179" s="3">
        <v>7733</v>
      </c>
      <c r="F179" s="11">
        <v>62150</v>
      </c>
      <c r="G179" s="3">
        <v>480605950</v>
      </c>
      <c r="H179" s="3">
        <v>3.4000000000000002E-2</v>
      </c>
      <c r="I179" s="3">
        <v>20.14</v>
      </c>
      <c r="J179" s="3">
        <v>5.0599999999999996</v>
      </c>
      <c r="K179" s="3">
        <v>1.05</v>
      </c>
      <c r="L179" s="4">
        <f t="shared" si="2"/>
        <v>45539</v>
      </c>
    </row>
    <row r="180" spans="1:12">
      <c r="A180" s="3">
        <v>2018</v>
      </c>
      <c r="B180" s="3">
        <v>6</v>
      </c>
      <c r="C180" s="3" t="s">
        <v>21</v>
      </c>
      <c r="D180" s="3" t="s">
        <v>14</v>
      </c>
      <c r="E180" s="3">
        <v>10319</v>
      </c>
      <c r="F180" s="11">
        <v>58845</v>
      </c>
      <c r="G180" s="3">
        <v>607221555</v>
      </c>
      <c r="H180" s="3">
        <v>3.1E-2</v>
      </c>
      <c r="I180" s="3">
        <v>20.14</v>
      </c>
      <c r="J180" s="3">
        <v>5.0599999999999996</v>
      </c>
      <c r="K180" s="3">
        <v>1.05</v>
      </c>
      <c r="L180" s="4">
        <f t="shared" si="2"/>
        <v>45540</v>
      </c>
    </row>
    <row r="181" spans="1:12">
      <c r="A181" s="3">
        <v>2018</v>
      </c>
      <c r="B181" s="3">
        <v>6</v>
      </c>
      <c r="C181" s="3" t="s">
        <v>21</v>
      </c>
      <c r="D181" s="3" t="s">
        <v>15</v>
      </c>
      <c r="E181" s="3">
        <v>10452</v>
      </c>
      <c r="F181" s="11">
        <v>69482</v>
      </c>
      <c r="G181" s="3">
        <v>726225864</v>
      </c>
      <c r="H181" s="3">
        <v>2E-3</v>
      </c>
      <c r="I181" s="3">
        <v>20.14</v>
      </c>
      <c r="J181" s="3">
        <v>5.0599999999999996</v>
      </c>
      <c r="K181" s="3">
        <v>1.05</v>
      </c>
      <c r="L181" s="4">
        <f t="shared" si="2"/>
        <v>45541</v>
      </c>
    </row>
    <row r="182" spans="1:12">
      <c r="A182" s="3">
        <v>2018</v>
      </c>
      <c r="B182" s="3">
        <v>6</v>
      </c>
      <c r="C182" s="3" t="s">
        <v>21</v>
      </c>
      <c r="D182" s="3" t="s">
        <v>16</v>
      </c>
      <c r="E182" s="3">
        <v>4214</v>
      </c>
      <c r="F182" s="11">
        <v>91358</v>
      </c>
      <c r="G182" s="3">
        <v>384982612</v>
      </c>
      <c r="H182" s="3">
        <v>0</v>
      </c>
      <c r="I182" s="3">
        <v>20.14</v>
      </c>
      <c r="J182" s="3">
        <v>5.0599999999999996</v>
      </c>
      <c r="K182" s="3">
        <v>1.05</v>
      </c>
      <c r="L182" s="4">
        <f t="shared" si="2"/>
        <v>45544</v>
      </c>
    </row>
    <row r="183" spans="1:12">
      <c r="A183" s="3">
        <v>2018</v>
      </c>
      <c r="B183" s="3">
        <v>6</v>
      </c>
      <c r="C183" s="3" t="s">
        <v>21</v>
      </c>
      <c r="D183" s="3" t="s">
        <v>17</v>
      </c>
      <c r="E183" s="3">
        <v>8376</v>
      </c>
      <c r="F183" s="11">
        <v>63541</v>
      </c>
      <c r="G183" s="3">
        <v>532219416</v>
      </c>
      <c r="H183" s="3">
        <v>0.04</v>
      </c>
      <c r="I183" s="3">
        <v>20.14</v>
      </c>
      <c r="J183" s="3">
        <v>5.0599999999999996</v>
      </c>
      <c r="K183" s="3">
        <v>1.05</v>
      </c>
      <c r="L183" s="4">
        <f t="shared" si="2"/>
        <v>45545</v>
      </c>
    </row>
    <row r="184" spans="1:12">
      <c r="A184" s="3">
        <v>2018</v>
      </c>
      <c r="B184" s="3">
        <v>6</v>
      </c>
      <c r="C184" s="3" t="s">
        <v>21</v>
      </c>
      <c r="D184" s="3" t="s">
        <v>18</v>
      </c>
      <c r="E184" s="3">
        <v>8089</v>
      </c>
      <c r="F184" s="11">
        <v>73796</v>
      </c>
      <c r="G184" s="3">
        <v>596935844</v>
      </c>
      <c r="H184" s="3">
        <v>3.9E-2</v>
      </c>
      <c r="I184" s="3">
        <v>20.14</v>
      </c>
      <c r="J184" s="3">
        <v>5.0599999999999996</v>
      </c>
      <c r="K184" s="3">
        <v>1.05</v>
      </c>
      <c r="L184" s="4">
        <f t="shared" si="2"/>
        <v>45546</v>
      </c>
    </row>
    <row r="185" spans="1:12">
      <c r="A185" s="3">
        <v>2018</v>
      </c>
      <c r="B185" s="3">
        <v>6</v>
      </c>
      <c r="C185" s="3" t="s">
        <v>21</v>
      </c>
      <c r="D185" s="3" t="s">
        <v>19</v>
      </c>
      <c r="E185" s="3">
        <v>10497</v>
      </c>
      <c r="F185" s="11">
        <v>40137</v>
      </c>
      <c r="G185" s="3">
        <v>421318089</v>
      </c>
      <c r="H185" s="3">
        <v>2.1999999999999999E-2</v>
      </c>
      <c r="I185" s="3">
        <v>20.14</v>
      </c>
      <c r="J185" s="3">
        <v>5.0599999999999996</v>
      </c>
      <c r="K185" s="3">
        <v>1.05</v>
      </c>
      <c r="L185" s="4">
        <f t="shared" si="2"/>
        <v>45547</v>
      </c>
    </row>
    <row r="186" spans="1:12">
      <c r="A186" s="3">
        <v>2018</v>
      </c>
      <c r="B186" s="3">
        <v>6</v>
      </c>
      <c r="C186" s="3" t="s">
        <v>22</v>
      </c>
      <c r="D186" s="3" t="s">
        <v>12</v>
      </c>
      <c r="E186" s="3">
        <v>7330</v>
      </c>
      <c r="F186" s="11">
        <v>46204</v>
      </c>
      <c r="G186" s="3">
        <v>338675320</v>
      </c>
      <c r="H186" s="3">
        <v>0.02</v>
      </c>
      <c r="I186" s="3">
        <v>5.52</v>
      </c>
      <c r="J186" s="3">
        <v>2.99</v>
      </c>
      <c r="K186" s="3">
        <v>1.02</v>
      </c>
      <c r="L186" s="4">
        <f t="shared" si="2"/>
        <v>45548</v>
      </c>
    </row>
    <row r="187" spans="1:12">
      <c r="A187" s="3">
        <v>2018</v>
      </c>
      <c r="B187" s="3">
        <v>6</v>
      </c>
      <c r="C187" s="3" t="s">
        <v>22</v>
      </c>
      <c r="D187" s="3" t="s">
        <v>13</v>
      </c>
      <c r="E187" s="3">
        <v>9645</v>
      </c>
      <c r="F187" s="11">
        <v>63818</v>
      </c>
      <c r="G187" s="3">
        <v>615524610</v>
      </c>
      <c r="H187" s="3">
        <v>2.4E-2</v>
      </c>
      <c r="I187" s="3">
        <v>5.52</v>
      </c>
      <c r="J187" s="3">
        <v>2.99</v>
      </c>
      <c r="K187" s="3">
        <v>1.02</v>
      </c>
      <c r="L187" s="4">
        <f t="shared" si="2"/>
        <v>45551</v>
      </c>
    </row>
    <row r="188" spans="1:12">
      <c r="A188" s="3">
        <v>2018</v>
      </c>
      <c r="B188" s="3">
        <v>6</v>
      </c>
      <c r="C188" s="3" t="s">
        <v>22</v>
      </c>
      <c r="D188" s="3" t="s">
        <v>14</v>
      </c>
      <c r="E188" s="3">
        <v>4846</v>
      </c>
      <c r="F188" s="11">
        <v>58895</v>
      </c>
      <c r="G188" s="3">
        <v>285405170</v>
      </c>
      <c r="H188" s="3">
        <v>-2E-3</v>
      </c>
      <c r="I188" s="3">
        <v>5.52</v>
      </c>
      <c r="J188" s="3">
        <v>2.99</v>
      </c>
      <c r="K188" s="3">
        <v>1.02</v>
      </c>
      <c r="L188" s="4">
        <f t="shared" si="2"/>
        <v>45552</v>
      </c>
    </row>
    <row r="189" spans="1:12">
      <c r="A189" s="3">
        <v>2018</v>
      </c>
      <c r="B189" s="3">
        <v>6</v>
      </c>
      <c r="C189" s="3" t="s">
        <v>22</v>
      </c>
      <c r="D189" s="3" t="s">
        <v>15</v>
      </c>
      <c r="E189" s="3">
        <v>9611</v>
      </c>
      <c r="F189" s="11">
        <v>68994</v>
      </c>
      <c r="G189" s="3">
        <v>663101334</v>
      </c>
      <c r="H189" s="3">
        <v>0.04</v>
      </c>
      <c r="I189" s="3">
        <v>5.52</v>
      </c>
      <c r="J189" s="3">
        <v>2.99</v>
      </c>
      <c r="K189" s="3">
        <v>1.02</v>
      </c>
      <c r="L189" s="4">
        <f t="shared" si="2"/>
        <v>45553</v>
      </c>
    </row>
    <row r="190" spans="1:12">
      <c r="A190" s="3">
        <v>2018</v>
      </c>
      <c r="B190" s="3">
        <v>6</v>
      </c>
      <c r="C190" s="3" t="s">
        <v>22</v>
      </c>
      <c r="D190" s="3" t="s">
        <v>16</v>
      </c>
      <c r="E190" s="3">
        <v>9384</v>
      </c>
      <c r="F190" s="11">
        <v>91719</v>
      </c>
      <c r="G190" s="3">
        <v>860691096</v>
      </c>
      <c r="H190" s="3">
        <v>8.9999999999999993E-3</v>
      </c>
      <c r="I190" s="3">
        <v>5.52</v>
      </c>
      <c r="J190" s="3">
        <v>2.99</v>
      </c>
      <c r="K190" s="3">
        <v>1.02</v>
      </c>
      <c r="L190" s="4">
        <f t="shared" si="2"/>
        <v>45554</v>
      </c>
    </row>
    <row r="191" spans="1:12">
      <c r="A191" s="3">
        <v>2018</v>
      </c>
      <c r="B191" s="3">
        <v>6</v>
      </c>
      <c r="C191" s="3" t="s">
        <v>22</v>
      </c>
      <c r="D191" s="3" t="s">
        <v>17</v>
      </c>
      <c r="E191" s="3">
        <v>12069</v>
      </c>
      <c r="F191" s="11">
        <v>66266</v>
      </c>
      <c r="G191" s="3">
        <v>799764354</v>
      </c>
      <c r="H191" s="3">
        <v>2.5000000000000001E-2</v>
      </c>
      <c r="I191" s="3">
        <v>5.52</v>
      </c>
      <c r="J191" s="3">
        <v>2.99</v>
      </c>
      <c r="K191" s="3">
        <v>1.02</v>
      </c>
      <c r="L191" s="4">
        <f t="shared" si="2"/>
        <v>45555</v>
      </c>
    </row>
    <row r="192" spans="1:12">
      <c r="A192" s="3">
        <v>2018</v>
      </c>
      <c r="B192" s="3">
        <v>6</v>
      </c>
      <c r="C192" s="3" t="s">
        <v>22</v>
      </c>
      <c r="D192" s="3" t="s">
        <v>18</v>
      </c>
      <c r="E192" s="3">
        <v>4825</v>
      </c>
      <c r="F192" s="11">
        <v>74969</v>
      </c>
      <c r="G192" s="3">
        <v>361725425</v>
      </c>
      <c r="H192" s="3">
        <v>4.1000000000000002E-2</v>
      </c>
      <c r="I192" s="3">
        <v>5.52</v>
      </c>
      <c r="J192" s="3">
        <v>2.99</v>
      </c>
      <c r="K192" s="3">
        <v>1.02</v>
      </c>
      <c r="L192" s="4">
        <f t="shared" si="2"/>
        <v>45558</v>
      </c>
    </row>
    <row r="193" spans="1:12">
      <c r="A193" s="3">
        <v>2018</v>
      </c>
      <c r="B193" s="3">
        <v>6</v>
      </c>
      <c r="C193" s="3" t="s">
        <v>22</v>
      </c>
      <c r="D193" s="3" t="s">
        <v>19</v>
      </c>
      <c r="E193" s="3">
        <v>10204</v>
      </c>
      <c r="F193" s="11">
        <v>43122</v>
      </c>
      <c r="G193" s="3">
        <v>440016888</v>
      </c>
      <c r="H193" s="3">
        <v>1.7000000000000001E-2</v>
      </c>
      <c r="I193" s="3">
        <v>5.52</v>
      </c>
      <c r="J193" s="3">
        <v>2.99</v>
      </c>
      <c r="K193" s="3">
        <v>1.02</v>
      </c>
      <c r="L193" s="4">
        <f t="shared" si="2"/>
        <v>45559</v>
      </c>
    </row>
    <row r="194" spans="1:12">
      <c r="A194" s="3">
        <v>2018</v>
      </c>
      <c r="B194" s="3">
        <v>7</v>
      </c>
      <c r="C194" s="3" t="s">
        <v>11</v>
      </c>
      <c r="D194" s="3" t="s">
        <v>12</v>
      </c>
      <c r="E194" s="3">
        <v>8432</v>
      </c>
      <c r="F194" s="11">
        <v>47968</v>
      </c>
      <c r="G194" s="3">
        <v>404466176</v>
      </c>
      <c r="H194" s="3">
        <v>2.8000000000000001E-2</v>
      </c>
      <c r="I194" s="3">
        <v>14.62</v>
      </c>
      <c r="J194" s="3">
        <v>2.1800000000000002</v>
      </c>
      <c r="K194" s="3">
        <v>0.98</v>
      </c>
      <c r="L194" s="4">
        <f t="shared" si="2"/>
        <v>45560</v>
      </c>
    </row>
    <row r="195" spans="1:12">
      <c r="A195" s="3">
        <v>2018</v>
      </c>
      <c r="B195" s="3">
        <v>7</v>
      </c>
      <c r="C195" s="3" t="s">
        <v>11</v>
      </c>
      <c r="D195" s="3" t="s">
        <v>13</v>
      </c>
      <c r="E195" s="3">
        <v>9253</v>
      </c>
      <c r="F195" s="11">
        <v>62841</v>
      </c>
      <c r="G195" s="3">
        <v>581467773</v>
      </c>
      <c r="H195" s="3">
        <v>1.7000000000000001E-2</v>
      </c>
      <c r="I195" s="3">
        <v>14.62</v>
      </c>
      <c r="J195" s="3">
        <v>2.1800000000000002</v>
      </c>
      <c r="K195" s="3">
        <v>0.98</v>
      </c>
      <c r="L195" s="4">
        <f t="shared" ref="L195:L205" si="3">WORKDAY(DATE(2024,1,1)-1,ROW(A194))</f>
        <v>45561</v>
      </c>
    </row>
    <row r="196" spans="1:12">
      <c r="A196" s="3">
        <v>2018</v>
      </c>
      <c r="B196" s="3">
        <v>7</v>
      </c>
      <c r="C196" s="3" t="s">
        <v>11</v>
      </c>
      <c r="D196" s="3" t="s">
        <v>14</v>
      </c>
      <c r="E196" s="3">
        <v>8255</v>
      </c>
      <c r="F196" s="11">
        <v>58397</v>
      </c>
      <c r="G196" s="3">
        <v>482067235</v>
      </c>
      <c r="H196" s="3">
        <v>1.2999999999999999E-2</v>
      </c>
      <c r="I196" s="3">
        <v>14.62</v>
      </c>
      <c r="J196" s="3">
        <v>2.1800000000000002</v>
      </c>
      <c r="K196" s="3">
        <v>0.98</v>
      </c>
      <c r="L196" s="4">
        <f t="shared" si="3"/>
        <v>45562</v>
      </c>
    </row>
    <row r="197" spans="1:12">
      <c r="A197" s="3">
        <v>2018</v>
      </c>
      <c r="B197" s="3">
        <v>7</v>
      </c>
      <c r="C197" s="3" t="s">
        <v>11</v>
      </c>
      <c r="D197" s="3" t="s">
        <v>15</v>
      </c>
      <c r="E197" s="3">
        <v>5109</v>
      </c>
      <c r="F197" s="11">
        <v>67047</v>
      </c>
      <c r="G197" s="3">
        <v>342543123</v>
      </c>
      <c r="H197" s="3">
        <v>2.1999999999999999E-2</v>
      </c>
      <c r="I197" s="3">
        <v>14.62</v>
      </c>
      <c r="J197" s="3">
        <v>2.1800000000000002</v>
      </c>
      <c r="K197" s="3">
        <v>0.98</v>
      </c>
      <c r="L197" s="4">
        <f t="shared" si="3"/>
        <v>45565</v>
      </c>
    </row>
    <row r="198" spans="1:12">
      <c r="A198" s="3">
        <v>2018</v>
      </c>
      <c r="B198" s="3">
        <v>7</v>
      </c>
      <c r="C198" s="3" t="s">
        <v>11</v>
      </c>
      <c r="D198" s="3" t="s">
        <v>16</v>
      </c>
      <c r="E198" s="3">
        <v>5836</v>
      </c>
      <c r="F198" s="11">
        <v>91715</v>
      </c>
      <c r="G198" s="3">
        <v>535248740</v>
      </c>
      <c r="H198" s="3">
        <v>2.1999999999999999E-2</v>
      </c>
      <c r="I198" s="3">
        <v>14.62</v>
      </c>
      <c r="J198" s="3">
        <v>2.1800000000000002</v>
      </c>
      <c r="K198" s="3">
        <v>0.98</v>
      </c>
      <c r="L198" s="4">
        <f t="shared" si="3"/>
        <v>45566</v>
      </c>
    </row>
    <row r="199" spans="1:12">
      <c r="A199" s="3">
        <v>2018</v>
      </c>
      <c r="B199" s="3">
        <v>7</v>
      </c>
      <c r="C199" s="3" t="s">
        <v>11</v>
      </c>
      <c r="D199" s="3" t="s">
        <v>17</v>
      </c>
      <c r="E199" s="3">
        <v>2661</v>
      </c>
      <c r="F199" s="11">
        <v>63638</v>
      </c>
      <c r="G199" s="3">
        <v>169340718</v>
      </c>
      <c r="H199" s="3">
        <v>1.2E-2</v>
      </c>
      <c r="I199" s="3">
        <v>14.62</v>
      </c>
      <c r="J199" s="3">
        <v>2.1800000000000002</v>
      </c>
      <c r="K199" s="3">
        <v>0.98</v>
      </c>
      <c r="L199" s="4">
        <f t="shared" si="3"/>
        <v>45567</v>
      </c>
    </row>
    <row r="200" spans="1:12">
      <c r="A200" s="3">
        <v>2018</v>
      </c>
      <c r="B200" s="3">
        <v>7</v>
      </c>
      <c r="C200" s="3" t="s">
        <v>11</v>
      </c>
      <c r="D200" s="3" t="s">
        <v>18</v>
      </c>
      <c r="E200" s="3">
        <v>2427</v>
      </c>
      <c r="F200" s="11">
        <v>75125</v>
      </c>
      <c r="G200" s="3">
        <v>182328375</v>
      </c>
      <c r="H200" s="3">
        <v>4.3999999999999997E-2</v>
      </c>
      <c r="I200" s="3">
        <v>14.62</v>
      </c>
      <c r="J200" s="3">
        <v>2.1800000000000002</v>
      </c>
      <c r="K200" s="3">
        <v>0.98</v>
      </c>
      <c r="L200" s="4">
        <f t="shared" si="3"/>
        <v>45568</v>
      </c>
    </row>
    <row r="201" spans="1:12">
      <c r="A201" s="3">
        <v>2018</v>
      </c>
      <c r="B201" s="3">
        <v>7</v>
      </c>
      <c r="C201" s="3" t="s">
        <v>11</v>
      </c>
      <c r="D201" s="3" t="s">
        <v>19</v>
      </c>
      <c r="E201" s="3">
        <v>2720</v>
      </c>
      <c r="F201" s="11">
        <v>42713</v>
      </c>
      <c r="G201" s="3">
        <v>116179360</v>
      </c>
      <c r="H201" s="3">
        <v>1.7000000000000001E-2</v>
      </c>
      <c r="I201" s="3">
        <v>14.62</v>
      </c>
      <c r="J201" s="3">
        <v>2.1800000000000002</v>
      </c>
      <c r="K201" s="3">
        <v>0.98</v>
      </c>
      <c r="L201" s="4">
        <f t="shared" si="3"/>
        <v>45569</v>
      </c>
    </row>
    <row r="202" spans="1:12">
      <c r="A202" s="3">
        <v>2018</v>
      </c>
      <c r="B202" s="3">
        <v>7</v>
      </c>
      <c r="C202" s="3" t="s">
        <v>20</v>
      </c>
      <c r="D202" s="3" t="s">
        <v>12</v>
      </c>
      <c r="E202" s="3">
        <v>7951</v>
      </c>
      <c r="F202" s="11">
        <v>47215</v>
      </c>
      <c r="G202" s="3">
        <v>375406465</v>
      </c>
      <c r="H202" s="3">
        <v>8.0000000000000002E-3</v>
      </c>
      <c r="I202" s="3">
        <v>17.579999999999998</v>
      </c>
      <c r="J202" s="3">
        <v>3.58</v>
      </c>
      <c r="K202" s="3">
        <v>1.01</v>
      </c>
      <c r="L202" s="4">
        <f t="shared" si="3"/>
        <v>45572</v>
      </c>
    </row>
    <row r="203" spans="1:12">
      <c r="A203" s="3">
        <v>2018</v>
      </c>
      <c r="B203" s="3">
        <v>7</v>
      </c>
      <c r="C203" s="3" t="s">
        <v>20</v>
      </c>
      <c r="D203" s="3" t="s">
        <v>13</v>
      </c>
      <c r="E203" s="3">
        <v>10119</v>
      </c>
      <c r="F203" s="11">
        <v>61654</v>
      </c>
      <c r="G203" s="3">
        <v>623876826</v>
      </c>
      <c r="H203" s="3">
        <v>3.0000000000000001E-3</v>
      </c>
      <c r="I203" s="3">
        <v>17.579999999999998</v>
      </c>
      <c r="J203" s="3">
        <v>3.58</v>
      </c>
      <c r="K203" s="3">
        <v>1.01</v>
      </c>
      <c r="L203" s="4">
        <f t="shared" si="3"/>
        <v>45573</v>
      </c>
    </row>
    <row r="204" spans="1:12">
      <c r="A204" s="3">
        <v>2018</v>
      </c>
      <c r="B204" s="3">
        <v>7</v>
      </c>
      <c r="C204" s="3" t="s">
        <v>20</v>
      </c>
      <c r="D204" s="3" t="s">
        <v>14</v>
      </c>
      <c r="E204" s="3">
        <v>10834</v>
      </c>
      <c r="F204" s="11">
        <v>58133</v>
      </c>
      <c r="G204" s="3">
        <v>629812922</v>
      </c>
      <c r="H204" s="3">
        <v>3.2000000000000001E-2</v>
      </c>
      <c r="I204" s="3">
        <v>17.579999999999998</v>
      </c>
      <c r="J204" s="3">
        <v>3.58</v>
      </c>
      <c r="K204" s="3">
        <v>1.01</v>
      </c>
      <c r="L204" s="4">
        <f t="shared" si="3"/>
        <v>45574</v>
      </c>
    </row>
    <row r="205" spans="1:12">
      <c r="A205" s="3">
        <v>2018</v>
      </c>
      <c r="B205" s="3">
        <v>7</v>
      </c>
      <c r="C205" s="3" t="s">
        <v>20</v>
      </c>
      <c r="D205" s="3" t="s">
        <v>15</v>
      </c>
      <c r="E205" s="3">
        <v>9633</v>
      </c>
      <c r="F205" s="11">
        <v>67125</v>
      </c>
      <c r="G205" s="3">
        <v>646615125</v>
      </c>
      <c r="H205" s="3">
        <v>2.1999999999999999E-2</v>
      </c>
      <c r="I205" s="3">
        <v>17.579999999999998</v>
      </c>
      <c r="J205" s="3">
        <v>3.58</v>
      </c>
      <c r="K205" s="3">
        <v>1.01</v>
      </c>
      <c r="L205" s="4">
        <f t="shared" si="3"/>
        <v>45575</v>
      </c>
    </row>
  </sheetData>
  <mergeCells count="7">
    <mergeCell ref="N11:O11"/>
    <mergeCell ref="N13:O14"/>
    <mergeCell ref="N15:O15"/>
    <mergeCell ref="N2:Q3"/>
    <mergeCell ref="N5:O6"/>
    <mergeCell ref="N7:O7"/>
    <mergeCell ref="N9:O10"/>
  </mergeCells>
  <conditionalFormatting sqref="E1:E1048576">
    <cfRule type="dataBar" priority="1">
      <dataBar>
        <cfvo type="min"/>
        <cfvo type="max"/>
        <color rgb="FF638EC6"/>
      </dataBar>
      <extLst>
        <ext xmlns:x14="http://schemas.microsoft.com/office/spreadsheetml/2009/9/main" uri="{B025F937-C7B1-47D3-B67F-A62EFF666E3E}">
          <x14:id>{9E56BE77-E9BC-4F90-929B-95CC0BF421C8}</x14:id>
        </ext>
      </extLst>
    </cfRule>
  </conditionalFormatting>
  <conditionalFormatting sqref="F2:F205">
    <cfRule type="cellIs" dxfId="47" priority="3" operator="greaterThan">
      <formula>66990</formula>
    </cfRule>
    <cfRule type="cellIs" dxfId="46" priority="4" operator="greaterThan">
      <formula>66000</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9E56BE77-E9BC-4F90-929B-95CC0BF421C8}">
            <x14:dataBar minLength="0" maxLength="100" border="1" negativeBarBorderColorSameAsPositive="0">
              <x14:cfvo type="autoMin"/>
              <x14:cfvo type="autoMax"/>
              <x14:borderColor rgb="FF638EC6"/>
              <x14:negativeFillColor rgb="FFFF0000"/>
              <x14:negativeBorderColor rgb="FFFF0000"/>
              <x14:axisColor rgb="FF000000"/>
            </x14:dataBar>
          </x14:cfRule>
          <xm:sqref>E1:E1048576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EAD31-F92C-43F9-978F-47D200401C89}">
  <dimension ref="A3:D9"/>
  <sheetViews>
    <sheetView tabSelected="1" workbookViewId="0">
      <selection activeCell="Q16" sqref="Q16"/>
    </sheetView>
  </sheetViews>
  <sheetFormatPr defaultRowHeight="14.4"/>
  <cols>
    <col min="1" max="1" width="12.44140625" bestFit="1" customWidth="1"/>
    <col min="2" max="2" width="16" bestFit="1" customWidth="1"/>
  </cols>
  <sheetData>
    <row r="3" spans="1:4">
      <c r="A3" s="7" t="s">
        <v>27</v>
      </c>
      <c r="B3" s="7" t="s">
        <v>29</v>
      </c>
    </row>
    <row r="4" spans="1:4">
      <c r="A4" s="8">
        <v>2018</v>
      </c>
      <c r="B4" s="13">
        <v>11513</v>
      </c>
    </row>
    <row r="5" spans="1:4">
      <c r="A5" s="9" t="s">
        <v>28</v>
      </c>
      <c r="B5" s="14">
        <v>11513</v>
      </c>
    </row>
    <row r="6" spans="1:4">
      <c r="B6" t="s">
        <v>33</v>
      </c>
    </row>
    <row r="9" spans="1:4">
      <c r="D9" t="s">
        <v>26</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DATASET</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dc:creator>
  <cp:lastModifiedBy>vishu movaliya</cp:lastModifiedBy>
  <dcterms:created xsi:type="dcterms:W3CDTF">2026-02-23T11:27:42Z</dcterms:created>
  <dcterms:modified xsi:type="dcterms:W3CDTF">2026-02-24T10:59:45Z</dcterms:modified>
</cp:coreProperties>
</file>