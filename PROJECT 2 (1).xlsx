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Ex1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E:\All data\EXCEL\PROJECTS\"/>
    </mc:Choice>
  </mc:AlternateContent>
  <xr:revisionPtr revIDLastSave="0" documentId="13_ncr:1_{099FFEB2-CAC0-406D-A681-706CC39CE939}" xr6:coauthVersionLast="47" xr6:coauthVersionMax="47" xr10:uidLastSave="{00000000-0000-0000-0000-000000000000}"/>
  <bookViews>
    <workbookView xWindow="-108" yWindow="-108" windowWidth="23256" windowHeight="12456" xr2:uid="{E580FA51-C7B0-446B-8EBF-25F1DCF63F51}"/>
  </bookViews>
  <sheets>
    <sheet name="Dataset" sheetId="1" r:id="rId1"/>
    <sheet name="Linear Regression" sheetId="2" r:id="rId2"/>
    <sheet name="Descriptive Statistics" sheetId="3" r:id="rId3"/>
    <sheet name="Pivot Table" sheetId="8" r:id="rId4"/>
  </sheets>
  <definedNames>
    <definedName name="_xlchart.v1.0" hidden="1">Dataset!$C$2:$C$201</definedName>
    <definedName name="_xlchart.v1.1" hidden="1">Dataset!$E$2:$E$201</definedName>
  </definedNam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2" i="1" l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" i="1"/>
  <c r="K3" i="1"/>
  <c r="P3" i="1"/>
  <c r="Q3" i="1"/>
  <c r="K4" i="1"/>
  <c r="P4" i="1"/>
  <c r="Q4" i="1"/>
  <c r="K5" i="1"/>
  <c r="P5" i="1"/>
  <c r="Q5" i="1"/>
  <c r="K6" i="1"/>
  <c r="P6" i="1"/>
  <c r="Q6" i="1"/>
  <c r="K7" i="1"/>
  <c r="P7" i="1"/>
  <c r="Q7" i="1"/>
  <c r="K8" i="1"/>
  <c r="P8" i="1"/>
  <c r="Q8" i="1"/>
  <c r="K9" i="1"/>
  <c r="P9" i="1"/>
  <c r="Q9" i="1"/>
  <c r="K10" i="1"/>
  <c r="P10" i="1"/>
  <c r="Q10" i="1"/>
  <c r="K11" i="1"/>
  <c r="P11" i="1"/>
  <c r="Q11" i="1"/>
  <c r="K12" i="1"/>
  <c r="P12" i="1"/>
  <c r="Q12" i="1"/>
  <c r="K13" i="1"/>
  <c r="P13" i="1"/>
  <c r="Q13" i="1"/>
  <c r="K14" i="1"/>
  <c r="P14" i="1"/>
  <c r="Q14" i="1"/>
  <c r="K15" i="1"/>
  <c r="P15" i="1"/>
  <c r="Q15" i="1"/>
  <c r="K16" i="1"/>
  <c r="P16" i="1"/>
  <c r="Q16" i="1"/>
  <c r="K17" i="1"/>
  <c r="P17" i="1"/>
  <c r="Q17" i="1"/>
  <c r="K18" i="1"/>
  <c r="P18" i="1"/>
  <c r="Q18" i="1"/>
  <c r="K19" i="1"/>
  <c r="P19" i="1"/>
  <c r="Q19" i="1"/>
  <c r="K20" i="1"/>
  <c r="P20" i="1"/>
  <c r="Q20" i="1"/>
  <c r="K21" i="1"/>
  <c r="P21" i="1"/>
  <c r="Q21" i="1"/>
  <c r="K22" i="1"/>
  <c r="P22" i="1"/>
  <c r="Q22" i="1"/>
  <c r="K23" i="1"/>
  <c r="P23" i="1"/>
  <c r="Q23" i="1"/>
  <c r="K24" i="1"/>
  <c r="P24" i="1"/>
  <c r="Q24" i="1"/>
  <c r="K25" i="1"/>
  <c r="P25" i="1"/>
  <c r="Q25" i="1"/>
  <c r="K26" i="1"/>
  <c r="P26" i="1"/>
  <c r="Q26" i="1"/>
  <c r="K27" i="1"/>
  <c r="P27" i="1"/>
  <c r="Q27" i="1"/>
  <c r="K28" i="1"/>
  <c r="P28" i="1"/>
  <c r="Q28" i="1"/>
  <c r="K29" i="1"/>
  <c r="P29" i="1"/>
  <c r="Q29" i="1"/>
  <c r="K30" i="1"/>
  <c r="P30" i="1"/>
  <c r="Q30" i="1"/>
  <c r="K31" i="1"/>
  <c r="P31" i="1"/>
  <c r="Q31" i="1"/>
  <c r="K32" i="1"/>
  <c r="P32" i="1"/>
  <c r="Q32" i="1"/>
  <c r="K33" i="1"/>
  <c r="P33" i="1"/>
  <c r="Q33" i="1"/>
  <c r="K34" i="1"/>
  <c r="P34" i="1"/>
  <c r="Q34" i="1"/>
  <c r="K35" i="1"/>
  <c r="P35" i="1"/>
  <c r="Q35" i="1"/>
  <c r="K36" i="1"/>
  <c r="P36" i="1"/>
  <c r="Q36" i="1"/>
  <c r="K37" i="1"/>
  <c r="P37" i="1"/>
  <c r="Q37" i="1"/>
  <c r="K38" i="1"/>
  <c r="P38" i="1"/>
  <c r="Q38" i="1"/>
  <c r="K39" i="1"/>
  <c r="P39" i="1"/>
  <c r="Q39" i="1"/>
  <c r="K40" i="1"/>
  <c r="P40" i="1"/>
  <c r="Q40" i="1"/>
  <c r="K41" i="1"/>
  <c r="P41" i="1"/>
  <c r="Q41" i="1"/>
  <c r="K42" i="1"/>
  <c r="P42" i="1"/>
  <c r="Q42" i="1"/>
  <c r="K43" i="1"/>
  <c r="P43" i="1"/>
  <c r="Q43" i="1"/>
  <c r="K44" i="1"/>
  <c r="P44" i="1"/>
  <c r="Q44" i="1"/>
  <c r="K45" i="1"/>
  <c r="P45" i="1"/>
  <c r="Q45" i="1"/>
  <c r="K46" i="1"/>
  <c r="P46" i="1"/>
  <c r="Q46" i="1"/>
  <c r="K47" i="1"/>
  <c r="P47" i="1"/>
  <c r="Q47" i="1"/>
  <c r="K48" i="1"/>
  <c r="P48" i="1"/>
  <c r="Q48" i="1"/>
  <c r="K49" i="1"/>
  <c r="P49" i="1"/>
  <c r="Q49" i="1"/>
  <c r="K50" i="1"/>
  <c r="P50" i="1"/>
  <c r="Q50" i="1"/>
  <c r="K51" i="1"/>
  <c r="P51" i="1"/>
  <c r="Q51" i="1"/>
  <c r="K52" i="1"/>
  <c r="P52" i="1"/>
  <c r="Q52" i="1"/>
  <c r="K53" i="1"/>
  <c r="P53" i="1"/>
  <c r="Q53" i="1"/>
  <c r="K54" i="1"/>
  <c r="P54" i="1"/>
  <c r="Q54" i="1"/>
  <c r="K55" i="1"/>
  <c r="P55" i="1"/>
  <c r="Q55" i="1"/>
  <c r="K56" i="1"/>
  <c r="P56" i="1"/>
  <c r="Q56" i="1"/>
  <c r="K57" i="1"/>
  <c r="P57" i="1"/>
  <c r="Q57" i="1"/>
  <c r="K58" i="1"/>
  <c r="P58" i="1"/>
  <c r="Q58" i="1"/>
  <c r="K59" i="1"/>
  <c r="P59" i="1"/>
  <c r="Q59" i="1"/>
  <c r="K60" i="1"/>
  <c r="P60" i="1"/>
  <c r="Q60" i="1"/>
  <c r="K61" i="1"/>
  <c r="P61" i="1"/>
  <c r="Q61" i="1"/>
  <c r="K62" i="1"/>
  <c r="P62" i="1"/>
  <c r="Q62" i="1"/>
  <c r="K63" i="1"/>
  <c r="P63" i="1"/>
  <c r="Q63" i="1"/>
  <c r="K64" i="1"/>
  <c r="P64" i="1"/>
  <c r="Q64" i="1"/>
  <c r="K65" i="1"/>
  <c r="P65" i="1"/>
  <c r="Q65" i="1"/>
  <c r="K66" i="1"/>
  <c r="P66" i="1"/>
  <c r="Q66" i="1"/>
  <c r="K67" i="1"/>
  <c r="P67" i="1"/>
  <c r="Q67" i="1"/>
  <c r="K68" i="1"/>
  <c r="P68" i="1"/>
  <c r="Q68" i="1"/>
  <c r="K69" i="1"/>
  <c r="P69" i="1"/>
  <c r="Q69" i="1"/>
  <c r="K70" i="1"/>
  <c r="P70" i="1"/>
  <c r="Q70" i="1"/>
  <c r="K71" i="1"/>
  <c r="P71" i="1"/>
  <c r="Q71" i="1"/>
  <c r="K72" i="1"/>
  <c r="P72" i="1"/>
  <c r="Q72" i="1"/>
  <c r="K73" i="1"/>
  <c r="P73" i="1"/>
  <c r="Q73" i="1"/>
  <c r="K74" i="1"/>
  <c r="P74" i="1"/>
  <c r="Q74" i="1"/>
  <c r="K75" i="1"/>
  <c r="P75" i="1"/>
  <c r="Q75" i="1"/>
  <c r="K76" i="1"/>
  <c r="P76" i="1"/>
  <c r="Q76" i="1"/>
  <c r="K77" i="1"/>
  <c r="P77" i="1"/>
  <c r="Q77" i="1"/>
  <c r="K78" i="1"/>
  <c r="P78" i="1"/>
  <c r="Q78" i="1"/>
  <c r="K79" i="1"/>
  <c r="P79" i="1"/>
  <c r="Q79" i="1"/>
  <c r="K80" i="1"/>
  <c r="P80" i="1"/>
  <c r="Q80" i="1"/>
  <c r="K81" i="1"/>
  <c r="P81" i="1"/>
  <c r="Q81" i="1"/>
  <c r="K82" i="1"/>
  <c r="P82" i="1"/>
  <c r="Q82" i="1"/>
  <c r="K83" i="1"/>
  <c r="P83" i="1"/>
  <c r="Q83" i="1"/>
  <c r="K84" i="1"/>
  <c r="P84" i="1"/>
  <c r="Q84" i="1"/>
  <c r="K85" i="1"/>
  <c r="P85" i="1"/>
  <c r="Q85" i="1"/>
  <c r="K86" i="1"/>
  <c r="P86" i="1"/>
  <c r="Q86" i="1"/>
  <c r="K87" i="1"/>
  <c r="P87" i="1"/>
  <c r="Q87" i="1"/>
  <c r="K88" i="1"/>
  <c r="P88" i="1"/>
  <c r="Q88" i="1"/>
  <c r="K89" i="1"/>
  <c r="P89" i="1"/>
  <c r="Q89" i="1"/>
  <c r="K90" i="1"/>
  <c r="P90" i="1"/>
  <c r="Q90" i="1"/>
  <c r="K91" i="1"/>
  <c r="P91" i="1"/>
  <c r="Q91" i="1"/>
  <c r="K92" i="1"/>
  <c r="P92" i="1"/>
  <c r="Q92" i="1"/>
  <c r="K93" i="1"/>
  <c r="P93" i="1"/>
  <c r="Q93" i="1"/>
  <c r="K94" i="1"/>
  <c r="P94" i="1"/>
  <c r="Q94" i="1"/>
  <c r="K95" i="1"/>
  <c r="P95" i="1"/>
  <c r="Q95" i="1"/>
  <c r="K96" i="1"/>
  <c r="P96" i="1"/>
  <c r="Q96" i="1"/>
  <c r="K97" i="1"/>
  <c r="P97" i="1"/>
  <c r="Q97" i="1"/>
  <c r="K98" i="1"/>
  <c r="P98" i="1"/>
  <c r="Q98" i="1"/>
  <c r="K99" i="1"/>
  <c r="P99" i="1"/>
  <c r="Q99" i="1"/>
  <c r="K100" i="1"/>
  <c r="P100" i="1"/>
  <c r="Q100" i="1"/>
  <c r="K101" i="1"/>
  <c r="P101" i="1"/>
  <c r="Q101" i="1"/>
  <c r="K102" i="1"/>
  <c r="P102" i="1"/>
  <c r="Q102" i="1"/>
  <c r="K103" i="1"/>
  <c r="P103" i="1"/>
  <c r="Q103" i="1"/>
  <c r="K104" i="1"/>
  <c r="P104" i="1"/>
  <c r="Q104" i="1"/>
  <c r="K105" i="1"/>
  <c r="P105" i="1"/>
  <c r="Q105" i="1"/>
  <c r="K106" i="1"/>
  <c r="P106" i="1"/>
  <c r="Q106" i="1"/>
  <c r="K107" i="1"/>
  <c r="P107" i="1"/>
  <c r="Q107" i="1"/>
  <c r="K108" i="1"/>
  <c r="P108" i="1"/>
  <c r="Q108" i="1"/>
  <c r="K109" i="1"/>
  <c r="P109" i="1"/>
  <c r="Q109" i="1"/>
  <c r="K110" i="1"/>
  <c r="P110" i="1"/>
  <c r="Q110" i="1"/>
  <c r="K111" i="1"/>
  <c r="P111" i="1"/>
  <c r="Q111" i="1"/>
  <c r="K112" i="1"/>
  <c r="P112" i="1"/>
  <c r="Q112" i="1"/>
  <c r="K113" i="1"/>
  <c r="P113" i="1"/>
  <c r="Q113" i="1"/>
  <c r="K114" i="1"/>
  <c r="P114" i="1"/>
  <c r="Q114" i="1"/>
  <c r="K115" i="1"/>
  <c r="P115" i="1"/>
  <c r="Q115" i="1"/>
  <c r="K116" i="1"/>
  <c r="P116" i="1"/>
  <c r="Q116" i="1"/>
  <c r="K117" i="1"/>
  <c r="P117" i="1"/>
  <c r="Q117" i="1"/>
  <c r="K118" i="1"/>
  <c r="P118" i="1"/>
  <c r="Q118" i="1"/>
  <c r="K119" i="1"/>
  <c r="P119" i="1"/>
  <c r="Q119" i="1"/>
  <c r="K120" i="1"/>
  <c r="P120" i="1"/>
  <c r="Q120" i="1"/>
  <c r="K121" i="1"/>
  <c r="P121" i="1"/>
  <c r="Q121" i="1"/>
  <c r="K122" i="1"/>
  <c r="P122" i="1"/>
  <c r="Q122" i="1"/>
  <c r="K123" i="1"/>
  <c r="P123" i="1"/>
  <c r="Q123" i="1"/>
  <c r="K124" i="1"/>
  <c r="P124" i="1"/>
  <c r="Q124" i="1"/>
  <c r="K125" i="1"/>
  <c r="P125" i="1"/>
  <c r="Q125" i="1"/>
  <c r="K126" i="1"/>
  <c r="P126" i="1"/>
  <c r="Q126" i="1"/>
  <c r="K127" i="1"/>
  <c r="P127" i="1"/>
  <c r="Q127" i="1"/>
  <c r="K128" i="1"/>
  <c r="P128" i="1"/>
  <c r="Q128" i="1"/>
  <c r="K129" i="1"/>
  <c r="P129" i="1"/>
  <c r="Q129" i="1"/>
  <c r="K130" i="1"/>
  <c r="P130" i="1"/>
  <c r="Q130" i="1"/>
  <c r="K131" i="1"/>
  <c r="P131" i="1"/>
  <c r="Q131" i="1"/>
  <c r="K132" i="1"/>
  <c r="P132" i="1"/>
  <c r="Q132" i="1"/>
  <c r="K133" i="1"/>
  <c r="P133" i="1"/>
  <c r="Q133" i="1"/>
  <c r="K134" i="1"/>
  <c r="P134" i="1"/>
  <c r="Q134" i="1"/>
  <c r="K135" i="1"/>
  <c r="P135" i="1"/>
  <c r="Q135" i="1"/>
  <c r="K136" i="1"/>
  <c r="P136" i="1"/>
  <c r="Q136" i="1"/>
  <c r="K137" i="1"/>
  <c r="P137" i="1"/>
  <c r="Q137" i="1"/>
  <c r="K138" i="1"/>
  <c r="P138" i="1"/>
  <c r="Q138" i="1"/>
  <c r="K139" i="1"/>
  <c r="P139" i="1"/>
  <c r="Q139" i="1"/>
  <c r="K140" i="1"/>
  <c r="P140" i="1"/>
  <c r="Q140" i="1"/>
  <c r="K141" i="1"/>
  <c r="P141" i="1"/>
  <c r="Q141" i="1"/>
  <c r="K142" i="1"/>
  <c r="P142" i="1"/>
  <c r="Q142" i="1"/>
  <c r="K143" i="1"/>
  <c r="P143" i="1"/>
  <c r="Q143" i="1"/>
  <c r="K144" i="1"/>
  <c r="P144" i="1"/>
  <c r="Q144" i="1"/>
  <c r="K145" i="1"/>
  <c r="P145" i="1"/>
  <c r="Q145" i="1"/>
  <c r="K146" i="1"/>
  <c r="P146" i="1"/>
  <c r="Q146" i="1"/>
  <c r="K147" i="1"/>
  <c r="P147" i="1"/>
  <c r="Q147" i="1"/>
  <c r="K148" i="1"/>
  <c r="P148" i="1"/>
  <c r="Q148" i="1"/>
  <c r="K149" i="1"/>
  <c r="P149" i="1"/>
  <c r="Q149" i="1"/>
  <c r="K150" i="1"/>
  <c r="P150" i="1"/>
  <c r="Q150" i="1"/>
  <c r="K151" i="1"/>
  <c r="P151" i="1"/>
  <c r="Q151" i="1"/>
  <c r="K152" i="1"/>
  <c r="P152" i="1"/>
  <c r="Q152" i="1"/>
  <c r="K153" i="1"/>
  <c r="P153" i="1"/>
  <c r="Q153" i="1"/>
  <c r="K154" i="1"/>
  <c r="P154" i="1"/>
  <c r="Q154" i="1"/>
  <c r="K155" i="1"/>
  <c r="P155" i="1"/>
  <c r="Q155" i="1"/>
  <c r="K156" i="1"/>
  <c r="P156" i="1"/>
  <c r="Q156" i="1"/>
  <c r="K157" i="1"/>
  <c r="P157" i="1"/>
  <c r="Q157" i="1"/>
  <c r="K158" i="1"/>
  <c r="P158" i="1"/>
  <c r="Q158" i="1"/>
  <c r="K159" i="1"/>
  <c r="P159" i="1"/>
  <c r="Q159" i="1"/>
  <c r="K160" i="1"/>
  <c r="P160" i="1"/>
  <c r="Q160" i="1"/>
  <c r="K161" i="1"/>
  <c r="P161" i="1"/>
  <c r="Q161" i="1"/>
  <c r="K162" i="1"/>
  <c r="P162" i="1"/>
  <c r="Q162" i="1"/>
  <c r="K163" i="1"/>
  <c r="P163" i="1"/>
  <c r="Q163" i="1"/>
  <c r="K164" i="1"/>
  <c r="P164" i="1"/>
  <c r="Q164" i="1"/>
  <c r="K165" i="1"/>
  <c r="P165" i="1"/>
  <c r="Q165" i="1"/>
  <c r="K166" i="1"/>
  <c r="P166" i="1"/>
  <c r="Q166" i="1"/>
  <c r="K167" i="1"/>
  <c r="P167" i="1"/>
  <c r="Q167" i="1"/>
  <c r="K168" i="1"/>
  <c r="P168" i="1"/>
  <c r="Q168" i="1"/>
  <c r="K169" i="1"/>
  <c r="P169" i="1"/>
  <c r="Q169" i="1"/>
  <c r="K170" i="1"/>
  <c r="P170" i="1"/>
  <c r="Q170" i="1"/>
  <c r="K171" i="1"/>
  <c r="P171" i="1"/>
  <c r="Q171" i="1"/>
  <c r="K172" i="1"/>
  <c r="P172" i="1"/>
  <c r="Q172" i="1"/>
  <c r="K173" i="1"/>
  <c r="P173" i="1"/>
  <c r="Q173" i="1"/>
  <c r="K174" i="1"/>
  <c r="P174" i="1"/>
  <c r="Q174" i="1"/>
  <c r="K175" i="1"/>
  <c r="P175" i="1"/>
  <c r="Q175" i="1"/>
  <c r="K176" i="1"/>
  <c r="P176" i="1"/>
  <c r="Q176" i="1"/>
  <c r="K177" i="1"/>
  <c r="P177" i="1"/>
  <c r="Q177" i="1"/>
  <c r="K178" i="1"/>
  <c r="P178" i="1"/>
  <c r="Q178" i="1"/>
  <c r="K179" i="1"/>
  <c r="P179" i="1"/>
  <c r="Q179" i="1"/>
  <c r="K180" i="1"/>
  <c r="P180" i="1"/>
  <c r="Q180" i="1"/>
  <c r="K181" i="1"/>
  <c r="P181" i="1"/>
  <c r="Q181" i="1"/>
  <c r="K182" i="1"/>
  <c r="P182" i="1"/>
  <c r="Q182" i="1"/>
  <c r="K183" i="1"/>
  <c r="P183" i="1"/>
  <c r="Q183" i="1"/>
  <c r="K184" i="1"/>
  <c r="P184" i="1"/>
  <c r="Q184" i="1"/>
  <c r="K185" i="1"/>
  <c r="P185" i="1"/>
  <c r="Q185" i="1"/>
  <c r="K186" i="1"/>
  <c r="P186" i="1"/>
  <c r="Q186" i="1"/>
  <c r="K187" i="1"/>
  <c r="P187" i="1"/>
  <c r="Q187" i="1"/>
  <c r="K188" i="1"/>
  <c r="P188" i="1"/>
  <c r="Q188" i="1"/>
  <c r="K189" i="1"/>
  <c r="P189" i="1"/>
  <c r="Q189" i="1"/>
  <c r="K190" i="1"/>
  <c r="P190" i="1"/>
  <c r="Q190" i="1"/>
  <c r="K191" i="1"/>
  <c r="P191" i="1"/>
  <c r="Q191" i="1"/>
  <c r="K192" i="1"/>
  <c r="P192" i="1"/>
  <c r="Q192" i="1"/>
  <c r="K193" i="1"/>
  <c r="P193" i="1"/>
  <c r="Q193" i="1"/>
  <c r="K194" i="1"/>
  <c r="P194" i="1"/>
  <c r="Q194" i="1"/>
  <c r="K195" i="1"/>
  <c r="P195" i="1"/>
  <c r="Q195" i="1"/>
  <c r="K196" i="1"/>
  <c r="P196" i="1"/>
  <c r="Q196" i="1"/>
  <c r="K197" i="1"/>
  <c r="P197" i="1"/>
  <c r="Q197" i="1"/>
  <c r="K198" i="1"/>
  <c r="P198" i="1"/>
  <c r="Q198" i="1"/>
  <c r="K199" i="1"/>
  <c r="P199" i="1"/>
  <c r="Q199" i="1"/>
  <c r="K200" i="1"/>
  <c r="P200" i="1"/>
  <c r="Q200" i="1"/>
  <c r="K201" i="1"/>
  <c r="P201" i="1"/>
  <c r="Q201" i="1"/>
  <c r="Q2" i="1"/>
  <c r="N2" i="1" a="1"/>
  <c r="N2" i="1" s="1"/>
  <c r="O2" i="1"/>
  <c r="P2" i="1"/>
  <c r="K2" i="1"/>
  <c r="J2" i="1" a="1"/>
  <c r="J2" i="1" s="1"/>
  <c r="S2" i="1" l="1"/>
  <c r="M2" i="1" a="1"/>
  <c r="M2" i="1" s="1"/>
  <c r="L2" i="1" a="1"/>
  <c r="L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<sst xmlns="http://schemas.openxmlformats.org/spreadsheetml/2006/main" count="885" uniqueCount="131">
  <si>
    <t>Customer_ID</t>
  </si>
  <si>
    <t>Customer_Name</t>
  </si>
  <si>
    <t>Region</t>
  </si>
  <si>
    <t>Product_Category</t>
  </si>
  <si>
    <t>Sales</t>
  </si>
  <si>
    <t>Quantity</t>
  </si>
  <si>
    <t>Discount</t>
  </si>
  <si>
    <t>Order_Date</t>
  </si>
  <si>
    <t>Profit</t>
  </si>
  <si>
    <t>CUST019</t>
  </si>
  <si>
    <t>James Davis</t>
  </si>
  <si>
    <t>West</t>
  </si>
  <si>
    <t>Books</t>
  </si>
  <si>
    <t>CUST012</t>
  </si>
  <si>
    <t>Robert Anderson</t>
  </si>
  <si>
    <t>Clothing</t>
  </si>
  <si>
    <t>CUST017</t>
  </si>
  <si>
    <t>James Taylor</t>
  </si>
  <si>
    <t>East</t>
  </si>
  <si>
    <t>CUST005</t>
  </si>
  <si>
    <t>South</t>
  </si>
  <si>
    <t>Electronics</t>
  </si>
  <si>
    <t>CUST030</t>
  </si>
  <si>
    <t>James Wilson</t>
  </si>
  <si>
    <t>North</t>
  </si>
  <si>
    <t>CUST007</t>
  </si>
  <si>
    <t>Michael Anderson</t>
  </si>
  <si>
    <t>Furniture</t>
  </si>
  <si>
    <t>CUST001</t>
  </si>
  <si>
    <t>Linda Wilson</t>
  </si>
  <si>
    <t>CUST026</t>
  </si>
  <si>
    <t>Mary Davis</t>
  </si>
  <si>
    <t>CUST009</t>
  </si>
  <si>
    <t>Linda Jackson</t>
  </si>
  <si>
    <t>Central</t>
  </si>
  <si>
    <t>CUST010</t>
  </si>
  <si>
    <t>David Thomas</t>
  </si>
  <si>
    <t>CUST014</t>
  </si>
  <si>
    <t>Emma Davis</t>
  </si>
  <si>
    <t>Office Supplies</t>
  </si>
  <si>
    <t>CUST023</t>
  </si>
  <si>
    <t>CUST029</t>
  </si>
  <si>
    <t>David Smith</t>
  </si>
  <si>
    <t>Sarah Anderson</t>
  </si>
  <si>
    <t>CUST008</t>
  </si>
  <si>
    <t>Lisa Thomas</t>
  </si>
  <si>
    <t>CUST006</t>
  </si>
  <si>
    <t>Mary Jackson</t>
  </si>
  <si>
    <t>Lisa Davis</t>
  </si>
  <si>
    <t>CUST022</t>
  </si>
  <si>
    <t>Linda Brown</t>
  </si>
  <si>
    <t>John Brown</t>
  </si>
  <si>
    <t>CUST028</t>
  </si>
  <si>
    <t>Linda Taylor</t>
  </si>
  <si>
    <t>CUST025</t>
  </si>
  <si>
    <t>David Brown</t>
  </si>
  <si>
    <t>David Davis</t>
  </si>
  <si>
    <t>CUST021</t>
  </si>
  <si>
    <t>CUST015</t>
  </si>
  <si>
    <t>Mary Wilson</t>
  </si>
  <si>
    <t>CUST016</t>
  </si>
  <si>
    <t>Emma Wilson</t>
  </si>
  <si>
    <t>Linda Davis</t>
  </si>
  <si>
    <t>CUST011</t>
  </si>
  <si>
    <t>Sarah Davis</t>
  </si>
  <si>
    <t>CUST002</t>
  </si>
  <si>
    <t>Emma Taylor</t>
  </si>
  <si>
    <t>CUST003</t>
  </si>
  <si>
    <t>CUST020</t>
  </si>
  <si>
    <t>Linda Moore</t>
  </si>
  <si>
    <t>CUST024</t>
  </si>
  <si>
    <t>David Anderson</t>
  </si>
  <si>
    <t>CUST004</t>
  </si>
  <si>
    <t>CUST013</t>
  </si>
  <si>
    <t>CUST027</t>
  </si>
  <si>
    <t>CUST018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</si>
  <si>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</si>
  <si>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</si>
  <si>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</si>
  <si>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</si>
  <si>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</si>
  <si>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</si>
  <si>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</si>
  <si>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</si>
  <si>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</si>
  <si>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</si>
  <si>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</si>
  <si>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</si>
  <si>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</si>
  <si>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</si>
  <si>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</si>
  <si>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</si>
  <si>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</si>
  <si>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</si>
  <si>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</si>
  <si>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</si>
  <si>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</si>
  <si>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</si>
  <si>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</si>
  <si>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</si>
  <si>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Column1</t>
  </si>
  <si>
    <t>Mean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</si>
  <si>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</si>
  <si>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</si>
  <si>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</si>
  <si>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</si>
  <si>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</si>
  <si>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</si>
  <si>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</si>
  <si>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</si>
  <si>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</si>
  <si>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</si>
  <si>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</si>
  <si>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Row Labels</t>
  </si>
  <si>
    <t>Grand Total</t>
  </si>
  <si>
    <t>Timestamp</t>
  </si>
  <si>
    <t>Column Labels</t>
  </si>
  <si>
    <t>Sum of Sales</t>
  </si>
  <si>
    <t>CALCULATE GROWTH</t>
  </si>
  <si>
    <t>Monthly Sales Growth</t>
  </si>
  <si>
    <t>Month</t>
  </si>
  <si>
    <t>FILTER / HIGH VALUE CUSTOMER</t>
  </si>
  <si>
    <t>INDEX + MATCH</t>
  </si>
  <si>
    <t>TOTAL SALES PER CUSTOMERS</t>
  </si>
  <si>
    <t>SALES CONTRIBUTION BY CATEGORY</t>
  </si>
  <si>
    <t>TOTAL SALES BY REGION</t>
  </si>
  <si>
    <t>TEST DISCOUNT</t>
  </si>
  <si>
    <t>ADJUST PROFIT</t>
  </si>
  <si>
    <t>TOTAL ADJUST  PROFIT</t>
  </si>
  <si>
    <t>DISCOUNT %</t>
  </si>
  <si>
    <t xml:space="preserve">TOTAL PROFIT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</si>
</sst>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i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9" fontId="6" fillId="0" borderId="0" applyFont="0" applyFill="0" applyBorder="0" applyAlignment="0" applyProtection="0"/>
  </cellStyleXfs>
  <cellXfs count="21">
    <xf numFmtId="0" fontId="0" fillId="0" borderId="0" xfId="0"/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right" wrapText="1"/>
    </xf>
    <xf numFmtId="14" fontId="2" fillId="0" borderId="1" xfId="0" applyNumberFormat="1" applyFont="1" applyBorder="1" applyAlignment="1">
      <alignment horizontal="right" wrapText="1"/>
    </xf>
    <xf numFmtId="0" fontId="0" fillId="0" borderId="2" xfId="0" applyBorder="1"/>
    <xf numFmtId="0" fontId="3" fillId="0" borderId="3" xfId="0" applyFont="1" applyBorder="1" applyAlignment="1">
      <alignment horizontal="center"/>
    </xf>
    <xf numFmtId="0" fontId="3" fillId="0" borderId="3" xfId="0" applyFont="1" applyBorder="1" applyAlignment="1">
      <alignment horizontal="centerContinuous"/>
    </xf>
    <xf numFmtId="0" fontId="0" fillId="0" borderId="0" xfId="0" pivotButton="1"/>
    <xf numFmtId="0" fontId="0" fillId="0" borderId="0" xfId="0" applyAlignment="1">
      <alignment horizontal="left"/>
    </xf>
    <xf numFmtId="22" fontId="0" fillId="0" borderId="0" xfId="0" applyNumberFormat="1"/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5" fillId="0" borderId="0" xfId="0" applyFont="1"/>
    <xf numFmtId="9" fontId="0" fillId="0" borderId="0" xfId="1" applyFont="1"/>
    <xf numFmtId="164" fontId="0" fillId="0" borderId="0" xfId="0" applyNumberFormat="1"/>
    <xf numFmtId="0" fontId="5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5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2">
    <cellStyle name="Normal" xfId="0" builtinId="0"/>
    <cellStyle name="Percent" xfId="1" builtinId="5"/>
  </cellStyles>
  <dxfs count="2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[PROJECT 2.xlsx]Pivot Table!PivotTable4</c:name>
    <c:fmtId val="1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6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7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8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9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0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1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2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3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4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5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6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7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8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9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20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21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22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23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24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25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26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27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28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29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'Pivot Table'!$B$3:$B$4</c:f>
              <c:strCache>
                <c:ptCount val="1"/>
                <c:pt idx="0">
                  <c:v>Books</c:v>
                </c:pt>
              </c:strCache>
            </c:strRef>
          </c:tx>
          <c:dPt>
            <c:idx val="0"/>
            <c:bubble3D val="0"/>
            <c:spPr>
              <a:solidFill>
                <a:schemeClr val="accent1">
                  <a:tint val="54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37E5-4844-B639-BC96BB4AD95A}"/>
              </c:ext>
            </c:extLst>
          </c:dPt>
          <c:dPt>
            <c:idx val="1"/>
            <c:bubble3D val="0"/>
            <c:spPr>
              <a:solidFill>
                <a:schemeClr val="accent1">
                  <a:tint val="77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37E5-4844-B639-BC96BB4AD95A}"/>
              </c:ext>
            </c:extLst>
          </c:dPt>
          <c:dPt>
            <c:idx val="2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37E5-4844-B639-BC96BB4AD95A}"/>
              </c:ext>
            </c:extLst>
          </c:dPt>
          <c:dPt>
            <c:idx val="3"/>
            <c:bubble3D val="0"/>
            <c:spPr>
              <a:solidFill>
                <a:schemeClr val="accent1">
                  <a:shade val="76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37E5-4844-B639-BC96BB4AD95A}"/>
              </c:ext>
            </c:extLst>
          </c:dPt>
          <c:dPt>
            <c:idx val="4"/>
            <c:bubble3D val="0"/>
            <c:spPr>
              <a:solidFill>
                <a:schemeClr val="accent1">
                  <a:shade val="53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37E5-4844-B639-BC96BB4AD95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Table'!$A$5:$A$10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'Pivot Table'!$B$5:$B$10</c:f>
              <c:numCache>
                <c:formatCode>General</c:formatCode>
                <c:ptCount val="5"/>
                <c:pt idx="0">
                  <c:v>11297.150000000001</c:v>
                </c:pt>
                <c:pt idx="1">
                  <c:v>11389.090000000002</c:v>
                </c:pt>
                <c:pt idx="2">
                  <c:v>8037.0100000000011</c:v>
                </c:pt>
                <c:pt idx="3">
                  <c:v>9588.0400000000009</c:v>
                </c:pt>
                <c:pt idx="4">
                  <c:v>6691.17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FCF-4C22-93C5-918CDA8E2DFF}"/>
            </c:ext>
          </c:extLst>
        </c:ser>
        <c:ser>
          <c:idx val="1"/>
          <c:order val="1"/>
          <c:tx>
            <c:strRef>
              <c:f>'Pivot Table'!$C$3:$C$4</c:f>
              <c:strCache>
                <c:ptCount val="1"/>
                <c:pt idx="0">
                  <c:v>Clothing</c:v>
                </c:pt>
              </c:strCache>
            </c:strRef>
          </c:tx>
          <c:dPt>
            <c:idx val="0"/>
            <c:bubble3D val="0"/>
            <c:spPr>
              <a:solidFill>
                <a:schemeClr val="accent1">
                  <a:tint val="54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37E5-4844-B639-BC96BB4AD95A}"/>
              </c:ext>
            </c:extLst>
          </c:dPt>
          <c:dPt>
            <c:idx val="1"/>
            <c:bubble3D val="0"/>
            <c:spPr>
              <a:solidFill>
                <a:schemeClr val="accent1">
                  <a:tint val="77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37E5-4844-B639-BC96BB4AD95A}"/>
              </c:ext>
            </c:extLst>
          </c:dPt>
          <c:dPt>
            <c:idx val="2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37E5-4844-B639-BC96BB4AD95A}"/>
              </c:ext>
            </c:extLst>
          </c:dPt>
          <c:dPt>
            <c:idx val="3"/>
            <c:bubble3D val="0"/>
            <c:spPr>
              <a:solidFill>
                <a:schemeClr val="accent1">
                  <a:shade val="76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37E5-4844-B639-BC96BB4AD95A}"/>
              </c:ext>
            </c:extLst>
          </c:dPt>
          <c:dPt>
            <c:idx val="4"/>
            <c:bubble3D val="0"/>
            <c:spPr>
              <a:solidFill>
                <a:schemeClr val="accent1">
                  <a:shade val="53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37E5-4844-B639-BC96BB4AD95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Table'!$A$5:$A$10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'Pivot Table'!$C$5:$C$10</c:f>
              <c:numCache>
                <c:formatCode>General</c:formatCode>
                <c:ptCount val="5"/>
                <c:pt idx="0">
                  <c:v>12200.26</c:v>
                </c:pt>
                <c:pt idx="1">
                  <c:v>2401.4499999999998</c:v>
                </c:pt>
                <c:pt idx="2">
                  <c:v>8422.82</c:v>
                </c:pt>
                <c:pt idx="3">
                  <c:v>8393.630000000001</c:v>
                </c:pt>
                <c:pt idx="4">
                  <c:v>10509.429999999998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FCF-4C22-93C5-918CDA8E2DFF}"/>
            </c:ext>
          </c:extLst>
        </c:ser>
        <c:ser>
          <c:idx val="2"/>
          <c:order val="2"/>
          <c:tx>
            <c:strRef>
              <c:f>'Pivot Table'!$D$3:$D$4</c:f>
              <c:strCache>
                <c:ptCount val="1"/>
                <c:pt idx="0">
                  <c:v>Electronics</c:v>
                </c:pt>
              </c:strCache>
            </c:strRef>
          </c:tx>
          <c:dPt>
            <c:idx val="0"/>
            <c:bubble3D val="0"/>
            <c:spPr>
              <a:solidFill>
                <a:schemeClr val="accent1">
                  <a:tint val="54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5-37E5-4844-B639-BC96BB4AD95A}"/>
              </c:ext>
            </c:extLst>
          </c:dPt>
          <c:dPt>
            <c:idx val="1"/>
            <c:bubble3D val="0"/>
            <c:spPr>
              <a:solidFill>
                <a:schemeClr val="accent1">
                  <a:tint val="77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7-37E5-4844-B639-BC96BB4AD95A}"/>
              </c:ext>
            </c:extLst>
          </c:dPt>
          <c:dPt>
            <c:idx val="2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9-37E5-4844-B639-BC96BB4AD95A}"/>
              </c:ext>
            </c:extLst>
          </c:dPt>
          <c:dPt>
            <c:idx val="3"/>
            <c:bubble3D val="0"/>
            <c:spPr>
              <a:solidFill>
                <a:schemeClr val="accent1">
                  <a:shade val="76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B-37E5-4844-B639-BC96BB4AD95A}"/>
              </c:ext>
            </c:extLst>
          </c:dPt>
          <c:dPt>
            <c:idx val="4"/>
            <c:bubble3D val="0"/>
            <c:spPr>
              <a:solidFill>
                <a:schemeClr val="accent1">
                  <a:shade val="53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D-37E5-4844-B639-BC96BB4AD95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Table'!$A$5:$A$10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'Pivot Table'!$D$5:$D$10</c:f>
              <c:numCache>
                <c:formatCode>General</c:formatCode>
                <c:ptCount val="5"/>
                <c:pt idx="0">
                  <c:v>6621.24</c:v>
                </c:pt>
                <c:pt idx="1">
                  <c:v>2869.54</c:v>
                </c:pt>
                <c:pt idx="2">
                  <c:v>8191.7099999999991</c:v>
                </c:pt>
                <c:pt idx="3">
                  <c:v>11989.070000000003</c:v>
                </c:pt>
                <c:pt idx="4">
                  <c:v>11372.44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FCF-4C22-93C5-918CDA8E2DFF}"/>
            </c:ext>
          </c:extLst>
        </c:ser>
        <c:ser>
          <c:idx val="3"/>
          <c:order val="3"/>
          <c:tx>
            <c:strRef>
              <c:f>'Pivot Table'!$E$3:$E$4</c:f>
              <c:strCache>
                <c:ptCount val="1"/>
                <c:pt idx="0">
                  <c:v>Furniture</c:v>
                </c:pt>
              </c:strCache>
            </c:strRef>
          </c:tx>
          <c:dPt>
            <c:idx val="0"/>
            <c:bubble3D val="0"/>
            <c:spPr>
              <a:solidFill>
                <a:schemeClr val="accent1">
                  <a:tint val="54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F-37E5-4844-B639-BC96BB4AD95A}"/>
              </c:ext>
            </c:extLst>
          </c:dPt>
          <c:dPt>
            <c:idx val="1"/>
            <c:bubble3D val="0"/>
            <c:spPr>
              <a:solidFill>
                <a:schemeClr val="accent1">
                  <a:tint val="77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1-37E5-4844-B639-BC96BB4AD95A}"/>
              </c:ext>
            </c:extLst>
          </c:dPt>
          <c:dPt>
            <c:idx val="2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3-37E5-4844-B639-BC96BB4AD95A}"/>
              </c:ext>
            </c:extLst>
          </c:dPt>
          <c:dPt>
            <c:idx val="3"/>
            <c:bubble3D val="0"/>
            <c:spPr>
              <a:solidFill>
                <a:schemeClr val="accent1">
                  <a:shade val="76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5-37E5-4844-B639-BC96BB4AD95A}"/>
              </c:ext>
            </c:extLst>
          </c:dPt>
          <c:dPt>
            <c:idx val="4"/>
            <c:bubble3D val="0"/>
            <c:spPr>
              <a:solidFill>
                <a:schemeClr val="accent1">
                  <a:shade val="53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7-37E5-4844-B639-BC96BB4AD95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Table'!$A$5:$A$10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'Pivot Table'!$E$5:$E$10</c:f>
              <c:numCache>
                <c:formatCode>General</c:formatCode>
                <c:ptCount val="5"/>
                <c:pt idx="0">
                  <c:v>4876.96</c:v>
                </c:pt>
                <c:pt idx="1">
                  <c:v>7592.3399999999992</c:v>
                </c:pt>
                <c:pt idx="2">
                  <c:v>6978.08</c:v>
                </c:pt>
                <c:pt idx="3">
                  <c:v>7982.73</c:v>
                </c:pt>
                <c:pt idx="4">
                  <c:v>9182.7800000000007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FCF-4C22-93C5-918CDA8E2DFF}"/>
            </c:ext>
          </c:extLst>
        </c:ser>
        <c:ser>
          <c:idx val="4"/>
          <c:order val="4"/>
          <c:tx>
            <c:strRef>
              <c:f>'Pivot Table'!$F$3:$F$4</c:f>
              <c:strCache>
                <c:ptCount val="1"/>
                <c:pt idx="0">
                  <c:v>Office Supplies</c:v>
                </c:pt>
              </c:strCache>
            </c:strRef>
          </c:tx>
          <c:dPt>
            <c:idx val="0"/>
            <c:bubble3D val="0"/>
            <c:spPr>
              <a:solidFill>
                <a:schemeClr val="accent1">
                  <a:tint val="54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9-37E5-4844-B639-BC96BB4AD95A}"/>
              </c:ext>
            </c:extLst>
          </c:dPt>
          <c:dPt>
            <c:idx val="1"/>
            <c:bubble3D val="0"/>
            <c:spPr>
              <a:solidFill>
                <a:schemeClr val="accent1">
                  <a:tint val="77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B-37E5-4844-B639-BC96BB4AD95A}"/>
              </c:ext>
            </c:extLst>
          </c:dPt>
          <c:dPt>
            <c:idx val="2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D-37E5-4844-B639-BC96BB4AD95A}"/>
              </c:ext>
            </c:extLst>
          </c:dPt>
          <c:dPt>
            <c:idx val="3"/>
            <c:bubble3D val="0"/>
            <c:spPr>
              <a:solidFill>
                <a:schemeClr val="accent1">
                  <a:shade val="76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F-37E5-4844-B639-BC96BB4AD95A}"/>
              </c:ext>
            </c:extLst>
          </c:dPt>
          <c:dPt>
            <c:idx val="4"/>
            <c:bubble3D val="0"/>
            <c:spPr>
              <a:solidFill>
                <a:schemeClr val="accent1">
                  <a:shade val="53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1-37E5-4844-B639-BC96BB4AD95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Table'!$A$5:$A$10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'Pivot Table'!$F$5:$F$10</c:f>
              <c:numCache>
                <c:formatCode>General</c:formatCode>
                <c:ptCount val="5"/>
                <c:pt idx="0">
                  <c:v>8472.7199999999993</c:v>
                </c:pt>
                <c:pt idx="1">
                  <c:v>8189.2200000000012</c:v>
                </c:pt>
                <c:pt idx="2">
                  <c:v>3345.8</c:v>
                </c:pt>
                <c:pt idx="3">
                  <c:v>2295.3199999999997</c:v>
                </c:pt>
                <c:pt idx="4">
                  <c:v>6327.76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FCF-4C22-93C5-918CDA8E2DFF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 w="9525">
          <a:solidFill>
            <a:schemeClr val="dk1">
              <a:lumMod val="15000"/>
              <a:lumOff val="85000"/>
            </a:schemeClr>
          </a:solidFill>
        </a:ln>
        <a:effectLst/>
      </c:spPr>
    </c:plotArea>
    <c:legend>
      <c:legendPos val="r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pattFill prst="dkDnDiag">
      <a:fgClr>
        <a:schemeClr val="lt1">
          <a:lumMod val="95000"/>
        </a:schemeClr>
      </a:fgClr>
      <a:bgClr>
        <a:schemeClr val="lt1"/>
      </a:bgClr>
    </a:pattFill>
    <a:ln w="1587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_xlchart.v1.1</cx:f>
      </cx:numDim>
    </cx:data>
  </cx:chartData>
  <cx:chart>
    <cx:plotArea>
      <cx:plotAreaRegion>
        <cx:series layoutId="clusteredColumn" uniqueId="{2EBD5F48-96F1-411D-9C93-3D72A62D8811}">
          <cx:dataLabels pos="inEnd">
            <cx:visibility seriesName="0" categoryName="0" value="1"/>
          </cx:dataLabels>
          <cx:dataId val="0"/>
          <cx:layoutPr>
            <cx:binning intervalClosed="r"/>
          </cx:layoutPr>
        </cx:series>
      </cx:plotAreaRegion>
      <cx:axis id="0">
        <cx:catScaling gapWidth="0"/>
        <cx:title>
          <cx:tx>
            <cx:txData>
              <cx:v>REGION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chemeClr val="tx1"/>
                  </a:solidFill>
                  <a:latin typeface="Aptos Narrow" panose="02110004020202020204"/>
                </a:rPr>
                <a:t>REGION</a:t>
              </a:r>
            </a:p>
          </cx:txPr>
        </cx:title>
        <cx:tickLabels/>
      </cx:axis>
      <cx:axis id="1" hidden="1">
        <cx:valScaling/>
        <cx:title>
          <cx:tx>
            <cx:txData>
              <cx:v>TOTAL SALES</cx:v>
            </cx:txData>
          </cx:tx>
          <cx:spPr>
            <a:ln>
              <a:solidFill>
                <a:schemeClr val="dk1">
                  <a:lumMod val="15000"/>
                  <a:lumOff val="85000"/>
                  <a:alpha val="96000"/>
                </a:schemeClr>
              </a:solidFill>
            </a:ln>
          </cx:spPr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>
                  <a:solidFill>
                    <a:sysClr val="windowText" lastClr="000000">
                      <a:lumMod val="75000"/>
                      <a:lumOff val="25000"/>
                      <a:alpha val="45000"/>
                    </a:sysClr>
                  </a:solidFill>
                </a:defRPr>
              </a:pPr>
              <a:r>
                <a:rPr lang="en-US" sz="900" b="1" i="0" u="none" strike="noStrike" baseline="0">
                  <a:solidFill>
                    <a:schemeClr val="tx1"/>
                  </a:solidFill>
                  <a:latin typeface="Aptos Narrow" panose="02110004020202020204"/>
                </a:rPr>
                <a:t>TOTAL SALES</a:t>
              </a:r>
            </a:p>
          </cx:txPr>
        </cx:title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6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dk1"/>
    </cs:fontRef>
    <cs:defRPr sz="9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75000"/>
            <a:lumOff val="2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  <a:lumOff val="10000"/>
              </a:schemeClr>
            </a:gs>
            <a:gs pos="0">
              <a:schemeClr val="lt1">
                <a:lumMod val="75000"/>
                <a:alpha val="36000"/>
                <a:lumOff val="10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chemeClr val="bg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/>
  </cs:title>
  <cs:trendline>
    <cs:lnRef idx="0"/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microsoft.com/office/2014/relationships/chartEx" Target="../charts/chartEx1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601980</xdr:colOff>
      <xdr:row>3</xdr:row>
      <xdr:rowOff>175260</xdr:rowOff>
    </xdr:from>
    <xdr:to>
      <xdr:col>17</xdr:col>
      <xdr:colOff>22860</xdr:colOff>
      <xdr:row>19</xdr:row>
      <xdr:rowOff>30480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D2CBF9E-92C3-29B2-37D8-9C20B9F897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22860</xdr:colOff>
      <xdr:row>25</xdr:row>
      <xdr:rowOff>0</xdr:rowOff>
    </xdr:from>
    <xdr:to>
      <xdr:col>17</xdr:col>
      <xdr:colOff>15240</xdr:colOff>
      <xdr:row>41</xdr:row>
      <xdr:rowOff>114300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E37C5721-6732-4265-823B-9EAF25FD90E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642860" y="4861560"/>
              <a:ext cx="4869180" cy="304038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ivani" refreshedDate="46064.660386805554" createdVersion="8" refreshedVersion="8" minRefreshableVersion="3" recordCount="200" xr:uid="{03609D52-5A6C-4BC6-A685-60FC87CF27C3}">
  <cacheSource type="worksheet">
    <worksheetSource ref="A1:P201" sheet="Dataset"/>
  </cacheSource>
  <cacheFields count="16">
    <cacheField name="Customer_ID" numFmtId="0">
      <sharedItems/>
    </cacheField>
    <cacheField name="Customer_Name" numFmtId="0">
      <sharedItems/>
    </cacheField>
    <cacheField name="Region" numFmtId="0">
      <sharedItems count="5">
        <s v="West"/>
        <s v="East"/>
        <s v="South"/>
        <s v="North"/>
        <s v="Central"/>
      </sharedItems>
    </cacheField>
    <cacheField name="Product_Category" numFmtId="0">
      <sharedItems count="5">
        <s v="Books"/>
        <s v="Clothing"/>
        <s v="Electronics"/>
        <s v="Furniture"/>
        <s v="Office Supplies"/>
      </sharedItems>
    </cacheField>
    <cacheField name="Sales" numFmtId="0">
      <sharedItems containsSemiMixedTypes="0" containsString="0" containsNumber="1" minValue="258.51" maxValue="1923.66"/>
    </cacheField>
    <cacheField name="Quantity" numFmtId="0">
      <sharedItems containsSemiMixedTypes="0" containsString="0" containsNumber="1" containsInteger="1" minValue="1" maxValue="19"/>
    </cacheField>
    <cacheField name="Discount" numFmtId="0">
      <sharedItems containsSemiMixedTypes="0" containsString="0" containsNumber="1" minValue="0" maxValue="0.2"/>
    </cacheField>
    <cacheField name="Order_Date" numFmtId="14">
      <sharedItems containsSemiMixedTypes="0" containsNonDate="0" containsDate="1" containsString="0" minDate="2024-04-10T00:00:00" maxDate="2025-04-08T00:00:00"/>
    </cacheField>
    <cacheField name="Profit" numFmtId="0">
      <sharedItems containsSemiMixedTypes="0" containsString="0" containsNumber="1" minValue="64.63" maxValue="769.46"/>
    </cacheField>
    <cacheField name="Month" numFmtId="0">
      <sharedItems containsBlank="1"/>
    </cacheField>
    <cacheField name="Timestamp" numFmtId="22">
      <sharedItems containsSemiMixedTypes="0" containsNonDate="0" containsDate="1" containsString="0" minDate="2026-02-11T15:40:33" maxDate="2026-02-11T15:40:33"/>
    </cacheField>
    <cacheField name="CALCULATE GROWTH" numFmtId="0">
      <sharedItems containsSemiMixedTypes="0" containsString="0" containsNumber="1" minValue="310.65316354166862" maxValue="672.65316365740728"/>
    </cacheField>
    <cacheField name="Monthly Sales Growth" numFmtId="0">
      <sharedItems/>
    </cacheField>
    <cacheField name="FILTER / HIGH VALUE CUSTOMER" numFmtId="0">
      <sharedItems containsBlank="1"/>
    </cacheField>
    <cacheField name="INDEX + MATCH" numFmtId="0">
      <sharedItems containsBlank="1"/>
    </cacheField>
    <cacheField name="TOTAL SALES PER CUSTOMER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">
  <r>
    <s v="CUST019"/>
    <s v="James Davis"/>
    <x v="0"/>
    <x v="0"/>
    <n v="1036.0899999999999"/>
    <n v="4"/>
    <n v="0.2"/>
    <d v="2024-04-10T00:00:00"/>
    <n v="331.55"/>
    <s v="Apr-2024"/>
    <d v="2026-02-11T15:40:33"/>
    <n v="672.65316365740728"/>
    <s v="↑"/>
    <s v="Linda Wilson"/>
    <s v="NOT FOUND"/>
    <s v="Normal"/>
  </r>
  <r>
    <s v="CUST012"/>
    <s v="Robert Anderson"/>
    <x v="0"/>
    <x v="1"/>
    <n v="1101.28"/>
    <n v="3"/>
    <n v="0.2"/>
    <d v="2024-04-11T00:00:00"/>
    <n v="440.51"/>
    <s v="Apr-2024"/>
    <d v="2026-02-11T15:40:33"/>
    <n v="671.65316365740728"/>
    <s v="↑"/>
    <s v="Emma Davis"/>
    <m/>
    <s v="Normal"/>
  </r>
  <r>
    <s v="CUST017"/>
    <s v="James Taylor"/>
    <x v="1"/>
    <x v="0"/>
    <n v="713.34"/>
    <n v="17"/>
    <n v="0"/>
    <d v="2024-04-14T00:00:00"/>
    <n v="285.33999999999997"/>
    <s v="Apr-2024"/>
    <d v="2026-02-11T15:40:33"/>
    <n v="668.65316365740728"/>
    <s v="↑"/>
    <s v="David Thomas"/>
    <m/>
    <s v="Normal"/>
  </r>
  <r>
    <s v="CUST005"/>
    <s v="Robert Anderson"/>
    <x v="2"/>
    <x v="2"/>
    <n v="760.93"/>
    <n v="4"/>
    <n v="0.15"/>
    <d v="2024-04-14T00:00:00"/>
    <n v="161.69999999999999"/>
    <s v="Apr-2024"/>
    <d v="2026-02-11T15:40:33"/>
    <n v="668.65316365740728"/>
    <s v="↑"/>
    <s v="Sarah Anderson"/>
    <m/>
    <s v="Normal"/>
  </r>
  <r>
    <s v="CUST030"/>
    <s v="James Wilson"/>
    <x v="3"/>
    <x v="0"/>
    <n v="847"/>
    <n v="12"/>
    <n v="0.2"/>
    <d v="2024-04-15T00:00:00"/>
    <n v="271.04000000000002"/>
    <s v="Apr-2024"/>
    <d v="2026-02-11T15:40:33"/>
    <n v="667.65316365740728"/>
    <s v="↑"/>
    <s v="Mary Jackson"/>
    <m/>
    <s v="Normal"/>
  </r>
  <r>
    <s v="CUST007"/>
    <s v="Michael Anderson"/>
    <x v="3"/>
    <x v="3"/>
    <n v="965.64"/>
    <n v="8"/>
    <n v="0.1"/>
    <d v="2024-04-16T00:00:00"/>
    <n v="304.18"/>
    <s v="Apr-2024"/>
    <d v="2026-02-11T15:40:33"/>
    <n v="666.65316354166862"/>
    <s v="↑"/>
    <s v="David Brown"/>
    <m/>
    <s v="Normal"/>
  </r>
  <r>
    <s v="CUST001"/>
    <s v="Linda Wilson"/>
    <x v="0"/>
    <x v="2"/>
    <n v="1317.53"/>
    <n v="12"/>
    <n v="0.05"/>
    <d v="2024-04-16T00:00:00"/>
    <n v="312.91000000000003"/>
    <s v="Apr-2024"/>
    <d v="2026-02-11T15:40:33"/>
    <n v="666.65316354166862"/>
    <s v="↑"/>
    <s v="Linda Taylor"/>
    <m/>
    <s v="Normal"/>
  </r>
  <r>
    <s v="CUST026"/>
    <s v="Mary Davis"/>
    <x v="1"/>
    <x v="3"/>
    <n v="1074.47"/>
    <n v="6"/>
    <n v="0.2"/>
    <d v="2024-04-19T00:00:00"/>
    <n v="300.85000000000002"/>
    <s v="Apr-2024"/>
    <d v="2026-02-11T15:40:33"/>
    <n v="663.65316354166862"/>
    <s v="↑"/>
    <s v="Lisa Davis"/>
    <m/>
    <s v="Normal"/>
  </r>
  <r>
    <s v="CUST009"/>
    <s v="Linda Jackson"/>
    <x v="4"/>
    <x v="0"/>
    <n v="501.54"/>
    <n v="11"/>
    <n v="0.05"/>
    <d v="2024-04-19T00:00:00"/>
    <n v="190.59"/>
    <s v="Apr-2024"/>
    <d v="2026-02-11T15:40:33"/>
    <n v="663.65316354166862"/>
    <s v="↑"/>
    <s v="Emma Wilson"/>
    <m/>
    <s v="Normal"/>
  </r>
  <r>
    <s v="CUST010"/>
    <s v="David Thomas"/>
    <x v="4"/>
    <x v="1"/>
    <n v="737.31"/>
    <n v="2"/>
    <n v="0.05"/>
    <d v="2024-04-19T00:00:00"/>
    <n v="350.22"/>
    <s v="Apr-2024"/>
    <d v="2026-02-11T15:40:33"/>
    <n v="663.65316365740728"/>
    <s v="↑"/>
    <s v="David Davis"/>
    <m/>
    <s v="Normal"/>
  </r>
  <r>
    <s v="CUST014"/>
    <s v="Emma Davis"/>
    <x v="0"/>
    <x v="4"/>
    <n v="1572.82"/>
    <n v="6"/>
    <n v="0.05"/>
    <d v="2024-04-20T00:00:00"/>
    <n v="672.38"/>
    <s v="Apr-2024"/>
    <d v="2026-02-11T15:40:33"/>
    <n v="662.65316365740728"/>
    <s v="↑"/>
    <s v="James Wilson"/>
    <m/>
    <s v="Normal"/>
  </r>
  <r>
    <s v="CUST014"/>
    <s v="David Thomas"/>
    <x v="4"/>
    <x v="0"/>
    <n v="1343.13"/>
    <n v="14"/>
    <n v="0.15"/>
    <d v="2024-04-22T00:00:00"/>
    <n v="456.66"/>
    <s v="Apr-2024"/>
    <d v="2026-02-11T15:40:33"/>
    <n v="660.65316365740728"/>
    <s v="↑"/>
    <s v="Mary Wilson"/>
    <m/>
    <s v="Normal"/>
  </r>
  <r>
    <s v="CUST007"/>
    <s v="Michael Anderson"/>
    <x v="4"/>
    <x v="0"/>
    <n v="1191.58"/>
    <n v="14"/>
    <n v="0.05"/>
    <d v="2024-04-24T00:00:00"/>
    <n v="452.8"/>
    <s v="Apr-2024"/>
    <d v="2026-02-11T15:40:33"/>
    <n v="658.65316365740728"/>
    <s v="↑"/>
    <s v="Mary Davis"/>
    <m/>
    <s v="Normal"/>
  </r>
  <r>
    <s v="CUST023"/>
    <s v="Robert Anderson"/>
    <x v="0"/>
    <x v="3"/>
    <n v="822.28"/>
    <n v="7"/>
    <n v="0.05"/>
    <d v="2024-04-24T00:00:00"/>
    <n v="273.41000000000003"/>
    <s v="Apr-2024"/>
    <d v="2026-02-11T15:40:33"/>
    <n v="658.65316365740728"/>
    <s v="↑"/>
    <s v="James Davis"/>
    <m/>
    <s v="Normal"/>
  </r>
  <r>
    <s v="CUST029"/>
    <s v="David Smith"/>
    <x v="3"/>
    <x v="3"/>
    <n v="521.66999999999996"/>
    <n v="15"/>
    <n v="0.15"/>
    <d v="2024-04-27T00:00:00"/>
    <n v="155.19999999999999"/>
    <s v="Apr-2024"/>
    <d v="2026-02-11T15:40:33"/>
    <n v="655.65316365740728"/>
    <s v="↑"/>
    <s v="Sarah Davis"/>
    <m/>
    <s v="Normal"/>
  </r>
  <r>
    <s v="CUST005"/>
    <s v="Sarah Anderson"/>
    <x v="2"/>
    <x v="2"/>
    <n v="1502.93"/>
    <n v="14"/>
    <n v="0.2"/>
    <d v="2024-04-28T00:00:00"/>
    <n v="300.58999999999997"/>
    <s v="Apr-2024"/>
    <d v="2026-02-11T15:40:33"/>
    <n v="654.65316365740728"/>
    <s v="↑"/>
    <s v="Linda Brown"/>
    <m/>
    <s v="Normal"/>
  </r>
  <r>
    <s v="CUST008"/>
    <s v="Robert Anderson"/>
    <x v="2"/>
    <x v="0"/>
    <n v="877.58"/>
    <n v="10"/>
    <n v="0.15"/>
    <d v="2024-04-29T00:00:00"/>
    <n v="298.38"/>
    <s v="Apr-2024"/>
    <d v="2026-02-11T15:40:33"/>
    <n v="653.65316365740728"/>
    <s v="↑"/>
    <s v="Linda Jackson"/>
    <m/>
    <s v="Normal"/>
  </r>
  <r>
    <s v="CUST001"/>
    <s v="Lisa Thomas"/>
    <x v="0"/>
    <x v="0"/>
    <n v="636.70000000000005"/>
    <n v="4"/>
    <n v="0.2"/>
    <d v="2024-04-29T00:00:00"/>
    <n v="203.74"/>
    <s v="Apr-2024"/>
    <d v="2026-02-11T15:40:33"/>
    <n v="653.65316365740728"/>
    <s v="↑"/>
    <s v="James Taylor"/>
    <m/>
    <s v="Normal"/>
  </r>
  <r>
    <s v="CUST006"/>
    <s v="Mary Jackson"/>
    <x v="0"/>
    <x v="0"/>
    <n v="1506.14"/>
    <n v="13"/>
    <n v="0.2"/>
    <d v="2024-04-30T00:00:00"/>
    <n v="481.96"/>
    <s v="Apr-2024"/>
    <d v="2026-02-11T15:40:33"/>
    <n v="652.65316365740728"/>
    <s v="↑"/>
    <s v="Michael Anderson"/>
    <m/>
    <s v="Normal"/>
  </r>
  <r>
    <s v="CUST026"/>
    <s v="Mary Davis"/>
    <x v="4"/>
    <x v="2"/>
    <n v="645.02"/>
    <n v="4"/>
    <n v="0"/>
    <d v="2024-05-02T00:00:00"/>
    <n v="161.26"/>
    <s v="May-2024"/>
    <d v="2026-02-11T15:40:33"/>
    <n v="650.65316365740728"/>
    <s v="↑"/>
    <s v="Emma Taylor"/>
    <m/>
    <s v="Normal"/>
  </r>
  <r>
    <s v="CUST007"/>
    <s v="Lisa Davis"/>
    <x v="2"/>
    <x v="1"/>
    <n v="953.3"/>
    <n v="11"/>
    <n v="0"/>
    <d v="2024-05-03T00:00:00"/>
    <n v="476.65"/>
    <s v="May-2024"/>
    <d v="2026-02-11T15:40:33"/>
    <n v="649.65316365740728"/>
    <s v="↑"/>
    <s v="David Anderson"/>
    <m/>
    <s v="Normal"/>
  </r>
  <r>
    <s v="CUST022"/>
    <s v="Robert Anderson"/>
    <x v="3"/>
    <x v="2"/>
    <n v="388.56"/>
    <n v="14"/>
    <n v="0.15"/>
    <d v="2024-05-04T00:00:00"/>
    <n v="82.57"/>
    <s v="May-2024"/>
    <d v="2026-02-11T15:40:33"/>
    <n v="648.65316354166862"/>
    <s v="↑"/>
    <m/>
    <m/>
    <s v="Normal"/>
  </r>
  <r>
    <s v="CUST019"/>
    <s v="Mary Davis"/>
    <x v="0"/>
    <x v="0"/>
    <n v="743.17"/>
    <n v="9"/>
    <n v="0"/>
    <d v="2024-05-04T00:00:00"/>
    <n v="297.27"/>
    <s v="May-2024"/>
    <d v="2026-02-11T15:40:33"/>
    <n v="648.65316354166862"/>
    <s v="↑"/>
    <m/>
    <m/>
    <s v="Normal"/>
  </r>
  <r>
    <s v="CUST023"/>
    <s v="Mary Davis"/>
    <x v="4"/>
    <x v="2"/>
    <n v="706.37"/>
    <n v="6"/>
    <n v="0"/>
    <d v="2024-05-04T00:00:00"/>
    <n v="176.59"/>
    <s v="May-2024"/>
    <d v="2026-02-11T15:40:33"/>
    <n v="648.65316354166862"/>
    <s v="↑"/>
    <m/>
    <m/>
    <s v="Normal"/>
  </r>
  <r>
    <s v="CUST012"/>
    <s v="Mary Davis"/>
    <x v="4"/>
    <x v="4"/>
    <n v="925.31"/>
    <n v="8"/>
    <n v="0.1"/>
    <d v="2024-05-06T00:00:00"/>
    <n v="374.75"/>
    <s v="May-2024"/>
    <d v="2026-02-11T15:40:33"/>
    <n v="646.65316354166862"/>
    <s v="↑"/>
    <m/>
    <m/>
    <s v="Normal"/>
  </r>
  <r>
    <s v="CUST010"/>
    <s v="Linda Brown"/>
    <x v="2"/>
    <x v="2"/>
    <n v="1173.1199999999999"/>
    <n v="18"/>
    <n v="0"/>
    <d v="2024-05-06T00:00:00"/>
    <n v="293.27999999999997"/>
    <s v="May-2024"/>
    <d v="2026-02-11T15:40:33"/>
    <n v="646.65316365740728"/>
    <s v="↑"/>
    <m/>
    <m/>
    <s v="Normal"/>
  </r>
  <r>
    <s v="CUST030"/>
    <s v="John Brown"/>
    <x v="3"/>
    <x v="3"/>
    <n v="675.54"/>
    <n v="17"/>
    <n v="0"/>
    <d v="2024-05-08T00:00:00"/>
    <n v="236.44"/>
    <s v="May-2024"/>
    <d v="2026-02-11T15:40:33"/>
    <n v="644.65316365740728"/>
    <s v="↑"/>
    <m/>
    <m/>
    <s v="Normal"/>
  </r>
  <r>
    <s v="CUST007"/>
    <s v="Robert Anderson"/>
    <x v="4"/>
    <x v="0"/>
    <n v="939.09"/>
    <n v="2"/>
    <n v="0.05"/>
    <d v="2024-05-10T00:00:00"/>
    <n v="356.85"/>
    <s v="May-2024"/>
    <d v="2026-02-11T15:40:33"/>
    <n v="642.65316365740728"/>
    <s v="↑"/>
    <m/>
    <m/>
    <s v="Normal"/>
  </r>
  <r>
    <s v="CUST028"/>
    <s v="Linda Taylor"/>
    <x v="1"/>
    <x v="4"/>
    <n v="983.34"/>
    <n v="19"/>
    <n v="0.1"/>
    <d v="2024-05-14T00:00:00"/>
    <n v="398.25"/>
    <s v="May-2024"/>
    <d v="2026-02-11T15:40:33"/>
    <n v="638.65316365740728"/>
    <s v="↑"/>
    <m/>
    <m/>
    <s v="Normal"/>
  </r>
  <r>
    <s v="CUST028"/>
    <s v="James Wilson"/>
    <x v="2"/>
    <x v="2"/>
    <n v="801.21"/>
    <n v="3"/>
    <n v="0.2"/>
    <d v="2024-05-14T00:00:00"/>
    <n v="160.24"/>
    <s v="May-2024"/>
    <d v="2026-02-11T15:40:33"/>
    <n v="638.65316365740728"/>
    <s v="↑"/>
    <m/>
    <m/>
    <s v="Normal"/>
  </r>
  <r>
    <s v="CUST025"/>
    <s v="David Brown"/>
    <x v="3"/>
    <x v="2"/>
    <n v="1450.71"/>
    <n v="5"/>
    <n v="0.1"/>
    <d v="2024-05-15T00:00:00"/>
    <n v="326.41000000000003"/>
    <s v="May-2024"/>
    <d v="2026-02-11T15:40:33"/>
    <n v="637.65316365740728"/>
    <s v="↑"/>
    <m/>
    <m/>
    <s v="Normal"/>
  </r>
  <r>
    <s v="CUST022"/>
    <s v="David Davis"/>
    <x v="4"/>
    <x v="0"/>
    <n v="1023.21"/>
    <n v="18"/>
    <n v="0.05"/>
    <d v="2024-05-16T00:00:00"/>
    <n v="388.82"/>
    <s v="May-2024"/>
    <d v="2026-02-11T15:40:33"/>
    <n v="636.65316365740728"/>
    <s v="↑"/>
    <m/>
    <m/>
    <s v="Normal"/>
  </r>
  <r>
    <s v="CUST001"/>
    <s v="Mary Jackson"/>
    <x v="0"/>
    <x v="3"/>
    <n v="853.72"/>
    <n v="5"/>
    <n v="0.15"/>
    <d v="2024-05-16T00:00:00"/>
    <n v="253.98"/>
    <s v="May-2024"/>
    <d v="2026-02-11T15:40:33"/>
    <n v="636.65316365740728"/>
    <s v="↑"/>
    <m/>
    <m/>
    <s v="Normal"/>
  </r>
  <r>
    <s v="CUST021"/>
    <s v="Sarah Anderson"/>
    <x v="2"/>
    <x v="2"/>
    <n v="967.89"/>
    <n v="10"/>
    <n v="0.1"/>
    <d v="2024-05-17T00:00:00"/>
    <n v="217.78"/>
    <s v="May-2024"/>
    <d v="2026-02-11T15:40:33"/>
    <n v="635.65316365740728"/>
    <s v="↑"/>
    <m/>
    <m/>
    <s v="Normal"/>
  </r>
  <r>
    <s v="CUST015"/>
    <s v="Linda Taylor"/>
    <x v="3"/>
    <x v="4"/>
    <n v="1200.9000000000001"/>
    <n v="14"/>
    <n v="0.05"/>
    <d v="2024-05-17T00:00:00"/>
    <n v="513.38"/>
    <s v="May-2024"/>
    <d v="2026-02-11T15:40:33"/>
    <n v="635.65316365740728"/>
    <s v="↑"/>
    <m/>
    <m/>
    <s v="Normal"/>
  </r>
  <r>
    <s v="CUST012"/>
    <s v="Michael Anderson"/>
    <x v="0"/>
    <x v="0"/>
    <n v="472.38"/>
    <n v="12"/>
    <n v="0.2"/>
    <d v="2024-05-17T00:00:00"/>
    <n v="151.16"/>
    <s v="May-2024"/>
    <d v="2026-02-11T15:40:33"/>
    <n v="635.65316365740728"/>
    <s v="↑"/>
    <m/>
    <m/>
    <s v="Normal"/>
  </r>
  <r>
    <s v="CUST019"/>
    <s v="David Brown"/>
    <x v="1"/>
    <x v="4"/>
    <n v="840.92"/>
    <n v="9"/>
    <n v="0.05"/>
    <d v="2024-05-17T00:00:00"/>
    <n v="359.49"/>
    <s v="May-2024"/>
    <d v="2026-02-11T15:40:33"/>
    <n v="635.65316365740728"/>
    <s v="↑"/>
    <m/>
    <m/>
    <s v="Normal"/>
  </r>
  <r>
    <s v="CUST028"/>
    <s v="Lisa Davis"/>
    <x v="4"/>
    <x v="3"/>
    <n v="1410.06"/>
    <n v="11"/>
    <n v="0.05"/>
    <d v="2024-05-22T00:00:00"/>
    <n v="468.84"/>
    <s v="May-2024"/>
    <d v="2026-02-11T15:40:33"/>
    <n v="630.65316354166862"/>
    <s v="↑"/>
    <m/>
    <m/>
    <s v="Normal"/>
  </r>
  <r>
    <s v="CUST008"/>
    <s v="Mary Wilson"/>
    <x v="4"/>
    <x v="3"/>
    <n v="773.09"/>
    <n v="13"/>
    <n v="0.15"/>
    <d v="2024-05-22T00:00:00"/>
    <n v="229.99"/>
    <s v="May-2024"/>
    <d v="2026-02-11T15:40:33"/>
    <n v="630.65316354166862"/>
    <s v="↑"/>
    <m/>
    <m/>
    <s v="Normal"/>
  </r>
  <r>
    <s v="CUST016"/>
    <s v="Emma Wilson"/>
    <x v="1"/>
    <x v="0"/>
    <n v="580.42999999999995"/>
    <n v="19"/>
    <n v="0.15"/>
    <d v="2024-05-23T00:00:00"/>
    <n v="197.35"/>
    <s v="May-2024"/>
    <d v="2026-02-11T15:40:33"/>
    <n v="629.65316354166862"/>
    <s v="↑"/>
    <m/>
    <m/>
    <s v="Normal"/>
  </r>
  <r>
    <s v="CUST005"/>
    <s v="David Smith"/>
    <x v="2"/>
    <x v="0"/>
    <n v="1151.21"/>
    <n v="15"/>
    <n v="0.1"/>
    <d v="2024-06-02T00:00:00"/>
    <n v="414.44"/>
    <s v="Jun-2024"/>
    <d v="2026-02-11T15:40:33"/>
    <n v="619.65316354166862"/>
    <s v="↑"/>
    <m/>
    <m/>
    <s v="Normal"/>
  </r>
  <r>
    <s v="CUST028"/>
    <s v="James Wilson"/>
    <x v="4"/>
    <x v="4"/>
    <n v="1025.98"/>
    <n v="5"/>
    <n v="0.2"/>
    <d v="2024-06-04T00:00:00"/>
    <n v="369.35"/>
    <s v="Jun-2024"/>
    <d v="2026-02-11T15:40:33"/>
    <n v="617.65316365740728"/>
    <s v="↑"/>
    <m/>
    <m/>
    <s v="Normal"/>
  </r>
  <r>
    <s v="CUST023"/>
    <s v="David Davis"/>
    <x v="1"/>
    <x v="4"/>
    <n v="556.41999999999996"/>
    <n v="11"/>
    <n v="0.15"/>
    <d v="2024-06-04T00:00:00"/>
    <n v="212.83"/>
    <s v="Jun-2024"/>
    <d v="2026-02-11T15:40:33"/>
    <n v="617.65316365740728"/>
    <s v="↑"/>
    <m/>
    <m/>
    <s v="Normal"/>
  </r>
  <r>
    <s v="CUST021"/>
    <s v="James Wilson"/>
    <x v="4"/>
    <x v="0"/>
    <n v="840.85"/>
    <n v="19"/>
    <n v="0.1"/>
    <d v="2024-06-05T00:00:00"/>
    <n v="302.70999999999998"/>
    <s v="Jun-2024"/>
    <d v="2026-02-11T15:40:33"/>
    <n v="616.65316365740728"/>
    <s v="↑"/>
    <m/>
    <m/>
    <s v="Normal"/>
  </r>
  <r>
    <s v="CUST026"/>
    <s v="Emma Wilson"/>
    <x v="3"/>
    <x v="3"/>
    <n v="1227.25"/>
    <n v="12"/>
    <n v="0.15"/>
    <d v="2024-06-05T00:00:00"/>
    <n v="365.11"/>
    <s v="Jun-2024"/>
    <d v="2026-02-11T15:40:33"/>
    <n v="616.65316365740728"/>
    <s v="↑"/>
    <m/>
    <m/>
    <s v="Normal"/>
  </r>
  <r>
    <s v="CUST017"/>
    <s v="Linda Davis"/>
    <x v="4"/>
    <x v="2"/>
    <n v="856.7"/>
    <n v="2"/>
    <n v="0"/>
    <d v="2024-06-06T00:00:00"/>
    <n v="214.18"/>
    <s v="Jun-2024"/>
    <d v="2026-02-11T15:40:33"/>
    <n v="615.65316365740728"/>
    <s v="↑"/>
    <m/>
    <m/>
    <s v="Normal"/>
  </r>
  <r>
    <s v="CUST025"/>
    <s v="David Davis"/>
    <x v="4"/>
    <x v="4"/>
    <n v="1225.42"/>
    <n v="8"/>
    <n v="0.15"/>
    <d v="2024-06-06T00:00:00"/>
    <n v="468.72"/>
    <s v="Jun-2024"/>
    <d v="2026-02-11T15:40:33"/>
    <n v="615.65316365740728"/>
    <s v="↑"/>
    <m/>
    <m/>
    <s v="Normal"/>
  </r>
  <r>
    <s v="CUST011"/>
    <s v="Mary Davis"/>
    <x v="3"/>
    <x v="4"/>
    <n v="1001.57"/>
    <n v="12"/>
    <n v="0"/>
    <d v="2024-06-07T00:00:00"/>
    <n v="450.71"/>
    <s v="Jun-2024"/>
    <d v="2026-02-11T15:40:33"/>
    <n v="614.65316365740728"/>
    <s v="↑"/>
    <m/>
    <m/>
    <s v="Normal"/>
  </r>
  <r>
    <s v="CUST021"/>
    <s v="Michael Anderson"/>
    <x v="1"/>
    <x v="3"/>
    <n v="1186.8499999999999"/>
    <n v="19"/>
    <n v="0.2"/>
    <d v="2024-06-08T00:00:00"/>
    <n v="332.32"/>
    <s v="Jun-2024"/>
    <d v="2026-02-11T15:40:33"/>
    <n v="613.65316365740728"/>
    <s v="↑"/>
    <m/>
    <m/>
    <s v="Normal"/>
  </r>
  <r>
    <s v="CUST008"/>
    <s v="John Brown"/>
    <x v="2"/>
    <x v="2"/>
    <n v="775.45"/>
    <n v="6"/>
    <n v="0.1"/>
    <d v="2024-06-14T00:00:00"/>
    <n v="174.48"/>
    <s v="Jun-2024"/>
    <d v="2026-02-11T15:40:33"/>
    <n v="607.65316365740728"/>
    <s v="↑"/>
    <m/>
    <m/>
    <s v="Normal"/>
  </r>
  <r>
    <s v="CUST007"/>
    <s v="Linda Jackson"/>
    <x v="2"/>
    <x v="2"/>
    <n v="1021.47"/>
    <n v="6"/>
    <n v="0.05"/>
    <d v="2024-06-18T00:00:00"/>
    <n v="242.6"/>
    <s v="Jun-2024"/>
    <d v="2026-02-11T15:40:33"/>
    <n v="603.65316365740728"/>
    <s v="↑"/>
    <m/>
    <m/>
    <s v="Normal"/>
  </r>
  <r>
    <s v="CUST015"/>
    <s v="James Wilson"/>
    <x v="2"/>
    <x v="1"/>
    <n v="1226.6199999999999"/>
    <n v="7"/>
    <n v="0.1"/>
    <d v="2024-06-20T00:00:00"/>
    <n v="551.98"/>
    <s v="Jun-2024"/>
    <d v="2026-02-11T15:40:33"/>
    <n v="601.65316365740728"/>
    <s v="↑"/>
    <m/>
    <m/>
    <s v="Normal"/>
  </r>
  <r>
    <s v="CUST030"/>
    <s v="Sarah Davis"/>
    <x v="2"/>
    <x v="3"/>
    <n v="1086.93"/>
    <n v="2"/>
    <n v="0"/>
    <d v="2024-06-21T00:00:00"/>
    <n v="380.43"/>
    <s v="Jun-2024"/>
    <d v="2026-02-11T15:40:33"/>
    <n v="600.65316365740728"/>
    <s v="↑"/>
    <m/>
    <m/>
    <s v="Normal"/>
  </r>
  <r>
    <s v="CUST002"/>
    <s v="Lisa Davis"/>
    <x v="0"/>
    <x v="0"/>
    <n v="942.9"/>
    <n v="18"/>
    <n v="0.1"/>
    <d v="2024-06-23T00:00:00"/>
    <n v="339.44"/>
    <s v="Jun-2024"/>
    <d v="2026-02-11T15:40:33"/>
    <n v="598.65316354166862"/>
    <s v="↑"/>
    <m/>
    <m/>
    <s v="Normal"/>
  </r>
  <r>
    <s v="CUST009"/>
    <s v="Emma Davis"/>
    <x v="3"/>
    <x v="2"/>
    <n v="818.8"/>
    <n v="15"/>
    <n v="0.15"/>
    <d v="2024-06-25T00:00:00"/>
    <n v="173.99"/>
    <s v="Jun-2024"/>
    <d v="2026-02-11T15:40:33"/>
    <n v="596.65316354166862"/>
    <s v="↑"/>
    <m/>
    <m/>
    <s v="Normal"/>
  </r>
  <r>
    <s v="CUST005"/>
    <s v="Robert Anderson"/>
    <x v="2"/>
    <x v="3"/>
    <n v="919.04"/>
    <n v="10"/>
    <n v="0.2"/>
    <d v="2024-06-25T00:00:00"/>
    <n v="257.33"/>
    <s v="Jun-2024"/>
    <d v="2026-02-11T15:40:33"/>
    <n v="596.65316354166862"/>
    <s v="↑"/>
    <m/>
    <m/>
    <s v="Normal"/>
  </r>
  <r>
    <s v="CUST030"/>
    <s v="Emma Taylor"/>
    <x v="4"/>
    <x v="0"/>
    <n v="973.26"/>
    <n v="11"/>
    <n v="0"/>
    <d v="2024-06-27T00:00:00"/>
    <n v="389.3"/>
    <s v="Jun-2024"/>
    <d v="2026-02-11T15:40:33"/>
    <n v="594.65316354166862"/>
    <s v="↑"/>
    <m/>
    <m/>
    <s v="Normal"/>
  </r>
  <r>
    <s v="CUST029"/>
    <s v="Sarah Davis"/>
    <x v="3"/>
    <x v="2"/>
    <n v="741.61"/>
    <n v="1"/>
    <n v="0.2"/>
    <d v="2024-06-28T00:00:00"/>
    <n v="148.32"/>
    <s v="Jun-2024"/>
    <d v="2026-02-11T15:40:33"/>
    <n v="593.65316365740728"/>
    <s v="↑"/>
    <m/>
    <m/>
    <s v="Normal"/>
  </r>
  <r>
    <s v="CUST003"/>
    <s v="Emma Davis"/>
    <x v="3"/>
    <x v="0"/>
    <n v="1248.82"/>
    <n v="2"/>
    <n v="0.1"/>
    <d v="2024-06-30T00:00:00"/>
    <n v="449.58"/>
    <s v="Jun-2024"/>
    <d v="2026-02-11T15:40:33"/>
    <n v="591.65316365740728"/>
    <s v="↑"/>
    <m/>
    <m/>
    <s v="Normal"/>
  </r>
  <r>
    <s v="CUST012"/>
    <s v="Mary Wilson"/>
    <x v="0"/>
    <x v="1"/>
    <n v="1360.36"/>
    <n v="17"/>
    <n v="0"/>
    <d v="2024-06-30T00:00:00"/>
    <n v="680.18"/>
    <s v="Jun-2024"/>
    <d v="2026-02-11T15:40:33"/>
    <n v="591.65316365740728"/>
    <s v="↑"/>
    <m/>
    <m/>
    <s v="Normal"/>
  </r>
  <r>
    <s v="CUST021"/>
    <s v="Mary Davis"/>
    <x v="1"/>
    <x v="0"/>
    <n v="1383.3"/>
    <n v="8"/>
    <n v="0.1"/>
    <d v="2024-07-05T00:00:00"/>
    <n v="497.99"/>
    <s v="Jul-2024"/>
    <d v="2026-02-11T15:40:33"/>
    <n v="586.65316365740728"/>
    <s v="↑"/>
    <m/>
    <m/>
    <s v="Normal"/>
  </r>
  <r>
    <s v="CUST010"/>
    <s v="David Brown"/>
    <x v="4"/>
    <x v="4"/>
    <n v="488.99"/>
    <n v="9"/>
    <n v="0"/>
    <d v="2024-07-06T00:00:00"/>
    <n v="220.05"/>
    <s v="Jul-2024"/>
    <d v="2026-02-11T15:40:33"/>
    <n v="585.65316365740728"/>
    <s v="↑"/>
    <m/>
    <m/>
    <s v="Normal"/>
  </r>
  <r>
    <s v="CUST026"/>
    <s v="Mary Davis"/>
    <x v="1"/>
    <x v="3"/>
    <n v="933.71"/>
    <n v="17"/>
    <n v="0.1"/>
    <d v="2024-07-08T00:00:00"/>
    <n v="294.12"/>
    <s v="Jul-2024"/>
    <d v="2026-02-11T15:40:33"/>
    <n v="583.65316365740728"/>
    <s v="↑"/>
    <m/>
    <m/>
    <s v="Normal"/>
  </r>
  <r>
    <s v="CUST003"/>
    <s v="James Davis"/>
    <x v="0"/>
    <x v="2"/>
    <n v="1005.53"/>
    <n v="17"/>
    <n v="0.2"/>
    <d v="2024-07-08T00:00:00"/>
    <n v="201.11"/>
    <s v="Jul-2024"/>
    <d v="2026-02-11T15:40:33"/>
    <n v="583.65316365740728"/>
    <s v="↑"/>
    <m/>
    <m/>
    <s v="Normal"/>
  </r>
  <r>
    <s v="CUST029"/>
    <s v="Emma Wilson"/>
    <x v="2"/>
    <x v="2"/>
    <n v="1100.0999999999999"/>
    <n v="5"/>
    <n v="0.05"/>
    <d v="2024-07-09T00:00:00"/>
    <n v="261.27"/>
    <s v="Jul-2024"/>
    <d v="2026-02-11T15:40:33"/>
    <n v="582.65316365740728"/>
    <s v="↑"/>
    <m/>
    <m/>
    <s v="Normal"/>
  </r>
  <r>
    <s v="CUST003"/>
    <s v="James Wilson"/>
    <x v="3"/>
    <x v="3"/>
    <n v="1034.7"/>
    <n v="15"/>
    <n v="0.15"/>
    <d v="2024-07-14T00:00:00"/>
    <n v="307.82"/>
    <s v="Jul-2024"/>
    <d v="2026-02-11T15:40:33"/>
    <n v="577.65316365740728"/>
    <s v="↑"/>
    <m/>
    <m/>
    <s v="Normal"/>
  </r>
  <r>
    <s v="CUST002"/>
    <s v="Mary Davis"/>
    <x v="2"/>
    <x v="0"/>
    <n v="876.44"/>
    <n v="12"/>
    <n v="0.05"/>
    <d v="2024-07-15T00:00:00"/>
    <n v="333.05"/>
    <s v="Jul-2024"/>
    <d v="2026-02-11T15:40:33"/>
    <n v="576.65316365740728"/>
    <s v="↑"/>
    <m/>
    <m/>
    <s v="Normal"/>
  </r>
  <r>
    <s v="CUST020"/>
    <s v="David Brown"/>
    <x v="0"/>
    <x v="3"/>
    <n v="1371.34"/>
    <n v="5"/>
    <n v="0.05"/>
    <d v="2024-07-15T00:00:00"/>
    <n v="455.97"/>
    <s v="Jul-2024"/>
    <d v="2026-02-11T15:40:33"/>
    <n v="576.65316365740728"/>
    <s v="↑"/>
    <m/>
    <m/>
    <s v="Normal"/>
  </r>
  <r>
    <s v="CUST021"/>
    <s v="Mary Jackson"/>
    <x v="3"/>
    <x v="2"/>
    <n v="1020.26"/>
    <n v="11"/>
    <n v="0.05"/>
    <d v="2024-07-21T00:00:00"/>
    <n v="242.31"/>
    <s v="Jul-2024"/>
    <d v="2026-02-11T15:40:33"/>
    <n v="570.65316365740728"/>
    <s v="↑"/>
    <m/>
    <m/>
    <s v="Normal"/>
  </r>
  <r>
    <s v="CUST008"/>
    <s v="James Davis"/>
    <x v="4"/>
    <x v="4"/>
    <n v="804.81"/>
    <n v="1"/>
    <n v="0.05"/>
    <d v="2024-07-29T00:00:00"/>
    <n v="344.06"/>
    <s v="Jul-2024"/>
    <d v="2026-02-11T15:40:33"/>
    <n v="562.65316354166862"/>
    <s v="↑"/>
    <m/>
    <m/>
    <s v="Normal"/>
  </r>
  <r>
    <s v="CUST030"/>
    <s v="David Brown"/>
    <x v="4"/>
    <x v="2"/>
    <n v="608.66"/>
    <n v="1"/>
    <n v="0.05"/>
    <d v="2024-07-30T00:00:00"/>
    <n v="144.56"/>
    <s v="Jul-2024"/>
    <d v="2026-02-11T15:40:33"/>
    <n v="561.65316354166862"/>
    <s v="↑"/>
    <m/>
    <m/>
    <s v="Normal"/>
  </r>
  <r>
    <s v="CUST020"/>
    <s v="Linda Moore"/>
    <x v="2"/>
    <x v="4"/>
    <n v="981.2"/>
    <n v="19"/>
    <n v="0"/>
    <d v="2024-07-31T00:00:00"/>
    <n v="441.54"/>
    <s v="Jul-2024"/>
    <d v="2026-02-11T15:40:33"/>
    <n v="560.65316354166862"/>
    <s v="↑"/>
    <m/>
    <m/>
    <s v="Normal"/>
  </r>
  <r>
    <s v="CUST024"/>
    <s v="David Brown"/>
    <x v="1"/>
    <x v="2"/>
    <n v="539.77"/>
    <n v="10"/>
    <n v="0.15"/>
    <d v="2024-08-05T00:00:00"/>
    <n v="114.7"/>
    <s v="Aug-2024"/>
    <d v="2026-02-11T15:40:33"/>
    <n v="555.65316354166862"/>
    <s v="↑"/>
    <m/>
    <m/>
    <s v="Normal"/>
  </r>
  <r>
    <s v="CUST012"/>
    <s v="David Anderson"/>
    <x v="2"/>
    <x v="0"/>
    <n v="804.45"/>
    <n v="5"/>
    <n v="0.2"/>
    <d v="2024-08-05T00:00:00"/>
    <n v="257.42"/>
    <s v="Aug-2024"/>
    <d v="2026-02-11T15:40:33"/>
    <n v="555.65316365740728"/>
    <s v="↑"/>
    <m/>
    <m/>
    <s v="Normal"/>
  </r>
  <r>
    <s v="CUST024"/>
    <s v="Emma Davis"/>
    <x v="0"/>
    <x v="2"/>
    <n v="1526.6"/>
    <n v="13"/>
    <n v="0.2"/>
    <d v="2024-08-08T00:00:00"/>
    <n v="305.32"/>
    <s v="Aug-2024"/>
    <d v="2026-02-11T15:40:33"/>
    <n v="552.65316365740728"/>
    <s v="↑"/>
    <m/>
    <m/>
    <s v="Normal"/>
  </r>
  <r>
    <s v="CUST012"/>
    <s v="Linda Wilson"/>
    <x v="0"/>
    <x v="2"/>
    <n v="1215.26"/>
    <n v="5"/>
    <n v="0.15"/>
    <d v="2024-08-09T00:00:00"/>
    <n v="258.24"/>
    <s v="Aug-2024"/>
    <d v="2026-02-11T15:40:33"/>
    <n v="551.65316365740728"/>
    <s v="↑"/>
    <m/>
    <m/>
    <s v="Normal"/>
  </r>
  <r>
    <s v="CUST005"/>
    <s v="Linda Taylor"/>
    <x v="4"/>
    <x v="3"/>
    <n v="1261.3399999999999"/>
    <n v="3"/>
    <n v="0"/>
    <d v="2024-08-15T00:00:00"/>
    <n v="441.47"/>
    <s v="Aug-2024"/>
    <d v="2026-02-11T15:40:33"/>
    <n v="545.65316365740728"/>
    <s v="↑"/>
    <m/>
    <m/>
    <s v="Normal"/>
  </r>
  <r>
    <s v="CUST004"/>
    <s v="Lisa Thomas"/>
    <x v="3"/>
    <x v="3"/>
    <n v="518.07000000000005"/>
    <n v="7"/>
    <n v="0.05"/>
    <d v="2024-08-18T00:00:00"/>
    <n v="172.26"/>
    <s v="Aug-2024"/>
    <d v="2026-02-11T15:40:33"/>
    <n v="542.65316365740728"/>
    <s v="↑"/>
    <m/>
    <m/>
    <s v="Normal"/>
  </r>
  <r>
    <s v="CUST026"/>
    <s v="Linda Wilson"/>
    <x v="0"/>
    <x v="4"/>
    <n v="1111.3399999999999"/>
    <n v="1"/>
    <n v="0"/>
    <d v="2024-08-19T00:00:00"/>
    <n v="500.1"/>
    <s v="Aug-2024"/>
    <d v="2026-02-11T15:40:33"/>
    <n v="541.65316365740728"/>
    <s v="↑"/>
    <m/>
    <m/>
    <s v="Normal"/>
  </r>
  <r>
    <s v="CUST030"/>
    <s v="Mary Davis"/>
    <x v="1"/>
    <x v="1"/>
    <n v="1291.47"/>
    <n v="18"/>
    <n v="0.1"/>
    <d v="2024-08-22T00:00:00"/>
    <n v="581.16"/>
    <s v="Aug-2024"/>
    <d v="2026-02-11T15:40:33"/>
    <n v="538.65316365740728"/>
    <s v="↑"/>
    <m/>
    <m/>
    <s v="Normal"/>
  </r>
  <r>
    <s v="CUST007"/>
    <s v="David Brown"/>
    <x v="3"/>
    <x v="0"/>
    <n v="679.71"/>
    <n v="19"/>
    <n v="0"/>
    <d v="2024-08-30T00:00:00"/>
    <n v="271.88"/>
    <s v="Aug-2024"/>
    <d v="2026-02-11T15:40:33"/>
    <n v="530.65316365740728"/>
    <s v="↑"/>
    <m/>
    <m/>
    <s v="Normal"/>
  </r>
  <r>
    <s v="CUST020"/>
    <s v="Linda Jackson"/>
    <x v="1"/>
    <x v="3"/>
    <n v="1143.69"/>
    <n v="17"/>
    <n v="0"/>
    <d v="2024-08-30T00:00:00"/>
    <n v="400.29"/>
    <s v="Aug-2024"/>
    <d v="2026-02-11T15:40:33"/>
    <n v="530.65316365740728"/>
    <s v="↑"/>
    <m/>
    <m/>
    <s v="Normal"/>
  </r>
  <r>
    <s v="CUST028"/>
    <s v="Linda Brown"/>
    <x v="4"/>
    <x v="2"/>
    <n v="790.08"/>
    <n v="7"/>
    <n v="0.1"/>
    <d v="2024-09-01T00:00:00"/>
    <n v="177.77"/>
    <s v="Sep-2024"/>
    <d v="2026-02-11T15:40:33"/>
    <n v="528.65316365740728"/>
    <s v="↑"/>
    <m/>
    <m/>
    <s v="Normal"/>
  </r>
  <r>
    <s v="CUST005"/>
    <s v="Lisa Davis"/>
    <x v="4"/>
    <x v="0"/>
    <n v="1070.68"/>
    <n v="7"/>
    <n v="0.05"/>
    <d v="2024-09-01T00:00:00"/>
    <n v="406.86"/>
    <s v="Sep-2024"/>
    <d v="2026-02-11T15:40:33"/>
    <n v="528.65316365740728"/>
    <s v="↑"/>
    <m/>
    <m/>
    <s v="Normal"/>
  </r>
  <r>
    <s v="CUST015"/>
    <s v="David Thomas"/>
    <x v="0"/>
    <x v="1"/>
    <n v="1168.8900000000001"/>
    <n v="4"/>
    <n v="0.1"/>
    <d v="2024-09-09T00:00:00"/>
    <n v="526"/>
    <s v="Sep-2024"/>
    <d v="2026-02-11T15:40:33"/>
    <n v="520.65316365740728"/>
    <s v="↑"/>
    <m/>
    <m/>
    <s v="Normal"/>
  </r>
  <r>
    <s v="CUST003"/>
    <s v="James Davis"/>
    <x v="2"/>
    <x v="2"/>
    <n v="1335.87"/>
    <n v="17"/>
    <n v="0"/>
    <d v="2024-09-09T00:00:00"/>
    <n v="333.97"/>
    <s v="Sep-2024"/>
    <d v="2026-02-11T15:40:33"/>
    <n v="520.65316354166862"/>
    <s v="↑"/>
    <m/>
    <m/>
    <s v="Normal"/>
  </r>
  <r>
    <s v="CUST023"/>
    <s v="David Brown"/>
    <x v="1"/>
    <x v="3"/>
    <n v="873.7"/>
    <n v="9"/>
    <n v="0"/>
    <d v="2024-09-11T00:00:00"/>
    <n v="305.8"/>
    <s v="Sep-2024"/>
    <d v="2026-02-11T15:40:33"/>
    <n v="518.65316354166862"/>
    <s v="↑"/>
    <m/>
    <m/>
    <s v="Normal"/>
  </r>
  <r>
    <s v="CUST004"/>
    <s v="Sarah Davis"/>
    <x v="0"/>
    <x v="4"/>
    <n v="1443.98"/>
    <n v="19"/>
    <n v="0"/>
    <d v="2024-09-12T00:00:00"/>
    <n v="649.79"/>
    <s v="Sep-2024"/>
    <d v="2026-02-11T15:40:33"/>
    <n v="517.65316354166862"/>
    <s v="↑"/>
    <m/>
    <m/>
    <s v="Normal"/>
  </r>
  <r>
    <s v="CUST023"/>
    <s v="James Wilson"/>
    <x v="1"/>
    <x v="4"/>
    <n v="1154.33"/>
    <n v="11"/>
    <n v="0.15"/>
    <d v="2024-09-14T00:00:00"/>
    <n v="441.53"/>
    <s v="Sep-2024"/>
    <d v="2026-02-11T15:40:33"/>
    <n v="515.65316354166862"/>
    <s v="↑"/>
    <m/>
    <m/>
    <s v="Normal"/>
  </r>
  <r>
    <s v="CUST022"/>
    <s v="Linda Brown"/>
    <x v="2"/>
    <x v="0"/>
    <n v="1264.49"/>
    <n v="16"/>
    <n v="0.05"/>
    <d v="2024-09-14T00:00:00"/>
    <n v="480.51"/>
    <s v="Sep-2024"/>
    <d v="2026-02-11T15:40:33"/>
    <n v="515.65316365740728"/>
    <s v="↑"/>
    <m/>
    <m/>
    <s v="Normal"/>
  </r>
  <r>
    <s v="CUST007"/>
    <s v="Emma Taylor"/>
    <x v="0"/>
    <x v="3"/>
    <n v="1101.55"/>
    <n v="4"/>
    <n v="0.1"/>
    <d v="2024-09-16T00:00:00"/>
    <n v="346.99"/>
    <s v="Sep-2024"/>
    <d v="2026-02-11T15:40:33"/>
    <n v="513.65316365740728"/>
    <s v="↑"/>
    <m/>
    <m/>
    <s v="Normal"/>
  </r>
  <r>
    <s v="CUST013"/>
    <s v="Robert Anderson"/>
    <x v="2"/>
    <x v="3"/>
    <n v="727.73"/>
    <n v="1"/>
    <n v="0.1"/>
    <d v="2024-09-17T00:00:00"/>
    <n v="229.23"/>
    <s v="Sep-2024"/>
    <d v="2026-02-11T15:40:33"/>
    <n v="512.65316365740728"/>
    <s v="↑"/>
    <m/>
    <m/>
    <s v="Normal"/>
  </r>
  <r>
    <s v="CUST027"/>
    <s v="Emma Davis"/>
    <x v="1"/>
    <x v="4"/>
    <n v="875.41"/>
    <n v="13"/>
    <n v="0.15"/>
    <d v="2024-09-17T00:00:00"/>
    <n v="334.84"/>
    <s v="Sep-2024"/>
    <d v="2026-02-11T15:40:33"/>
    <n v="512.65316365740728"/>
    <s v="↑"/>
    <m/>
    <m/>
    <s v="Normal"/>
  </r>
  <r>
    <s v="CUST003"/>
    <s v="James Wilson"/>
    <x v="0"/>
    <x v="2"/>
    <n v="1158.94"/>
    <n v="19"/>
    <n v="0.2"/>
    <d v="2024-09-18T00:00:00"/>
    <n v="231.79"/>
    <s v="Sep-2024"/>
    <d v="2026-02-11T15:40:33"/>
    <n v="511.65316365740728"/>
    <s v="↑"/>
    <m/>
    <m/>
    <s v="Normal"/>
  </r>
  <r>
    <s v="CUST018"/>
    <s v="Mary Jackson"/>
    <x v="2"/>
    <x v="0"/>
    <n v="966.3"/>
    <n v="2"/>
    <n v="0.15"/>
    <d v="2024-09-22T00:00:00"/>
    <n v="328.54"/>
    <s v="Sep-2024"/>
    <d v="2026-02-11T15:40:33"/>
    <n v="507.65316365740728"/>
    <s v="↑"/>
    <m/>
    <m/>
    <s v="Normal"/>
  </r>
  <r>
    <s v="CUST020"/>
    <s v="James Taylor"/>
    <x v="2"/>
    <x v="0"/>
    <n v="917.48"/>
    <n v="6"/>
    <n v="0"/>
    <d v="2024-09-23T00:00:00"/>
    <n v="366.99"/>
    <s v="Sep-2024"/>
    <d v="2026-02-11T15:40:33"/>
    <n v="506.65316365740728"/>
    <s v="↑"/>
    <m/>
    <m/>
    <s v="Normal"/>
  </r>
  <r>
    <s v="CUST029"/>
    <s v="Emma Wilson"/>
    <x v="0"/>
    <x v="3"/>
    <n v="1172.97"/>
    <n v="7"/>
    <n v="0.15"/>
    <d v="2024-09-24T00:00:00"/>
    <n v="348.96"/>
    <s v="Sep-2024"/>
    <d v="2026-02-11T15:40:33"/>
    <n v="505.65316365740728"/>
    <s v="↑"/>
    <m/>
    <m/>
    <s v="Normal"/>
  </r>
  <r>
    <s v="CUST021"/>
    <s v="James Wilson"/>
    <x v="3"/>
    <x v="1"/>
    <n v="1205.82"/>
    <n v="11"/>
    <n v="0.1"/>
    <d v="2024-09-24T00:00:00"/>
    <n v="542.62"/>
    <s v="Sep-2024"/>
    <d v="2026-02-11T15:40:33"/>
    <n v="505.65316365740728"/>
    <s v="↑"/>
    <m/>
    <m/>
    <s v="Normal"/>
  </r>
  <r>
    <s v="CUST017"/>
    <s v="Sarah Davis"/>
    <x v="0"/>
    <x v="4"/>
    <n v="826.93"/>
    <n v="10"/>
    <n v="0.2"/>
    <d v="2024-09-29T00:00:00"/>
    <n v="297.69"/>
    <s v="Sep-2024"/>
    <d v="2026-02-11T15:40:33"/>
    <n v="500.65316365740728"/>
    <s v="↑"/>
    <m/>
    <m/>
    <s v="Normal"/>
  </r>
  <r>
    <s v="CUST003"/>
    <s v="James Wilson"/>
    <x v="4"/>
    <x v="1"/>
    <n v="902.19"/>
    <n v="12"/>
    <n v="0"/>
    <d v="2024-09-29T00:00:00"/>
    <n v="451.1"/>
    <s v="Sep-2024"/>
    <d v="2026-02-11T15:40:33"/>
    <n v="500.65316365740728"/>
    <s v="↑"/>
    <m/>
    <m/>
    <s v="Normal"/>
  </r>
  <r>
    <s v="CUST027"/>
    <s v="Emma Davis"/>
    <x v="3"/>
    <x v="0"/>
    <n v="585.97"/>
    <n v="17"/>
    <n v="0.1"/>
    <d v="2024-09-30T00:00:00"/>
    <n v="210.95"/>
    <s v="Sep-2024"/>
    <d v="2026-02-11T15:40:33"/>
    <n v="499.65316365740728"/>
    <s v="→"/>
    <m/>
    <m/>
    <s v="Normal"/>
  </r>
  <r>
    <s v="CUST016"/>
    <s v="Michael Anderson"/>
    <x v="3"/>
    <x v="1"/>
    <n v="990.19"/>
    <n v="8"/>
    <n v="0.1"/>
    <d v="2024-09-30T00:00:00"/>
    <n v="445.59"/>
    <s v="Sep-2024"/>
    <d v="2026-02-11T15:40:33"/>
    <n v="499.65316354166862"/>
    <s v="→"/>
    <m/>
    <m/>
    <s v="Normal"/>
  </r>
  <r>
    <s v="CUST008"/>
    <s v="David Davis"/>
    <x v="4"/>
    <x v="2"/>
    <n v="1014.09"/>
    <n v="13"/>
    <n v="0.2"/>
    <d v="2024-10-02T00:00:00"/>
    <n v="202.82"/>
    <s v="Oct-2024"/>
    <d v="2026-02-11T15:40:33"/>
    <n v="497.65316354166862"/>
    <s v="↓"/>
    <m/>
    <m/>
    <s v="Normal"/>
  </r>
  <r>
    <s v="CUST012"/>
    <s v="Lisa Davis"/>
    <x v="3"/>
    <x v="2"/>
    <n v="925.29"/>
    <n v="17"/>
    <n v="0"/>
    <d v="2024-10-05T00:00:00"/>
    <n v="231.32"/>
    <s v="Oct-2024"/>
    <d v="2026-02-11T15:40:33"/>
    <n v="494.65316354166862"/>
    <s v="↓"/>
    <m/>
    <m/>
    <s v="Normal"/>
  </r>
  <r>
    <s v="CUST025"/>
    <s v="Mary Jackson"/>
    <x v="1"/>
    <x v="3"/>
    <n v="1286.54"/>
    <n v="8"/>
    <n v="0"/>
    <d v="2024-10-10T00:00:00"/>
    <n v="450.29"/>
    <s v="Oct-2024"/>
    <d v="2026-02-11T15:40:33"/>
    <n v="489.65316354166862"/>
    <s v="↓"/>
    <m/>
    <m/>
    <s v="Normal"/>
  </r>
  <r>
    <s v="CUST014"/>
    <s v="Sarah Davis"/>
    <x v="2"/>
    <x v="0"/>
    <n v="961.62"/>
    <n v="8"/>
    <n v="0.2"/>
    <d v="2024-10-12T00:00:00"/>
    <n v="307.72000000000003"/>
    <s v="Oct-2024"/>
    <d v="2026-02-11T15:40:33"/>
    <n v="487.65316365740728"/>
    <s v="↓"/>
    <m/>
    <m/>
    <s v="Normal"/>
  </r>
  <r>
    <s v="CUST008"/>
    <s v="James Wilson"/>
    <x v="1"/>
    <x v="0"/>
    <n v="1081.1400000000001"/>
    <n v="19"/>
    <n v="0.15"/>
    <d v="2024-10-12T00:00:00"/>
    <n v="367.59"/>
    <s v="Oct-2024"/>
    <d v="2026-02-11T15:40:33"/>
    <n v="487.65316365740728"/>
    <s v="↓"/>
    <m/>
    <m/>
    <s v="Normal"/>
  </r>
  <r>
    <s v="CUST015"/>
    <s v="James Wilson"/>
    <x v="0"/>
    <x v="1"/>
    <n v="1923.66"/>
    <n v="9"/>
    <n v="0.2"/>
    <d v="2024-10-15T00:00:00"/>
    <n v="769.46"/>
    <s v="Oct-2024"/>
    <d v="2026-02-11T15:40:33"/>
    <n v="484.65316365740728"/>
    <s v="↓"/>
    <m/>
    <m/>
    <s v="Normal"/>
  </r>
  <r>
    <s v="CUST025"/>
    <s v="Emma Taylor"/>
    <x v="4"/>
    <x v="1"/>
    <n v="728.71"/>
    <n v="14"/>
    <n v="0.1"/>
    <d v="2024-10-16T00:00:00"/>
    <n v="327.92"/>
    <s v="Oct-2024"/>
    <d v="2026-02-11T15:40:33"/>
    <n v="483.65316365740728"/>
    <s v="↓"/>
    <m/>
    <m/>
    <s v="Normal"/>
  </r>
  <r>
    <s v="CUST019"/>
    <s v="Linda Jackson"/>
    <x v="4"/>
    <x v="1"/>
    <n v="1301.8900000000001"/>
    <n v="7"/>
    <n v="0.15"/>
    <d v="2024-10-16T00:00:00"/>
    <n v="553.29999999999995"/>
    <s v="Oct-2024"/>
    <d v="2026-02-11T15:40:33"/>
    <n v="483.65316365740728"/>
    <s v="↓"/>
    <m/>
    <m/>
    <s v="Normal"/>
  </r>
  <r>
    <s v="CUST024"/>
    <s v="Emma Taylor"/>
    <x v="1"/>
    <x v="0"/>
    <n v="980.18"/>
    <n v="16"/>
    <n v="0.1"/>
    <d v="2024-10-17T00:00:00"/>
    <n v="352.86"/>
    <s v="Oct-2024"/>
    <d v="2026-02-11T15:40:33"/>
    <n v="482.65316365740728"/>
    <s v="↓"/>
    <m/>
    <m/>
    <s v="Normal"/>
  </r>
  <r>
    <s v="CUST027"/>
    <s v="James Wilson"/>
    <x v="0"/>
    <x v="1"/>
    <n v="697.57"/>
    <n v="17"/>
    <n v="0.1"/>
    <d v="2024-10-19T00:00:00"/>
    <n v="313.91000000000003"/>
    <s v="Oct-2024"/>
    <d v="2026-02-11T15:40:33"/>
    <n v="480.65316365740728"/>
    <s v="↓"/>
    <m/>
    <m/>
    <s v="Normal"/>
  </r>
  <r>
    <s v="CUST006"/>
    <s v="David Anderson"/>
    <x v="0"/>
    <x v="3"/>
    <n v="1193.6099999999999"/>
    <n v="1"/>
    <n v="0.15"/>
    <d v="2024-10-19T00:00:00"/>
    <n v="355.1"/>
    <s v="Oct-2024"/>
    <d v="2026-02-11T15:40:33"/>
    <n v="480.65316365740728"/>
    <s v="↓"/>
    <m/>
    <m/>
    <s v="Normal"/>
  </r>
  <r>
    <s v="CUST009"/>
    <s v="Emma Davis"/>
    <x v="2"/>
    <x v="2"/>
    <n v="771.02"/>
    <n v="1"/>
    <n v="0"/>
    <d v="2024-10-20T00:00:00"/>
    <n v="192.76"/>
    <s v="Oct-2024"/>
    <d v="2026-02-11T15:40:33"/>
    <n v="479.65316365740728"/>
    <s v="↓"/>
    <m/>
    <m/>
    <s v="Normal"/>
  </r>
  <r>
    <s v="CUST003"/>
    <s v="Linda Moore"/>
    <x v="3"/>
    <x v="1"/>
    <n v="661.09"/>
    <n v="1"/>
    <n v="0.2"/>
    <d v="2024-10-28T00:00:00"/>
    <n v="264.44"/>
    <s v="Oct-2024"/>
    <d v="2026-02-11T15:40:33"/>
    <n v="471.65316365740728"/>
    <s v="↓"/>
    <m/>
    <m/>
    <s v="Normal"/>
  </r>
  <r>
    <s v="CUST012"/>
    <s v="David Brown"/>
    <x v="0"/>
    <x v="2"/>
    <n v="688.83"/>
    <n v="15"/>
    <n v="0"/>
    <d v="2024-10-30T00:00:00"/>
    <n v="172.21"/>
    <s v="Oct-2024"/>
    <d v="2026-02-11T15:40:33"/>
    <n v="469.65316365740728"/>
    <s v="↓"/>
    <m/>
    <m/>
    <s v="Normal"/>
  </r>
  <r>
    <s v="CUST013"/>
    <s v="Linda Wilson"/>
    <x v="4"/>
    <x v="0"/>
    <n v="1249.0999999999999"/>
    <n v="4"/>
    <n v="0.05"/>
    <d v="2024-11-01T00:00:00"/>
    <n v="474.66"/>
    <s v="Nov-2024"/>
    <d v="2026-02-11T15:40:33"/>
    <n v="467.65316365740728"/>
    <s v="↓"/>
    <m/>
    <m/>
    <s v="Normal"/>
  </r>
  <r>
    <s v="CUST008"/>
    <s v="James Wilson"/>
    <x v="1"/>
    <x v="4"/>
    <n v="1014.22"/>
    <n v="14"/>
    <n v="0.05"/>
    <d v="2024-11-03T00:00:00"/>
    <n v="433.58"/>
    <s v="Nov-2024"/>
    <d v="2026-02-11T15:40:33"/>
    <n v="465.65316354166862"/>
    <s v="↓"/>
    <m/>
    <m/>
    <s v="Normal"/>
  </r>
  <r>
    <s v="CUST025"/>
    <s v="Lisa Davis"/>
    <x v="1"/>
    <x v="0"/>
    <n v="1010.58"/>
    <n v="2"/>
    <n v="0.15"/>
    <d v="2024-11-09T00:00:00"/>
    <n v="343.6"/>
    <s v="Nov-2024"/>
    <d v="2026-02-11T15:40:33"/>
    <n v="459.65316354166862"/>
    <s v="↓"/>
    <m/>
    <m/>
    <s v="Normal"/>
  </r>
  <r>
    <s v="CUST026"/>
    <s v="Mary Wilson"/>
    <x v="3"/>
    <x v="3"/>
    <n v="957.29"/>
    <n v="4"/>
    <n v="0.05"/>
    <d v="2024-11-09T00:00:00"/>
    <n v="318.3"/>
    <s v="Nov-2024"/>
    <d v="2026-02-11T15:40:33"/>
    <n v="459.65316354166862"/>
    <s v="↓"/>
    <m/>
    <m/>
    <s v="Normal"/>
  </r>
  <r>
    <s v="CUST001"/>
    <s v="Lisa Thomas"/>
    <x v="3"/>
    <x v="3"/>
    <n v="1077.92"/>
    <n v="3"/>
    <n v="0.05"/>
    <d v="2024-11-12T00:00:00"/>
    <n v="358.41"/>
    <s v="Nov-2024"/>
    <d v="2026-02-11T15:40:33"/>
    <n v="456.65316354166862"/>
    <s v="↓"/>
    <m/>
    <m/>
    <s v="Normal"/>
  </r>
  <r>
    <s v="CUST028"/>
    <s v="Linda Brown"/>
    <x v="2"/>
    <x v="1"/>
    <n v="1163.01"/>
    <n v="5"/>
    <n v="0"/>
    <d v="2024-11-15T00:00:00"/>
    <n v="581.5"/>
    <s v="Nov-2024"/>
    <d v="2026-02-11T15:40:33"/>
    <n v="453.65316365740728"/>
    <s v="↓"/>
    <m/>
    <m/>
    <s v="Normal"/>
  </r>
  <r>
    <s v="CUST025"/>
    <s v="Lisa Thomas"/>
    <x v="1"/>
    <x v="4"/>
    <n v="1014.56"/>
    <n v="10"/>
    <n v="0.1"/>
    <d v="2024-11-16T00:00:00"/>
    <n v="410.9"/>
    <s v="Nov-2024"/>
    <d v="2026-02-11T15:40:33"/>
    <n v="452.65316365740728"/>
    <s v="↓"/>
    <m/>
    <m/>
    <s v="Normal"/>
  </r>
  <r>
    <s v="CUST019"/>
    <s v="James Taylor"/>
    <x v="2"/>
    <x v="2"/>
    <n v="718.04"/>
    <n v="14"/>
    <n v="0"/>
    <d v="2024-11-17T00:00:00"/>
    <n v="179.51"/>
    <s v="Nov-2024"/>
    <d v="2026-02-11T15:40:33"/>
    <n v="451.65316365740728"/>
    <s v="↓"/>
    <m/>
    <m/>
    <s v="Normal"/>
  </r>
  <r>
    <s v="CUST004"/>
    <s v="James Taylor"/>
    <x v="4"/>
    <x v="1"/>
    <n v="1277.8499999999999"/>
    <n v="18"/>
    <n v="0.2"/>
    <d v="2024-11-17T00:00:00"/>
    <n v="511.14"/>
    <s v="Nov-2024"/>
    <d v="2026-02-11T15:40:33"/>
    <n v="451.65316365740728"/>
    <s v="↓"/>
    <m/>
    <m/>
    <s v="Normal"/>
  </r>
  <r>
    <s v="CUST024"/>
    <s v="James Wilson"/>
    <x v="3"/>
    <x v="2"/>
    <n v="706.73"/>
    <n v="1"/>
    <n v="0.15"/>
    <d v="2024-11-17T00:00:00"/>
    <n v="150.18"/>
    <s v="Nov-2024"/>
    <d v="2026-02-11T15:40:33"/>
    <n v="451.65316365740728"/>
    <s v="↓"/>
    <m/>
    <m/>
    <s v="Normal"/>
  </r>
  <r>
    <s v="CUST002"/>
    <s v="Linda Brown"/>
    <x v="1"/>
    <x v="2"/>
    <n v="1410.59"/>
    <n v="15"/>
    <n v="0"/>
    <d v="2024-11-19T00:00:00"/>
    <n v="352.65"/>
    <s v="Nov-2024"/>
    <d v="2026-02-11T15:40:33"/>
    <n v="449.65316365740728"/>
    <s v="↓"/>
    <m/>
    <m/>
    <s v="Normal"/>
  </r>
  <r>
    <s v="CUST009"/>
    <s v="Emma Wilson"/>
    <x v="2"/>
    <x v="3"/>
    <n v="1350.33"/>
    <n v="10"/>
    <n v="0"/>
    <d v="2024-11-19T00:00:00"/>
    <n v="472.62"/>
    <s v="Nov-2024"/>
    <d v="2026-02-11T15:40:33"/>
    <n v="449.65316365740728"/>
    <s v="↓"/>
    <m/>
    <m/>
    <s v="Normal"/>
  </r>
  <r>
    <s v="CUST029"/>
    <s v="Lisa Thomas"/>
    <x v="1"/>
    <x v="2"/>
    <n v="919.18"/>
    <n v="4"/>
    <n v="0.15"/>
    <d v="2024-11-19T00:00:00"/>
    <n v="195.33"/>
    <s v="Nov-2024"/>
    <d v="2026-02-11T15:40:33"/>
    <n v="449.65316365740728"/>
    <s v="↓"/>
    <m/>
    <m/>
    <s v="Normal"/>
  </r>
  <r>
    <s v="CUST027"/>
    <s v="James Wilson"/>
    <x v="0"/>
    <x v="2"/>
    <n v="258.51"/>
    <n v="19"/>
    <n v="0"/>
    <d v="2024-11-20T00:00:00"/>
    <n v="64.63"/>
    <s v="Nov-2024"/>
    <d v="2026-02-11T15:40:33"/>
    <n v="448.65316365740728"/>
    <s v="↓"/>
    <m/>
    <m/>
    <s v="Normal"/>
  </r>
  <r>
    <s v="CUST011"/>
    <s v="Emma Wilson"/>
    <x v="1"/>
    <x v="0"/>
    <n v="1213.48"/>
    <n v="5"/>
    <n v="0.05"/>
    <d v="2024-11-20T00:00:00"/>
    <n v="461.12"/>
    <s v="Nov-2024"/>
    <d v="2026-02-11T15:40:33"/>
    <n v="448.65316365740728"/>
    <s v="↓"/>
    <m/>
    <m/>
    <s v="Normal"/>
  </r>
  <r>
    <s v="CUST021"/>
    <s v="Emma Davis"/>
    <x v="4"/>
    <x v="0"/>
    <n v="1150.28"/>
    <n v="8"/>
    <n v="0.05"/>
    <d v="2024-11-26T00:00:00"/>
    <n v="437.11"/>
    <s v="Nov-2024"/>
    <d v="2026-02-11T15:40:33"/>
    <n v="442.65316365740728"/>
    <s v="↓"/>
    <m/>
    <m/>
    <s v="Normal"/>
  </r>
  <r>
    <s v="CUST014"/>
    <s v="David Anderson"/>
    <x v="2"/>
    <x v="3"/>
    <n v="853.86"/>
    <n v="8"/>
    <n v="0.1"/>
    <d v="2024-11-26T00:00:00"/>
    <n v="268.97000000000003"/>
    <s v="Nov-2024"/>
    <d v="2026-02-11T15:40:33"/>
    <n v="442.65316365740728"/>
    <s v="↓"/>
    <m/>
    <m/>
    <s v="Normal"/>
  </r>
  <r>
    <s v="CUST018"/>
    <s v="Lisa Thomas"/>
    <x v="2"/>
    <x v="2"/>
    <n v="1061.04"/>
    <n v="1"/>
    <n v="0"/>
    <d v="2024-11-28T00:00:00"/>
    <n v="265.26"/>
    <s v="Nov-2024"/>
    <d v="2026-02-11T15:40:33"/>
    <n v="440.65316354166862"/>
    <s v="↓"/>
    <m/>
    <m/>
    <s v="Normal"/>
  </r>
  <r>
    <s v="CUST001"/>
    <s v="Sarah Anderson"/>
    <x v="0"/>
    <x v="2"/>
    <n v="894.55"/>
    <n v="19"/>
    <n v="0.2"/>
    <d v="2024-11-29T00:00:00"/>
    <n v="178.91"/>
    <s v="Nov-2024"/>
    <d v="2026-02-11T15:40:33"/>
    <n v="439.65316354166862"/>
    <s v="↓"/>
    <m/>
    <m/>
    <s v="Normal"/>
  </r>
  <r>
    <s v="CUST007"/>
    <s v="Emma Davis"/>
    <x v="3"/>
    <x v="4"/>
    <n v="833.91"/>
    <n v="3"/>
    <n v="0.05"/>
    <d v="2024-11-30T00:00:00"/>
    <n v="356.5"/>
    <s v="Nov-2024"/>
    <d v="2026-02-11T15:40:33"/>
    <n v="438.65316354166862"/>
    <s v="↓"/>
    <m/>
    <m/>
    <s v="Normal"/>
  </r>
  <r>
    <s v="CUST015"/>
    <s v="David Anderson"/>
    <x v="0"/>
    <x v="3"/>
    <n v="820.19"/>
    <n v="4"/>
    <n v="0.2"/>
    <d v="2024-12-04T00:00:00"/>
    <n v="229.65"/>
    <s v="Dec-2024"/>
    <d v="2026-02-11T15:40:33"/>
    <n v="434.65316354166862"/>
    <s v="↓"/>
    <m/>
    <m/>
    <s v="Normal"/>
  </r>
  <r>
    <s v="CUST015"/>
    <s v="Emma Davis"/>
    <x v="4"/>
    <x v="2"/>
    <n v="511.74"/>
    <n v="8"/>
    <n v="0.05"/>
    <d v="2024-12-05T00:00:00"/>
    <n v="121.54"/>
    <s v="Dec-2024"/>
    <d v="2026-02-11T15:40:33"/>
    <n v="433.65316365740728"/>
    <s v="↓"/>
    <m/>
    <m/>
    <s v="Normal"/>
  </r>
  <r>
    <s v="CUST002"/>
    <s v="Emma Wilson"/>
    <x v="2"/>
    <x v="3"/>
    <n v="806.03"/>
    <n v="19"/>
    <n v="0.05"/>
    <d v="2024-12-12T00:00:00"/>
    <n v="268"/>
    <s v="Dec-2024"/>
    <d v="2026-02-11T15:40:33"/>
    <n v="426.65316365740728"/>
    <s v="↓"/>
    <m/>
    <m/>
    <s v="Normal"/>
  </r>
  <r>
    <s v="CUST001"/>
    <s v="Michael Anderson"/>
    <x v="4"/>
    <x v="3"/>
    <n v="1432.47"/>
    <n v="16"/>
    <n v="0.15"/>
    <d v="2024-12-14T00:00:00"/>
    <n v="426.16"/>
    <s v="Dec-2024"/>
    <d v="2026-02-11T15:40:33"/>
    <n v="424.65316365740728"/>
    <s v="↓"/>
    <m/>
    <m/>
    <s v="Normal"/>
  </r>
  <r>
    <s v="CUST027"/>
    <s v="Linda Wilson"/>
    <x v="4"/>
    <x v="2"/>
    <n v="1488.58"/>
    <n v="10"/>
    <n v="0.15"/>
    <d v="2024-12-14T00:00:00"/>
    <n v="316.32"/>
    <s v="Dec-2024"/>
    <d v="2026-02-11T15:40:33"/>
    <n v="424.65316365740728"/>
    <s v="↓"/>
    <m/>
    <m/>
    <s v="Normal"/>
  </r>
  <r>
    <s v="CUST026"/>
    <s v="Emma Taylor"/>
    <x v="1"/>
    <x v="0"/>
    <n v="1231.26"/>
    <n v="9"/>
    <n v="0"/>
    <d v="2024-12-20T00:00:00"/>
    <n v="492.5"/>
    <s v="Dec-2024"/>
    <d v="2026-02-11T15:40:33"/>
    <n v="418.65316365740728"/>
    <s v="↓"/>
    <m/>
    <m/>
    <s v="Normal"/>
  </r>
  <r>
    <s v="CUST026"/>
    <s v="Sarah Anderson"/>
    <x v="0"/>
    <x v="2"/>
    <n v="1161.67"/>
    <n v="19"/>
    <n v="0.2"/>
    <d v="2024-12-21T00:00:00"/>
    <n v="232.33"/>
    <s v="Dec-2024"/>
    <d v="2026-02-11T15:40:33"/>
    <n v="417.65316365740728"/>
    <s v="↓"/>
    <m/>
    <m/>
    <s v="Normal"/>
  </r>
  <r>
    <s v="CUST022"/>
    <s v="Lisa Thomas"/>
    <x v="4"/>
    <x v="4"/>
    <n v="388.23"/>
    <n v="16"/>
    <n v="0.05"/>
    <d v="2024-12-24T00:00:00"/>
    <n v="165.97"/>
    <s v="Dec-2024"/>
    <d v="2026-02-11T15:40:33"/>
    <n v="414.65316365740728"/>
    <s v="↓"/>
    <m/>
    <m/>
    <s v="Normal"/>
  </r>
  <r>
    <s v="CUST004"/>
    <s v="Mary Davis"/>
    <x v="3"/>
    <x v="1"/>
    <n v="1589.42"/>
    <n v="6"/>
    <n v="0.15"/>
    <d v="2024-12-25T00:00:00"/>
    <n v="675.5"/>
    <s v="Dec-2024"/>
    <d v="2026-02-11T15:40:33"/>
    <n v="413.65316365740728"/>
    <s v="↓"/>
    <m/>
    <m/>
    <s v="Normal"/>
  </r>
  <r>
    <s v="CUST001"/>
    <s v="David Anderson"/>
    <x v="3"/>
    <x v="1"/>
    <n v="336.66"/>
    <n v="13"/>
    <n v="0.2"/>
    <d v="2024-12-25T00:00:00"/>
    <n v="134.66"/>
    <s v="Dec-2024"/>
    <d v="2026-02-11T15:40:33"/>
    <n v="413.65316365740728"/>
    <s v="↓"/>
    <m/>
    <m/>
    <s v="Normal"/>
  </r>
  <r>
    <s v="CUST022"/>
    <s v="James Wilson"/>
    <x v="0"/>
    <x v="0"/>
    <n v="1353.79"/>
    <n v="14"/>
    <n v="0.1"/>
    <d v="2024-12-30T00:00:00"/>
    <n v="487.36"/>
    <s v="Dec-2024"/>
    <d v="2026-02-11T15:40:33"/>
    <n v="408.65316365740728"/>
    <s v="↓"/>
    <m/>
    <m/>
    <s v="Normal"/>
  </r>
  <r>
    <s v="CUST011"/>
    <s v="Linda Moore"/>
    <x v="4"/>
    <x v="1"/>
    <n v="662.61"/>
    <n v="11"/>
    <n v="0.05"/>
    <d v="2025-01-01T00:00:00"/>
    <n v="314.74"/>
    <s v="Jan-2025"/>
    <d v="2026-02-11T15:40:33"/>
    <n v="406.65316365740728"/>
    <s v="↓"/>
    <m/>
    <m/>
    <s v="Normal"/>
  </r>
  <r>
    <s v="CUST028"/>
    <s v="Lisa Davis"/>
    <x v="3"/>
    <x v="4"/>
    <n v="309.42"/>
    <n v="1"/>
    <n v="0.2"/>
    <d v="2025-01-01T00:00:00"/>
    <n v="111.39"/>
    <s v="Jan-2025"/>
    <d v="2026-02-11T15:40:33"/>
    <n v="406.65316365740728"/>
    <s v="↓"/>
    <m/>
    <m/>
    <s v="Normal"/>
  </r>
  <r>
    <s v="CUST011"/>
    <s v="Linda Wilson"/>
    <x v="3"/>
    <x v="0"/>
    <n v="884.63"/>
    <n v="18"/>
    <n v="0.1"/>
    <d v="2025-01-02T00:00:00"/>
    <n v="318.47000000000003"/>
    <s v="Jan-2025"/>
    <d v="2026-02-11T15:40:33"/>
    <n v="405.65316354166862"/>
    <s v="↓"/>
    <m/>
    <m/>
    <s v="Normal"/>
  </r>
  <r>
    <s v="CUST028"/>
    <s v="James Wilson"/>
    <x v="4"/>
    <x v="4"/>
    <n v="745.05"/>
    <n v="10"/>
    <n v="0.1"/>
    <d v="2025-01-03T00:00:00"/>
    <n v="301.75"/>
    <s v="Jan-2025"/>
    <d v="2026-02-11T15:40:33"/>
    <n v="404.65316354166862"/>
    <s v="↓"/>
    <m/>
    <m/>
    <s v="Normal"/>
  </r>
  <r>
    <s v="CUST016"/>
    <s v="James Taylor"/>
    <x v="2"/>
    <x v="1"/>
    <n v="870.23"/>
    <n v="5"/>
    <n v="0.05"/>
    <d v="2025-01-03T00:00:00"/>
    <n v="413.36"/>
    <s v="Jan-2025"/>
    <d v="2026-02-11T15:40:33"/>
    <n v="404.65316354166862"/>
    <s v="↓"/>
    <m/>
    <m/>
    <s v="Normal"/>
  </r>
  <r>
    <s v="CUST010"/>
    <s v="Linda Wilson"/>
    <x v="0"/>
    <x v="3"/>
    <n v="862.19"/>
    <n v="18"/>
    <n v="0.05"/>
    <d v="2025-01-06T00:00:00"/>
    <n v="286.68"/>
    <s v="Jan-2025"/>
    <d v="2026-02-11T15:40:33"/>
    <n v="401.65316354166862"/>
    <s v="↓"/>
    <m/>
    <m/>
    <s v="Normal"/>
  </r>
  <r>
    <s v="CUST013"/>
    <s v="Mary Wilson"/>
    <x v="3"/>
    <x v="1"/>
    <n v="1171.18"/>
    <n v="19"/>
    <n v="0.05"/>
    <d v="2025-01-10T00:00:00"/>
    <n v="556.30999999999995"/>
    <s v="Jan-2025"/>
    <d v="2026-02-11T15:40:33"/>
    <n v="397.65316365740728"/>
    <s v="↓"/>
    <m/>
    <m/>
    <s v="Normal"/>
  </r>
  <r>
    <s v="CUST015"/>
    <s v="Robert Anderson"/>
    <x v="2"/>
    <x v="3"/>
    <n v="1054.56"/>
    <n v="11"/>
    <n v="0.1"/>
    <d v="2025-01-12T00:00:00"/>
    <n v="332.19"/>
    <s v="Jan-2025"/>
    <d v="2026-02-11T15:40:33"/>
    <n v="395.65316365740728"/>
    <s v="↓"/>
    <m/>
    <m/>
    <s v="Normal"/>
  </r>
  <r>
    <s v="CUST015"/>
    <s v="James Wilson"/>
    <x v="3"/>
    <x v="2"/>
    <n v="1681.21"/>
    <n v="5"/>
    <n v="0.2"/>
    <d v="2025-01-13T00:00:00"/>
    <n v="336.24"/>
    <s v="Jan-2025"/>
    <d v="2026-02-11T15:40:33"/>
    <n v="394.65316365740728"/>
    <s v="↓"/>
    <m/>
    <m/>
    <s v="Normal"/>
  </r>
  <r>
    <s v="CUST015"/>
    <s v="David Thomas"/>
    <x v="0"/>
    <x v="1"/>
    <n v="379.77"/>
    <n v="9"/>
    <n v="0.05"/>
    <d v="2025-01-16T00:00:00"/>
    <n v="180.39"/>
    <s v="Jan-2025"/>
    <d v="2026-02-11T15:40:33"/>
    <n v="391.65316365740728"/>
    <s v="↓"/>
    <m/>
    <m/>
    <s v="Normal"/>
  </r>
  <r>
    <s v="CUST008"/>
    <s v="Lisa Thomas"/>
    <x v="4"/>
    <x v="1"/>
    <n v="1076.33"/>
    <n v="2"/>
    <n v="0.1"/>
    <d v="2025-01-17T00:00:00"/>
    <n v="484.35"/>
    <s v="Jan-2025"/>
    <d v="2026-02-11T15:40:33"/>
    <n v="390.65316365740728"/>
    <s v="↓"/>
    <m/>
    <m/>
    <s v="Normal"/>
  </r>
  <r>
    <s v="CUST008"/>
    <s v="Mary Davis"/>
    <x v="4"/>
    <x v="4"/>
    <n v="1250.71"/>
    <n v="7"/>
    <n v="0"/>
    <d v="2025-01-17T00:00:00"/>
    <n v="562.82000000000005"/>
    <s v="Jan-2025"/>
    <d v="2026-02-11T15:40:33"/>
    <n v="390.65316365740728"/>
    <s v="↓"/>
    <m/>
    <m/>
    <s v="Normal"/>
  </r>
  <r>
    <s v="CUST023"/>
    <s v="James Taylor"/>
    <x v="2"/>
    <x v="1"/>
    <n v="1118.3399999999999"/>
    <n v="6"/>
    <n v="0.2"/>
    <d v="2025-01-17T00:00:00"/>
    <n v="447.34"/>
    <s v="Jan-2025"/>
    <d v="2026-02-11T15:40:33"/>
    <n v="390.65316365740728"/>
    <s v="↓"/>
    <m/>
    <m/>
    <s v="Normal"/>
  </r>
  <r>
    <s v="CUST024"/>
    <s v="Linda Taylor"/>
    <x v="3"/>
    <x v="1"/>
    <n v="1622.62"/>
    <n v="12"/>
    <n v="0.2"/>
    <d v="2025-01-20T00:00:00"/>
    <n v="649.04999999999995"/>
    <s v="Jan-2025"/>
    <d v="2026-02-11T15:40:33"/>
    <n v="387.65316365740728"/>
    <s v="↓"/>
    <m/>
    <m/>
    <s v="Normal"/>
  </r>
  <r>
    <s v="CUST018"/>
    <s v="Lisa Davis"/>
    <x v="3"/>
    <x v="0"/>
    <n v="640.64"/>
    <n v="11"/>
    <n v="0.2"/>
    <d v="2025-01-21T00:00:00"/>
    <n v="205"/>
    <s v="Jan-2025"/>
    <d v="2026-02-11T15:40:33"/>
    <n v="386.65316365740728"/>
    <s v="↓"/>
    <m/>
    <m/>
    <s v="Normal"/>
  </r>
  <r>
    <s v="CUST030"/>
    <s v="Sarah Anderson"/>
    <x v="0"/>
    <x v="1"/>
    <n v="585.16"/>
    <n v="17"/>
    <n v="0.1"/>
    <d v="2025-01-27T00:00:00"/>
    <n v="263.32"/>
    <s v="Jan-2025"/>
    <d v="2026-02-11T15:40:33"/>
    <n v="380.65316365740728"/>
    <s v="↓"/>
    <m/>
    <m/>
    <s v="Normal"/>
  </r>
  <r>
    <s v="CUST030"/>
    <s v="Mary Davis"/>
    <x v="1"/>
    <x v="1"/>
    <n v="1109.98"/>
    <n v="5"/>
    <n v="0.2"/>
    <d v="2025-02-02T00:00:00"/>
    <n v="443.99"/>
    <s v="Feb-2025"/>
    <d v="2026-02-11T15:40:33"/>
    <n v="374.65316365740728"/>
    <s v="↓"/>
    <m/>
    <m/>
    <s v="Normal"/>
  </r>
  <r>
    <s v="CUST015"/>
    <s v="Lisa Thomas"/>
    <x v="1"/>
    <x v="0"/>
    <n v="1098.08"/>
    <n v="9"/>
    <n v="0.1"/>
    <d v="2025-02-04T00:00:00"/>
    <n v="395.31"/>
    <s v="Feb-2025"/>
    <d v="2026-02-11T15:40:33"/>
    <n v="372.65316365740728"/>
    <s v="↓"/>
    <m/>
    <m/>
    <s v="Normal"/>
  </r>
  <r>
    <s v="CUST002"/>
    <s v="Lisa Davis"/>
    <x v="0"/>
    <x v="4"/>
    <n v="827.25"/>
    <n v="7"/>
    <n v="0.1"/>
    <d v="2025-02-05T00:00:00"/>
    <n v="335.04"/>
    <s v="Feb-2025"/>
    <d v="2026-02-11T15:40:33"/>
    <n v="371.65316354166862"/>
    <s v="↓"/>
    <m/>
    <m/>
    <s v="Normal"/>
  </r>
  <r>
    <s v="CUST024"/>
    <s v="Linda Wilson"/>
    <x v="4"/>
    <x v="1"/>
    <n v="741.88"/>
    <n v="16"/>
    <n v="0.1"/>
    <d v="2025-02-07T00:00:00"/>
    <n v="333.85"/>
    <s v="Feb-2025"/>
    <d v="2026-02-11T15:40:33"/>
    <n v="369.65316354166862"/>
    <s v="↓"/>
    <m/>
    <m/>
    <s v="Normal"/>
  </r>
  <r>
    <s v="CUST004"/>
    <s v="James Davis"/>
    <x v="1"/>
    <x v="4"/>
    <n v="1311.26"/>
    <n v="6"/>
    <n v="0.1"/>
    <d v="2025-02-10T00:00:00"/>
    <n v="531.05999999999995"/>
    <s v="Feb-2025"/>
    <d v="2026-02-11T15:40:33"/>
    <n v="366.65316354166862"/>
    <s v="↓"/>
    <m/>
    <m/>
    <s v="Normal"/>
  </r>
  <r>
    <s v="CUST004"/>
    <s v="Mary Davis"/>
    <x v="2"/>
    <x v="4"/>
    <n v="573.32000000000005"/>
    <n v="19"/>
    <n v="0.1"/>
    <d v="2025-02-15T00:00:00"/>
    <n v="232.19"/>
    <s v="Feb-2025"/>
    <d v="2026-02-11T15:40:33"/>
    <n v="361.65316354166862"/>
    <s v="↓"/>
    <m/>
    <m/>
    <s v="Normal"/>
  </r>
  <r>
    <s v="CUST028"/>
    <s v="James Wilson"/>
    <x v="0"/>
    <x v="2"/>
    <n v="1115.22"/>
    <n v="14"/>
    <n v="0.2"/>
    <d v="2025-02-17T00:00:00"/>
    <n v="223.04"/>
    <s v="Feb-2025"/>
    <d v="2026-02-11T15:40:33"/>
    <n v="359.65316365740728"/>
    <s v="↓"/>
    <m/>
    <m/>
    <s v="Normal"/>
  </r>
  <r>
    <s v="CUST012"/>
    <s v="Lisa Thomas"/>
    <x v="3"/>
    <x v="1"/>
    <n v="845.84"/>
    <n v="4"/>
    <n v="0"/>
    <d v="2025-02-19T00:00:00"/>
    <n v="422.92"/>
    <s v="Feb-2025"/>
    <d v="2026-02-11T15:40:33"/>
    <n v="357.65316365740728"/>
    <s v="↓"/>
    <m/>
    <m/>
    <s v="Normal"/>
  </r>
  <r>
    <s v="CUST026"/>
    <s v="David Brown"/>
    <x v="0"/>
    <x v="2"/>
    <n v="1029.8"/>
    <n v="3"/>
    <n v="0"/>
    <d v="2025-02-20T00:00:00"/>
    <n v="257.45"/>
    <s v="Feb-2025"/>
    <d v="2026-02-11T15:40:33"/>
    <n v="356.65316365740728"/>
    <s v="↓"/>
    <m/>
    <m/>
    <s v="Normal"/>
  </r>
  <r>
    <s v="CUST009"/>
    <s v="Mary Davis"/>
    <x v="3"/>
    <x v="0"/>
    <n v="1189.83"/>
    <n v="2"/>
    <n v="0.2"/>
    <d v="2025-02-21T00:00:00"/>
    <n v="380.75"/>
    <s v="Feb-2025"/>
    <d v="2026-02-11T15:40:33"/>
    <n v="355.65316365740728"/>
    <s v="↓"/>
    <m/>
    <m/>
    <s v="Normal"/>
  </r>
  <r>
    <s v="CUST003"/>
    <s v="Sarah Anderson"/>
    <x v="2"/>
    <x v="0"/>
    <n v="704.28"/>
    <n v="15"/>
    <n v="0.2"/>
    <d v="2025-02-24T00:00:00"/>
    <n v="225.37"/>
    <s v="Feb-2025"/>
    <d v="2026-02-11T15:40:33"/>
    <n v="352.65316365740728"/>
    <s v="↓"/>
    <m/>
    <m/>
    <s v="Normal"/>
  </r>
  <r>
    <s v="CUST002"/>
    <s v="Mary Jackson"/>
    <x v="4"/>
    <x v="4"/>
    <n v="1618.22"/>
    <n v="12"/>
    <n v="0.2"/>
    <d v="2025-02-24T00:00:00"/>
    <n v="582.55999999999995"/>
    <s v="Feb-2025"/>
    <d v="2026-02-11T15:40:33"/>
    <n v="352.65316365740728"/>
    <s v="↓"/>
    <m/>
    <m/>
    <s v="Normal"/>
  </r>
  <r>
    <s v="CUST013"/>
    <s v="Linda Taylor"/>
    <x v="4"/>
    <x v="0"/>
    <n v="1014.43"/>
    <n v="2"/>
    <n v="0.15"/>
    <d v="2025-02-25T00:00:00"/>
    <n v="344.91"/>
    <s v="Feb-2025"/>
    <d v="2026-02-11T15:40:33"/>
    <n v="351.65316365740728"/>
    <s v="↓"/>
    <m/>
    <m/>
    <s v="Normal"/>
  </r>
  <r>
    <s v="CUST018"/>
    <s v="Mary Davis"/>
    <x v="4"/>
    <x v="1"/>
    <n v="826.97"/>
    <n v="18"/>
    <n v="0.2"/>
    <d v="2025-02-27T00:00:00"/>
    <n v="330.79"/>
    <s v="Feb-2025"/>
    <d v="2026-02-11T15:40:33"/>
    <n v="349.65316365740728"/>
    <s v="↓"/>
    <m/>
    <m/>
    <s v="Normal"/>
  </r>
  <r>
    <s v="CUST017"/>
    <s v="Mary Davis"/>
    <x v="4"/>
    <x v="1"/>
    <n v="1022.23"/>
    <n v="8"/>
    <n v="0.1"/>
    <d v="2025-03-01T00:00:00"/>
    <n v="460"/>
    <s v="Mar-2025"/>
    <d v="2026-02-11T15:40:33"/>
    <n v="347.65316365740728"/>
    <s v="↓"/>
    <m/>
    <m/>
    <s v="Normal"/>
  </r>
  <r>
    <s v="CUST004"/>
    <s v="Linda Wilson"/>
    <x v="1"/>
    <x v="0"/>
    <n v="1099.69"/>
    <n v="6"/>
    <n v="0"/>
    <d v="2025-03-02T00:00:00"/>
    <n v="439.88"/>
    <s v="Mar-2025"/>
    <d v="2026-02-11T15:40:33"/>
    <n v="346.65316365740728"/>
    <s v="↓"/>
    <m/>
    <m/>
    <s v="Normal"/>
  </r>
  <r>
    <s v="CUST028"/>
    <s v="Sarah Davis"/>
    <x v="3"/>
    <x v="0"/>
    <n v="710.52"/>
    <n v="8"/>
    <n v="0.1"/>
    <d v="2025-03-05T00:00:00"/>
    <n v="255.79"/>
    <s v="Mar-2025"/>
    <d v="2026-02-11T15:40:33"/>
    <n v="343.65316365740728"/>
    <s v="↓"/>
    <m/>
    <m/>
    <s v="Normal"/>
  </r>
  <r>
    <s v="CUST028"/>
    <s v="Mary Wilson"/>
    <x v="3"/>
    <x v="0"/>
    <n v="499.18"/>
    <n v="15"/>
    <n v="0.2"/>
    <d v="2025-03-08T00:00:00"/>
    <n v="159.74"/>
    <s v="Mar-2025"/>
    <d v="2026-02-11T15:40:33"/>
    <n v="340.65316365740728"/>
    <s v="↓"/>
    <m/>
    <m/>
    <s v="Normal"/>
  </r>
  <r>
    <s v="CUST014"/>
    <s v="Emma Davis"/>
    <x v="2"/>
    <x v="0"/>
    <n v="1064.19"/>
    <n v="18"/>
    <n v="0.05"/>
    <d v="2025-03-09T00:00:00"/>
    <n v="404.39"/>
    <s v="Mar-2025"/>
    <d v="2026-02-11T15:40:33"/>
    <n v="339.65316354166862"/>
    <s v="↓"/>
    <m/>
    <m/>
    <s v="Normal"/>
  </r>
  <r>
    <s v="CUST003"/>
    <s v="Emma Davis"/>
    <x v="1"/>
    <x v="4"/>
    <n v="438.76"/>
    <n v="18"/>
    <n v="0.05"/>
    <d v="2025-03-10T00:00:00"/>
    <n v="187.57"/>
    <s v="Mar-2025"/>
    <d v="2026-02-11T15:40:33"/>
    <n v="338.65316354166862"/>
    <s v="↓"/>
    <m/>
    <m/>
    <s v="Normal"/>
  </r>
  <r>
    <s v="CUST029"/>
    <s v="David Brown"/>
    <x v="0"/>
    <x v="1"/>
    <n v="864.98"/>
    <n v="2"/>
    <n v="0.05"/>
    <d v="2025-03-11T00:00:00"/>
    <n v="410.87"/>
    <s v="Mar-2025"/>
    <d v="2026-02-11T15:40:33"/>
    <n v="337.65316354166862"/>
    <s v="↓"/>
    <m/>
    <m/>
    <s v="Normal"/>
  </r>
  <r>
    <s v="CUST021"/>
    <s v="David Brown"/>
    <x v="0"/>
    <x v="3"/>
    <n v="984.93"/>
    <n v="14"/>
    <n v="0.2"/>
    <d v="2025-03-17T00:00:00"/>
    <n v="275.77999999999997"/>
    <s v="Mar-2025"/>
    <d v="2026-02-11T15:40:33"/>
    <n v="331.65316354166862"/>
    <s v="↓"/>
    <m/>
    <m/>
    <s v="Normal"/>
  </r>
  <r>
    <s v="CUST007"/>
    <s v="David Brown"/>
    <x v="0"/>
    <x v="1"/>
    <n v="1493.49"/>
    <n v="18"/>
    <n v="0"/>
    <d v="2025-03-18T00:00:00"/>
    <n v="746.74"/>
    <s v="Mar-2025"/>
    <d v="2026-02-11T15:40:33"/>
    <n v="330.65316365740728"/>
    <s v="↓"/>
    <m/>
    <m/>
    <s v="Normal"/>
  </r>
  <r>
    <s v="CUST009"/>
    <s v="Linda Taylor"/>
    <x v="2"/>
    <x v="1"/>
    <n v="689.43"/>
    <n v="9"/>
    <n v="0.1"/>
    <d v="2025-03-20T00:00:00"/>
    <n v="310.24"/>
    <s v="Mar-2025"/>
    <d v="2026-02-11T15:40:33"/>
    <n v="328.65316365740728"/>
    <s v="↓"/>
    <m/>
    <m/>
    <s v="Normal"/>
  </r>
  <r>
    <s v="CUST023"/>
    <s v="Mary Wilson"/>
    <x v="2"/>
    <x v="1"/>
    <n v="682.24"/>
    <n v="1"/>
    <n v="0"/>
    <d v="2025-03-22T00:00:00"/>
    <n v="341.12"/>
    <s v="Mar-2025"/>
    <d v="2026-02-11T15:40:33"/>
    <n v="326.65316365740728"/>
    <s v="↓"/>
    <m/>
    <m/>
    <s v="Normal"/>
  </r>
  <r>
    <s v="CUST029"/>
    <s v="Michael Anderson"/>
    <x v="3"/>
    <x v="2"/>
    <n v="458.54"/>
    <n v="15"/>
    <n v="0.2"/>
    <d v="2025-03-25T00:00:00"/>
    <n v="91.71"/>
    <s v="Mar-2025"/>
    <d v="2026-02-11T15:40:33"/>
    <n v="323.65316365740728"/>
    <s v="↓"/>
    <m/>
    <m/>
    <s v="Normal"/>
  </r>
  <r>
    <s v="CUST009"/>
    <s v="Michael Anderson"/>
    <x v="2"/>
    <x v="3"/>
    <n v="1184.25"/>
    <n v="11"/>
    <n v="0.2"/>
    <d v="2025-03-26T00:00:00"/>
    <n v="331.59"/>
    <s v="Mar-2025"/>
    <d v="2026-02-11T15:40:33"/>
    <n v="322.65316365740728"/>
    <s v="↓"/>
    <m/>
    <m/>
    <s v="Normal"/>
  </r>
  <r>
    <s v="CUST007"/>
    <s v="James Davis"/>
    <x v="2"/>
    <x v="1"/>
    <n v="762.14"/>
    <n v="9"/>
    <n v="0"/>
    <d v="2025-03-27T00:00:00"/>
    <n v="381.07"/>
    <s v="Mar-2025"/>
    <d v="2026-02-11T15:40:33"/>
    <n v="321.65316365740728"/>
    <s v="↓"/>
    <m/>
    <m/>
    <s v="Normal"/>
  </r>
  <r>
    <s v="CUST030"/>
    <s v="Linda Taylor"/>
    <x v="3"/>
    <x v="0"/>
    <n v="750.71"/>
    <n v="10"/>
    <n v="0.15"/>
    <d v="2025-03-27T00:00:00"/>
    <n v="255.24"/>
    <s v="Mar-2025"/>
    <d v="2026-02-11T15:40:33"/>
    <n v="321.65316365740728"/>
    <s v="↓"/>
    <m/>
    <m/>
    <s v="Normal"/>
  </r>
  <r>
    <s v="CUST018"/>
    <s v="David Anderson"/>
    <x v="4"/>
    <x v="1"/>
    <n v="1456.94"/>
    <n v="14"/>
    <n v="0.05"/>
    <d v="2025-03-29T00:00:00"/>
    <n v="692.05"/>
    <s v="Mar-2025"/>
    <d v="2026-02-11T15:40:33"/>
    <n v="319.65316365740728"/>
    <s v="↓"/>
    <m/>
    <m/>
    <s v="Normal"/>
  </r>
  <r>
    <s v="CUST008"/>
    <s v="Emma Wilson"/>
    <x v="1"/>
    <x v="3"/>
    <n v="1093.3800000000001"/>
    <n v="17"/>
    <n v="0.1"/>
    <d v="2025-03-29T00:00:00"/>
    <n v="344.41"/>
    <s v="Mar-2025"/>
    <d v="2026-02-11T15:40:33"/>
    <n v="319.65316365740728"/>
    <s v="↓"/>
    <m/>
    <m/>
    <s v="Normal"/>
  </r>
  <r>
    <s v="CUST014"/>
    <s v="Sarah Anderson"/>
    <x v="0"/>
    <x v="1"/>
    <n v="934.27"/>
    <n v="8"/>
    <n v="0.15"/>
    <d v="2025-03-30T00:00:00"/>
    <n v="397.06"/>
    <s v="Mar-2025"/>
    <d v="2026-02-11T15:40:33"/>
    <n v="318.65316365740728"/>
    <s v="↓"/>
    <m/>
    <m/>
    <s v="Normal"/>
  </r>
  <r>
    <s v="CUST024"/>
    <s v="David Thomas"/>
    <x v="4"/>
    <x v="1"/>
    <n v="1465.35"/>
    <n v="8"/>
    <n v="0.2"/>
    <d v="2025-03-30T00:00:00"/>
    <n v="586.14"/>
    <s v="Mar-2025"/>
    <d v="2026-02-11T15:40:33"/>
    <n v="318.65316365740728"/>
    <s v="↓"/>
    <m/>
    <m/>
    <s v="Normal"/>
  </r>
  <r>
    <s v="CUST028"/>
    <s v="Robert Anderson"/>
    <x v="2"/>
    <x v="4"/>
    <n v="740.8"/>
    <n v="3"/>
    <n v="0"/>
    <d v="2025-04-02T00:00:00"/>
    <n v="333.36"/>
    <s v="Apr-2025"/>
    <d v="2026-02-11T15:40:33"/>
    <n v="315.65316365740728"/>
    <s v="↓"/>
    <m/>
    <m/>
    <s v="Normal"/>
  </r>
  <r>
    <s v="CUST015"/>
    <s v="Sarah Anderson"/>
    <x v="0"/>
    <x v="4"/>
    <n v="545.44000000000005"/>
    <n v="17"/>
    <n v="0"/>
    <d v="2025-04-05T00:00:00"/>
    <n v="245.45"/>
    <s v="Apr-2025"/>
    <d v="2026-02-11T15:40:33"/>
    <n v="312.65316354166862"/>
    <s v="↓"/>
    <m/>
    <m/>
    <s v="Normal"/>
  </r>
  <r>
    <s v="CUST010"/>
    <s v="David Thomas"/>
    <x v="1"/>
    <x v="0"/>
    <n v="997.61"/>
    <n v="8"/>
    <n v="0.05"/>
    <d v="2025-04-05T00:00:00"/>
    <n v="379.09"/>
    <s v="Apr-2025"/>
    <d v="2026-02-11T15:40:33"/>
    <n v="312.65316354166862"/>
    <s v="↓"/>
    <m/>
    <m/>
    <s v="Normal"/>
  </r>
  <r>
    <s v="CUST016"/>
    <s v="David Thomas"/>
    <x v="2"/>
    <x v="1"/>
    <n v="928.32"/>
    <n v="2"/>
    <n v="0.05"/>
    <d v="2025-04-07T00:00:00"/>
    <n v="440.95"/>
    <m/>
    <d v="2026-02-11T15:40:33"/>
    <n v="310.65316354166862"/>
    <s v="↓"/>
    <m/>
    <m/>
    <s v="Normal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71B4729-9572-42FD-A738-E0E526020584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G10" firstHeaderRow="1" firstDataRow="2" firstDataCol="1"/>
  <pivotFields count="16">
    <pivotField showAll="0"/>
    <pivotField showAll="0"/>
    <pivotField axis="axisRow" showAll="0">
      <items count="6">
        <item x="4"/>
        <item x="1"/>
        <item x="3"/>
        <item x="2"/>
        <item x="0"/>
        <item t="default"/>
      </items>
    </pivotField>
    <pivotField axis="axisCol" showAll="0">
      <items count="6">
        <item x="0"/>
        <item x="1"/>
        <item x="2"/>
        <item x="3"/>
        <item x="4"/>
        <item t="default"/>
      </items>
    </pivotField>
    <pivotField dataField="1" showAll="0"/>
    <pivotField showAll="0"/>
    <pivotField showAll="0"/>
    <pivotField numFmtId="14" showAll="0"/>
    <pivotField showAll="0"/>
    <pivotField showAll="0"/>
    <pivotField numFmtId="22" showAll="0"/>
    <pivotField showAll="0"/>
    <pivotField showAll="0"/>
    <pivotField showAll="0"/>
    <pivotField showAll="0"/>
    <pivotField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3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Sales" fld="4" baseField="0" baseItem="0"/>
  </dataFields>
  <chartFormats count="30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1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1" format="5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3" count="1" selected="0">
            <x v="0"/>
          </reference>
        </references>
      </pivotArea>
    </chartFormat>
    <chartFormat chart="1" format="6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3" count="1" selected="0">
            <x v="0"/>
          </reference>
        </references>
      </pivotArea>
    </chartFormat>
    <chartFormat chart="1" format="7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3" count="1" selected="0">
            <x v="0"/>
          </reference>
        </references>
      </pivotArea>
    </chartFormat>
    <chartFormat chart="1" format="8">
      <pivotArea type="data" outline="0" fieldPosition="0">
        <references count="3">
          <reference field="4294967294" count="1" selected="0">
            <x v="0"/>
          </reference>
          <reference field="2" count="1" selected="0">
            <x v="3"/>
          </reference>
          <reference field="3" count="1" selected="0">
            <x v="0"/>
          </reference>
        </references>
      </pivotArea>
    </chartFormat>
    <chartFormat chart="1" format="9">
      <pivotArea type="data" outline="0" fieldPosition="0">
        <references count="3">
          <reference field="4294967294" count="1" selected="0">
            <x v="0"/>
          </reference>
          <reference field="2" count="1" selected="0">
            <x v="4"/>
          </reference>
          <reference field="3" count="1" selected="0">
            <x v="0"/>
          </reference>
        </references>
      </pivotArea>
    </chartFormat>
    <chartFormat chart="1" format="10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3" count="1" selected="0">
            <x v="1"/>
          </reference>
        </references>
      </pivotArea>
    </chartFormat>
    <chartFormat chart="1" format="11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3" count="1" selected="0">
            <x v="1"/>
          </reference>
        </references>
      </pivotArea>
    </chartFormat>
    <chartFormat chart="1" format="12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3" count="1" selected="0">
            <x v="1"/>
          </reference>
        </references>
      </pivotArea>
    </chartFormat>
    <chartFormat chart="1" format="13">
      <pivotArea type="data" outline="0" fieldPosition="0">
        <references count="3">
          <reference field="4294967294" count="1" selected="0">
            <x v="0"/>
          </reference>
          <reference field="2" count="1" selected="0">
            <x v="3"/>
          </reference>
          <reference field="3" count="1" selected="0">
            <x v="1"/>
          </reference>
        </references>
      </pivotArea>
    </chartFormat>
    <chartFormat chart="1" format="14">
      <pivotArea type="data" outline="0" fieldPosition="0">
        <references count="3">
          <reference field="4294967294" count="1" selected="0">
            <x v="0"/>
          </reference>
          <reference field="2" count="1" selected="0">
            <x v="4"/>
          </reference>
          <reference field="3" count="1" selected="0">
            <x v="1"/>
          </reference>
        </references>
      </pivotArea>
    </chartFormat>
    <chartFormat chart="1" format="15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3" count="1" selected="0">
            <x v="2"/>
          </reference>
        </references>
      </pivotArea>
    </chartFormat>
    <chartFormat chart="1" format="16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3" count="1" selected="0">
            <x v="2"/>
          </reference>
        </references>
      </pivotArea>
    </chartFormat>
    <chartFormat chart="1" format="17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3" count="1" selected="0">
            <x v="2"/>
          </reference>
        </references>
      </pivotArea>
    </chartFormat>
    <chartFormat chart="1" format="18">
      <pivotArea type="data" outline="0" fieldPosition="0">
        <references count="3">
          <reference field="4294967294" count="1" selected="0">
            <x v="0"/>
          </reference>
          <reference field="2" count="1" selected="0">
            <x v="3"/>
          </reference>
          <reference field="3" count="1" selected="0">
            <x v="2"/>
          </reference>
        </references>
      </pivotArea>
    </chartFormat>
    <chartFormat chart="1" format="19">
      <pivotArea type="data" outline="0" fieldPosition="0">
        <references count="3">
          <reference field="4294967294" count="1" selected="0">
            <x v="0"/>
          </reference>
          <reference field="2" count="1" selected="0">
            <x v="4"/>
          </reference>
          <reference field="3" count="1" selected="0">
            <x v="2"/>
          </reference>
        </references>
      </pivotArea>
    </chartFormat>
    <chartFormat chart="1" format="20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3" count="1" selected="0">
            <x v="3"/>
          </reference>
        </references>
      </pivotArea>
    </chartFormat>
    <chartFormat chart="1" format="21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3" count="1" selected="0">
            <x v="3"/>
          </reference>
        </references>
      </pivotArea>
    </chartFormat>
    <chartFormat chart="1" format="22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3" count="1" selected="0">
            <x v="3"/>
          </reference>
        </references>
      </pivotArea>
    </chartFormat>
    <chartFormat chart="1" format="23">
      <pivotArea type="data" outline="0" fieldPosition="0">
        <references count="3">
          <reference field="4294967294" count="1" selected="0">
            <x v="0"/>
          </reference>
          <reference field="2" count="1" selected="0">
            <x v="3"/>
          </reference>
          <reference field="3" count="1" selected="0">
            <x v="3"/>
          </reference>
        </references>
      </pivotArea>
    </chartFormat>
    <chartFormat chart="1" format="24">
      <pivotArea type="data" outline="0" fieldPosition="0">
        <references count="3">
          <reference field="4294967294" count="1" selected="0">
            <x v="0"/>
          </reference>
          <reference field="2" count="1" selected="0">
            <x v="4"/>
          </reference>
          <reference field="3" count="1" selected="0">
            <x v="3"/>
          </reference>
        </references>
      </pivotArea>
    </chartFormat>
    <chartFormat chart="1" format="25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3" count="1" selected="0">
            <x v="4"/>
          </reference>
        </references>
      </pivotArea>
    </chartFormat>
    <chartFormat chart="1" format="26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3" count="1" selected="0">
            <x v="4"/>
          </reference>
        </references>
      </pivotArea>
    </chartFormat>
    <chartFormat chart="1" format="27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3" count="1" selected="0">
            <x v="4"/>
          </reference>
        </references>
      </pivotArea>
    </chartFormat>
    <chartFormat chart="1" format="28">
      <pivotArea type="data" outline="0" fieldPosition="0">
        <references count="3">
          <reference field="4294967294" count="1" selected="0">
            <x v="0"/>
          </reference>
          <reference field="2" count="1" selected="0">
            <x v="3"/>
          </reference>
          <reference field="3" count="1" selected="0">
            <x v="4"/>
          </reference>
        </references>
      </pivotArea>
    </chartFormat>
    <chartFormat chart="1" format="29">
      <pivotArea type="data" outline="0" fieldPosition="0">
        <references count="3">
          <reference field="4294967294" count="1" selected="0">
            <x v="0"/>
          </reference>
          <reference field="2" count="1" selected="0">
            <x v="4"/>
          </reference>
          <reference field="3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0F64E3E-303E-432C-A096-3921F2E8E803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1:B37" firstHeaderRow="1" firstDataRow="1" firstDataCol="1"/>
  <pivotFields count="16">
    <pivotField showAll="0"/>
    <pivotField showAll="0"/>
    <pivotField axis="axisRow" showAll="0">
      <items count="6">
        <item x="4"/>
        <item x="1"/>
        <item x="3"/>
        <item x="2"/>
        <item x="0"/>
        <item t="default"/>
      </items>
    </pivotField>
    <pivotField showAll="0"/>
    <pivotField dataField="1" showAll="0"/>
    <pivotField showAll="0"/>
    <pivotField showAll="0"/>
    <pivotField numFmtId="14" showAll="0"/>
    <pivotField showAll="0"/>
    <pivotField showAll="0"/>
    <pivotField numFmtId="22" showAll="0"/>
    <pivotField showAll="0"/>
    <pivotField showAll="0"/>
    <pivotField showAll="0"/>
    <pivotField showAll="0"/>
    <pivotField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Sale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40738B-B9F1-4032-87BB-73181ACB1575}">
  <dimension ref="A1:AB201"/>
  <sheetViews>
    <sheetView tabSelected="1" topLeftCell="P1" zoomScale="118" zoomScaleNormal="100" workbookViewId="0">
      <selection activeCell="T7" sqref="T7"/>
    </sheetView>
  </sheetViews>
  <sheetFormatPr defaultRowHeight="14.4" x14ac:dyDescent="0.3"/>
  <cols>
    <col min="1" max="1" width="14.5546875" customWidth="1"/>
    <col min="2" max="2" width="15.88671875" customWidth="1"/>
    <col min="4" max="4" width="18.33203125" customWidth="1"/>
    <col min="8" max="8" width="11.6640625" customWidth="1"/>
    <col min="11" max="11" width="15.33203125" bestFit="1" customWidth="1"/>
    <col min="12" max="12" width="20" customWidth="1"/>
    <col min="13" max="13" width="21.6640625" style="11" customWidth="1"/>
    <col min="14" max="14" width="20.44140625" customWidth="1"/>
    <col min="15" max="15" width="18.77734375" customWidth="1"/>
    <col min="16" max="16" width="16.6640625" customWidth="1"/>
    <col min="17" max="17" width="9.77734375" customWidth="1"/>
    <col min="18" max="18" width="12.6640625" customWidth="1"/>
    <col min="19" max="19" width="12.88671875" customWidth="1"/>
    <col min="20" max="20" width="11.109375" customWidth="1"/>
    <col min="27" max="27" width="12.6640625" customWidth="1"/>
    <col min="28" max="28" width="15.77734375" customWidth="1"/>
  </cols>
  <sheetData>
    <row r="1" spans="1:28" ht="43.8" customHeight="1" thickBot="1" x14ac:dyDescent="0.35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120</v>
      </c>
      <c r="K1" s="10" t="s">
        <v>115</v>
      </c>
      <c r="L1" s="10" t="s">
        <v>118</v>
      </c>
      <c r="M1" s="10" t="s">
        <v>119</v>
      </c>
      <c r="N1" s="12" t="s">
        <v>121</v>
      </c>
      <c r="O1" s="13" t="s">
        <v>122</v>
      </c>
      <c r="P1" s="13" t="s">
        <v>123</v>
      </c>
      <c r="Q1" s="13" t="s">
        <v>126</v>
      </c>
      <c r="R1" s="13" t="s">
        <v>127</v>
      </c>
      <c r="S1" s="13" t="s">
        <v>128</v>
      </c>
      <c r="T1" s="13" t="s">
        <v>129</v>
      </c>
      <c r="U1" s="13" t="s">
        <v>130</v>
      </c>
      <c r="Z1" s="15"/>
      <c r="AA1" s="15"/>
    </row>
    <row r="2" spans="1:28" ht="19.8" customHeight="1" thickBot="1" x14ac:dyDescent="0.35">
      <c r="A2" s="1" t="s">
        <v>9</v>
      </c>
      <c r="B2" s="1" t="s">
        <v>10</v>
      </c>
      <c r="C2" s="1" t="s">
        <v>11</v>
      </c>
      <c r="D2" s="1" t="s">
        <v>12</v>
      </c>
      <c r="E2" s="2">
        <v>1036.0899999999999</v>
      </c>
      <c r="F2" s="2">
        <v>4</v>
      </c>
      <c r="G2" s="2">
        <v>0.2</v>
      </c>
      <c r="H2" s="3">
        <v>45392</v>
      </c>
      <c r="I2" s="2">
        <v>331.55</v>
      </c>
      <c r="J2" t="str" cm="1">
        <f t="array" ref="J2:J200">TEXT(H2:H200,"mmm-yyyy")</f>
        <v>Apr-2024</v>
      </c>
      <c r="K2" s="9">
        <f ca="1">NOW()</f>
        <v>46066.577718749999</v>
      </c>
      <c r="L2" cm="1">
        <f t="array" aca="1" ref="L2:L201" ca="1">K2:K201 - H2:H201</f>
        <v>674.57771874999889</v>
      </c>
      <c r="M2" s="11" t="str" cm="1">
        <f t="array" aca="1" ref="M2:M201" ca="1">IF(K2:K201-H2:H201&gt;500,"↑", IF(K2:K201-H2:H201&lt;499,"↓", "→"))</f>
        <v>↑</v>
      </c>
      <c r="N2" t="str" cm="1">
        <f t="array" ref="N2">_xlfn.UNIQUE(_xlfn._xlws.FILTER(B2:B201, E2:E201&gt;1800))</f>
        <v>James Wilson</v>
      </c>
      <c r="O2" s="11" t="str">
        <f>IFERROR(INDEX(I2:I300, MATCH(H2, A2:A300, 0)), "NOT FOUND")</f>
        <v>NOT FOUND</v>
      </c>
      <c r="P2" s="11" t="str">
        <f>IF(SUMIF(B:B,H2,E:E)&gt;500,"High Value","Normal")</f>
        <v>Normal</v>
      </c>
      <c r="Q2" s="15">
        <f>(ROW(A1)-1)*5%</f>
        <v>0</v>
      </c>
      <c r="R2" s="16">
        <f>E2*(1-$Z$1)</f>
        <v>1036.0899999999999</v>
      </c>
      <c r="S2" s="16">
        <f>SUM(R2:R201)</f>
        <v>195217.75999999992</v>
      </c>
      <c r="T2" s="15"/>
      <c r="U2" s="16">
        <f>R201</f>
        <v>928.32</v>
      </c>
      <c r="AA2" s="15"/>
      <c r="AB2" s="16"/>
    </row>
    <row r="3" spans="1:28" ht="19.2" customHeight="1" thickBot="1" x14ac:dyDescent="0.35">
      <c r="A3" s="1" t="s">
        <v>13</v>
      </c>
      <c r="B3" s="1" t="s">
        <v>14</v>
      </c>
      <c r="C3" s="1" t="s">
        <v>11</v>
      </c>
      <c r="D3" s="1" t="s">
        <v>15</v>
      </c>
      <c r="E3" s="2">
        <v>1101.28</v>
      </c>
      <c r="F3" s="2">
        <v>3</v>
      </c>
      <c r="G3" s="2">
        <v>0.2</v>
      </c>
      <c r="H3" s="3">
        <v>45393</v>
      </c>
      <c r="I3" s="2">
        <v>440.51</v>
      </c>
      <c r="J3" t="str">
        <v>Apr-2024</v>
      </c>
      <c r="K3" s="9">
        <f t="shared" ref="K3:K66" ca="1" si="0">NOW()</f>
        <v>46066.577718749999</v>
      </c>
      <c r="L3">
        <f ca="1"/>
        <v>673.57771874999889</v>
      </c>
      <c r="M3" s="11" t="str">
        <f ca="1"/>
        <v>↑</v>
      </c>
      <c r="P3" s="11" t="str">
        <f t="shared" ref="P3:P66" si="1">IF(SUMIF(B:B,H3,E:E)&gt;500,"High Value","Normal")</f>
        <v>Normal</v>
      </c>
      <c r="Q3" s="15">
        <f t="shared" ref="Q3:Q66" si="2">(ROW(A2)-1)*5%</f>
        <v>0.05</v>
      </c>
      <c r="R3" s="16">
        <f t="shared" ref="R3:R66" si="3">E3*(1-$Z$1)</f>
        <v>1101.28</v>
      </c>
      <c r="S3" s="16"/>
      <c r="T3" s="15">
        <v>0.05</v>
      </c>
      <c r="U3" s="16">
        <f t="dataTable" ref="U3:U8" dt2D="0" dtr="0" r1="Z1"/>
        <v>881.904</v>
      </c>
      <c r="AA3" s="15"/>
      <c r="AB3" s="16"/>
    </row>
    <row r="4" spans="1:28" ht="15" customHeight="1" thickBot="1" x14ac:dyDescent="0.35">
      <c r="A4" s="1" t="s">
        <v>16</v>
      </c>
      <c r="B4" s="1" t="s">
        <v>17</v>
      </c>
      <c r="C4" s="1" t="s">
        <v>18</v>
      </c>
      <c r="D4" s="1" t="s">
        <v>12</v>
      </c>
      <c r="E4" s="2">
        <v>713.34</v>
      </c>
      <c r="F4" s="2">
        <v>17</v>
      </c>
      <c r="G4" s="2">
        <v>0</v>
      </c>
      <c r="H4" s="3">
        <v>45396</v>
      </c>
      <c r="I4" s="2">
        <v>285.33999999999997</v>
      </c>
      <c r="J4" t="str">
        <v>Apr-2024</v>
      </c>
      <c r="K4" s="9">
        <f t="shared" ca="1" si="0"/>
        <v>46066.577718749999</v>
      </c>
      <c r="L4">
        <f ca="1"/>
        <v>670.57771874999889</v>
      </c>
      <c r="M4" s="11" t="str">
        <f ca="1"/>
        <v>↑</v>
      </c>
      <c r="P4" s="11" t="str">
        <f t="shared" si="1"/>
        <v>Normal</v>
      </c>
      <c r="Q4" s="15">
        <f t="shared" si="2"/>
        <v>0.1</v>
      </c>
      <c r="R4" s="16">
        <f t="shared" si="3"/>
        <v>713.34</v>
      </c>
      <c r="S4" s="16"/>
      <c r="T4" s="15">
        <v>0.1</v>
      </c>
      <c r="U4" s="16">
        <v>835.48800000000006</v>
      </c>
      <c r="AA4" s="15"/>
      <c r="AB4" s="16"/>
    </row>
    <row r="5" spans="1:28" ht="15" thickBot="1" x14ac:dyDescent="0.35">
      <c r="A5" s="1" t="s">
        <v>19</v>
      </c>
      <c r="B5" s="1" t="s">
        <v>14</v>
      </c>
      <c r="C5" s="1" t="s">
        <v>20</v>
      </c>
      <c r="D5" s="1" t="s">
        <v>21</v>
      </c>
      <c r="E5" s="2">
        <v>760.93</v>
      </c>
      <c r="F5" s="2">
        <v>4</v>
      </c>
      <c r="G5" s="2">
        <v>0.15</v>
      </c>
      <c r="H5" s="3">
        <v>45396</v>
      </c>
      <c r="I5" s="2">
        <v>161.69999999999999</v>
      </c>
      <c r="J5" t="str">
        <v>Apr-2024</v>
      </c>
      <c r="K5" s="9">
        <f t="shared" ca="1" si="0"/>
        <v>46066.577718749999</v>
      </c>
      <c r="L5">
        <f ca="1"/>
        <v>670.57771874999889</v>
      </c>
      <c r="M5" s="11" t="str">
        <f ca="1"/>
        <v>↑</v>
      </c>
      <c r="P5" s="11" t="str">
        <f t="shared" si="1"/>
        <v>Normal</v>
      </c>
      <c r="Q5" s="15">
        <f t="shared" si="2"/>
        <v>0.15000000000000002</v>
      </c>
      <c r="R5" s="16">
        <f t="shared" si="3"/>
        <v>760.93</v>
      </c>
      <c r="S5" s="16"/>
      <c r="T5" s="15">
        <v>0.15</v>
      </c>
      <c r="U5" s="16">
        <v>789.072</v>
      </c>
      <c r="AA5" s="15"/>
      <c r="AB5" s="16"/>
    </row>
    <row r="6" spans="1:28" ht="15" thickBot="1" x14ac:dyDescent="0.35">
      <c r="A6" s="1" t="s">
        <v>22</v>
      </c>
      <c r="B6" s="1" t="s">
        <v>23</v>
      </c>
      <c r="C6" s="1" t="s">
        <v>24</v>
      </c>
      <c r="D6" s="1" t="s">
        <v>12</v>
      </c>
      <c r="E6" s="2">
        <v>847</v>
      </c>
      <c r="F6" s="2">
        <v>12</v>
      </c>
      <c r="G6" s="2">
        <v>0.2</v>
      </c>
      <c r="H6" s="3">
        <v>45397</v>
      </c>
      <c r="I6" s="2">
        <v>271.04000000000002</v>
      </c>
      <c r="J6" t="str">
        <v>Apr-2024</v>
      </c>
      <c r="K6" s="9">
        <f t="shared" ca="1" si="0"/>
        <v>46066.577718749999</v>
      </c>
      <c r="L6">
        <f ca="1"/>
        <v>669.57771874999889</v>
      </c>
      <c r="M6" s="11" t="str">
        <f ca="1"/>
        <v>↑</v>
      </c>
      <c r="P6" s="11" t="str">
        <f t="shared" si="1"/>
        <v>Normal</v>
      </c>
      <c r="Q6" s="15">
        <f t="shared" si="2"/>
        <v>0.2</v>
      </c>
      <c r="R6" s="16">
        <f t="shared" si="3"/>
        <v>847</v>
      </c>
      <c r="S6" s="16"/>
      <c r="T6" s="15">
        <v>0.2</v>
      </c>
      <c r="U6" s="16">
        <v>742.65600000000006</v>
      </c>
      <c r="AA6" s="15"/>
      <c r="AB6" s="16"/>
    </row>
    <row r="7" spans="1:28" ht="15" thickBot="1" x14ac:dyDescent="0.35">
      <c r="A7" s="1" t="s">
        <v>25</v>
      </c>
      <c r="B7" s="1" t="s">
        <v>26</v>
      </c>
      <c r="C7" s="1" t="s">
        <v>24</v>
      </c>
      <c r="D7" s="1" t="s">
        <v>27</v>
      </c>
      <c r="E7" s="2">
        <v>965.64</v>
      </c>
      <c r="F7" s="2">
        <v>8</v>
      </c>
      <c r="G7" s="2">
        <v>0.1</v>
      </c>
      <c r="H7" s="3">
        <v>45398</v>
      </c>
      <c r="I7" s="2">
        <v>304.18</v>
      </c>
      <c r="J7" t="str">
        <v>Apr-2024</v>
      </c>
      <c r="K7" s="9">
        <f t="shared" ca="1" si="0"/>
        <v>46066.577718749999</v>
      </c>
      <c r="L7">
        <f ca="1"/>
        <v>668.57771874999889</v>
      </c>
      <c r="M7" s="11" t="str">
        <f ca="1"/>
        <v>↑</v>
      </c>
      <c r="P7" s="11" t="str">
        <f t="shared" si="1"/>
        <v>Normal</v>
      </c>
      <c r="Q7" s="15">
        <f t="shared" si="2"/>
        <v>0.25</v>
      </c>
      <c r="R7" s="16">
        <f t="shared" si="3"/>
        <v>965.64</v>
      </c>
      <c r="S7" s="16"/>
      <c r="T7" s="15">
        <v>0.25</v>
      </c>
      <c r="U7" s="16">
        <v>696.24</v>
      </c>
      <c r="AA7" s="15"/>
      <c r="AB7" s="16"/>
    </row>
    <row r="8" spans="1:28" ht="15" thickBot="1" x14ac:dyDescent="0.35">
      <c r="A8" s="1" t="s">
        <v>28</v>
      </c>
      <c r="B8" s="1" t="s">
        <v>29</v>
      </c>
      <c r="C8" s="1" t="s">
        <v>11</v>
      </c>
      <c r="D8" s="1" t="s">
        <v>21</v>
      </c>
      <c r="E8" s="2">
        <v>1317.53</v>
      </c>
      <c r="F8" s="2">
        <v>12</v>
      </c>
      <c r="G8" s="2">
        <v>0.05</v>
      </c>
      <c r="H8" s="3">
        <v>45398</v>
      </c>
      <c r="I8" s="2">
        <v>312.91000000000003</v>
      </c>
      <c r="J8" t="str">
        <v>Apr-2024</v>
      </c>
      <c r="K8" s="9">
        <f t="shared" ca="1" si="0"/>
        <v>46066.577718749999</v>
      </c>
      <c r="L8">
        <f ca="1"/>
        <v>668.57771874999889</v>
      </c>
      <c r="M8" s="11" t="str">
        <f ca="1"/>
        <v>↑</v>
      </c>
      <c r="P8" s="11" t="str">
        <f t="shared" si="1"/>
        <v>Normal</v>
      </c>
      <c r="Q8" s="15">
        <f t="shared" si="2"/>
        <v>0.30000000000000004</v>
      </c>
      <c r="R8" s="16">
        <f t="shared" si="3"/>
        <v>1317.53</v>
      </c>
      <c r="S8" s="16"/>
      <c r="T8" s="15">
        <v>0.3</v>
      </c>
      <c r="U8" s="16">
        <v>649.82399999999996</v>
      </c>
      <c r="AA8" s="15"/>
      <c r="AB8" s="16"/>
    </row>
    <row r="9" spans="1:28" ht="15" thickBot="1" x14ac:dyDescent="0.35">
      <c r="A9" s="1" t="s">
        <v>30</v>
      </c>
      <c r="B9" s="1" t="s">
        <v>31</v>
      </c>
      <c r="C9" s="1" t="s">
        <v>18</v>
      </c>
      <c r="D9" s="1" t="s">
        <v>27</v>
      </c>
      <c r="E9" s="2">
        <v>1074.47</v>
      </c>
      <c r="F9" s="2">
        <v>6</v>
      </c>
      <c r="G9" s="2">
        <v>0.2</v>
      </c>
      <c r="H9" s="3">
        <v>45401</v>
      </c>
      <c r="I9" s="2">
        <v>300.85000000000002</v>
      </c>
      <c r="J9" t="str">
        <v>Apr-2024</v>
      </c>
      <c r="K9" s="9">
        <f t="shared" ca="1" si="0"/>
        <v>46066.577718749999</v>
      </c>
      <c r="L9">
        <f ca="1"/>
        <v>665.57771874999889</v>
      </c>
      <c r="M9" s="11" t="str">
        <f ca="1"/>
        <v>↑</v>
      </c>
      <c r="P9" s="11" t="str">
        <f t="shared" si="1"/>
        <v>Normal</v>
      </c>
      <c r="Q9" s="15">
        <f t="shared" si="2"/>
        <v>0.35000000000000003</v>
      </c>
      <c r="R9" s="16">
        <f t="shared" si="3"/>
        <v>1074.47</v>
      </c>
      <c r="S9" s="16"/>
      <c r="T9" s="15"/>
    </row>
    <row r="10" spans="1:28" ht="15" thickBot="1" x14ac:dyDescent="0.35">
      <c r="A10" s="1" t="s">
        <v>32</v>
      </c>
      <c r="B10" s="1" t="s">
        <v>33</v>
      </c>
      <c r="C10" s="1" t="s">
        <v>34</v>
      </c>
      <c r="D10" s="1" t="s">
        <v>12</v>
      </c>
      <c r="E10" s="2">
        <v>501.54</v>
      </c>
      <c r="F10" s="2">
        <v>11</v>
      </c>
      <c r="G10" s="2">
        <v>0.05</v>
      </c>
      <c r="H10" s="3">
        <v>45401</v>
      </c>
      <c r="I10" s="2">
        <v>190.59</v>
      </c>
      <c r="J10" t="str">
        <v>Apr-2024</v>
      </c>
      <c r="K10" s="9">
        <f t="shared" ca="1" si="0"/>
        <v>46066.577718749999</v>
      </c>
      <c r="L10">
        <f ca="1"/>
        <v>665.57771874999889</v>
      </c>
      <c r="M10" s="11" t="str">
        <f ca="1"/>
        <v>↑</v>
      </c>
      <c r="P10" s="11" t="str">
        <f t="shared" si="1"/>
        <v>Normal</v>
      </c>
      <c r="Q10" s="15">
        <f t="shared" si="2"/>
        <v>0.4</v>
      </c>
      <c r="R10" s="16">
        <f t="shared" si="3"/>
        <v>501.54</v>
      </c>
      <c r="S10" s="16"/>
      <c r="T10" s="15"/>
    </row>
    <row r="11" spans="1:28" ht="15" thickBot="1" x14ac:dyDescent="0.35">
      <c r="A11" s="1" t="s">
        <v>35</v>
      </c>
      <c r="B11" s="1" t="s">
        <v>36</v>
      </c>
      <c r="C11" s="1" t="s">
        <v>34</v>
      </c>
      <c r="D11" s="1" t="s">
        <v>15</v>
      </c>
      <c r="E11" s="2">
        <v>737.31</v>
      </c>
      <c r="F11" s="2">
        <v>2</v>
      </c>
      <c r="G11" s="2">
        <v>0.05</v>
      </c>
      <c r="H11" s="3">
        <v>45401</v>
      </c>
      <c r="I11" s="2">
        <v>350.22</v>
      </c>
      <c r="J11" t="str">
        <v>Apr-2024</v>
      </c>
      <c r="K11" s="9">
        <f t="shared" ca="1" si="0"/>
        <v>46066.577718749999</v>
      </c>
      <c r="L11">
        <f ca="1"/>
        <v>665.57771874999889</v>
      </c>
      <c r="M11" s="11" t="str">
        <f ca="1"/>
        <v>↑</v>
      </c>
      <c r="P11" s="11" t="str">
        <f t="shared" si="1"/>
        <v>Normal</v>
      </c>
      <c r="Q11" s="15">
        <f t="shared" si="2"/>
        <v>0.45</v>
      </c>
      <c r="R11" s="16">
        <f t="shared" si="3"/>
        <v>737.31</v>
      </c>
      <c r="S11" s="16"/>
      <c r="T11" s="15"/>
    </row>
    <row r="12" spans="1:28" ht="15" thickBot="1" x14ac:dyDescent="0.35">
      <c r="A12" s="1" t="s">
        <v>37</v>
      </c>
      <c r="B12" s="1" t="s">
        <v>38</v>
      </c>
      <c r="C12" s="1" t="s">
        <v>11</v>
      </c>
      <c r="D12" s="1" t="s">
        <v>39</v>
      </c>
      <c r="E12" s="2">
        <v>1572.82</v>
      </c>
      <c r="F12" s="2">
        <v>6</v>
      </c>
      <c r="G12" s="2">
        <v>0.05</v>
      </c>
      <c r="H12" s="3">
        <v>45402</v>
      </c>
      <c r="I12" s="2">
        <v>672.38</v>
      </c>
      <c r="J12" t="str">
        <v>Apr-2024</v>
      </c>
      <c r="K12" s="9">
        <f t="shared" ca="1" si="0"/>
        <v>46066.577718749999</v>
      </c>
      <c r="L12">
        <f ca="1"/>
        <v>664.57771874999889</v>
      </c>
      <c r="M12" s="11" t="str">
        <f ca="1"/>
        <v>↑</v>
      </c>
      <c r="P12" s="11" t="str">
        <f t="shared" si="1"/>
        <v>Normal</v>
      </c>
      <c r="Q12" s="15">
        <f t="shared" si="2"/>
        <v>0.5</v>
      </c>
      <c r="R12" s="16">
        <f t="shared" si="3"/>
        <v>1572.82</v>
      </c>
      <c r="S12" s="16"/>
      <c r="T12" s="15"/>
    </row>
    <row r="13" spans="1:28" ht="15" thickBot="1" x14ac:dyDescent="0.35">
      <c r="A13" s="1" t="s">
        <v>37</v>
      </c>
      <c r="B13" s="1" t="s">
        <v>36</v>
      </c>
      <c r="C13" s="1" t="s">
        <v>34</v>
      </c>
      <c r="D13" s="1" t="s">
        <v>12</v>
      </c>
      <c r="E13" s="2">
        <v>1343.13</v>
      </c>
      <c r="F13" s="2">
        <v>14</v>
      </c>
      <c r="G13" s="2">
        <v>0.15</v>
      </c>
      <c r="H13" s="3">
        <v>45404</v>
      </c>
      <c r="I13" s="2">
        <v>456.66</v>
      </c>
      <c r="J13" t="str">
        <v>Apr-2024</v>
      </c>
      <c r="K13" s="9">
        <f t="shared" ca="1" si="0"/>
        <v>46066.577718749999</v>
      </c>
      <c r="L13">
        <f ca="1"/>
        <v>662.57771874999889</v>
      </c>
      <c r="M13" s="11" t="str">
        <f ca="1"/>
        <v>↑</v>
      </c>
      <c r="P13" s="11" t="str">
        <f t="shared" si="1"/>
        <v>Normal</v>
      </c>
      <c r="Q13" s="15">
        <f t="shared" si="2"/>
        <v>0.55000000000000004</v>
      </c>
      <c r="R13" s="16">
        <f t="shared" si="3"/>
        <v>1343.13</v>
      </c>
      <c r="S13" s="16"/>
      <c r="T13" s="15"/>
    </row>
    <row r="14" spans="1:28" ht="15" thickBot="1" x14ac:dyDescent="0.35">
      <c r="A14" s="1" t="s">
        <v>25</v>
      </c>
      <c r="B14" s="1" t="s">
        <v>26</v>
      </c>
      <c r="C14" s="1" t="s">
        <v>34</v>
      </c>
      <c r="D14" s="1" t="s">
        <v>12</v>
      </c>
      <c r="E14" s="2">
        <v>1191.58</v>
      </c>
      <c r="F14" s="2">
        <v>14</v>
      </c>
      <c r="G14" s="2">
        <v>0.05</v>
      </c>
      <c r="H14" s="3">
        <v>45406</v>
      </c>
      <c r="I14" s="2">
        <v>452.8</v>
      </c>
      <c r="J14" t="str">
        <v>Apr-2024</v>
      </c>
      <c r="K14" s="9">
        <f t="shared" ca="1" si="0"/>
        <v>46066.577718749999</v>
      </c>
      <c r="L14">
        <f ca="1"/>
        <v>660.57771874999889</v>
      </c>
      <c r="M14" s="11" t="str">
        <f ca="1"/>
        <v>↑</v>
      </c>
      <c r="P14" s="11" t="str">
        <f t="shared" si="1"/>
        <v>Normal</v>
      </c>
      <c r="Q14" s="15">
        <f t="shared" si="2"/>
        <v>0.60000000000000009</v>
      </c>
      <c r="R14" s="16">
        <f t="shared" si="3"/>
        <v>1191.58</v>
      </c>
      <c r="S14" s="16"/>
      <c r="T14" s="15"/>
    </row>
    <row r="15" spans="1:28" ht="15" thickBot="1" x14ac:dyDescent="0.35">
      <c r="A15" s="1" t="s">
        <v>40</v>
      </c>
      <c r="B15" s="1" t="s">
        <v>14</v>
      </c>
      <c r="C15" s="1" t="s">
        <v>11</v>
      </c>
      <c r="D15" s="1" t="s">
        <v>27</v>
      </c>
      <c r="E15" s="2">
        <v>822.28</v>
      </c>
      <c r="F15" s="2">
        <v>7</v>
      </c>
      <c r="G15" s="2">
        <v>0.05</v>
      </c>
      <c r="H15" s="3">
        <v>45406</v>
      </c>
      <c r="I15" s="2">
        <v>273.41000000000003</v>
      </c>
      <c r="J15" t="str">
        <v>Apr-2024</v>
      </c>
      <c r="K15" s="9">
        <f t="shared" ca="1" si="0"/>
        <v>46066.577718749999</v>
      </c>
      <c r="L15">
        <f ca="1"/>
        <v>660.57771874999889</v>
      </c>
      <c r="M15" s="11" t="str">
        <f ca="1"/>
        <v>↑</v>
      </c>
      <c r="P15" s="11" t="str">
        <f t="shared" si="1"/>
        <v>Normal</v>
      </c>
      <c r="Q15" s="15">
        <f t="shared" si="2"/>
        <v>0.65</v>
      </c>
      <c r="R15" s="16">
        <f t="shared" si="3"/>
        <v>822.28</v>
      </c>
      <c r="S15" s="16"/>
      <c r="T15" s="15"/>
    </row>
    <row r="16" spans="1:28" ht="15" thickBot="1" x14ac:dyDescent="0.35">
      <c r="A16" s="1" t="s">
        <v>41</v>
      </c>
      <c r="B16" s="1" t="s">
        <v>42</v>
      </c>
      <c r="C16" s="1" t="s">
        <v>24</v>
      </c>
      <c r="D16" s="1" t="s">
        <v>27</v>
      </c>
      <c r="E16" s="2">
        <v>521.66999999999996</v>
      </c>
      <c r="F16" s="2">
        <v>15</v>
      </c>
      <c r="G16" s="2">
        <v>0.15</v>
      </c>
      <c r="H16" s="3">
        <v>45409</v>
      </c>
      <c r="I16" s="2">
        <v>155.19999999999999</v>
      </c>
      <c r="J16" t="str">
        <v>Apr-2024</v>
      </c>
      <c r="K16" s="9">
        <f t="shared" ca="1" si="0"/>
        <v>46066.577718749999</v>
      </c>
      <c r="L16">
        <f ca="1"/>
        <v>657.57771874999889</v>
      </c>
      <c r="M16" s="11" t="str">
        <f ca="1"/>
        <v>↑</v>
      </c>
      <c r="P16" s="11" t="str">
        <f t="shared" si="1"/>
        <v>Normal</v>
      </c>
      <c r="Q16" s="15">
        <f t="shared" si="2"/>
        <v>0.70000000000000007</v>
      </c>
      <c r="R16" s="16">
        <f t="shared" si="3"/>
        <v>521.66999999999996</v>
      </c>
      <c r="S16" s="16"/>
      <c r="T16" s="15"/>
    </row>
    <row r="17" spans="1:20" ht="15" thickBot="1" x14ac:dyDescent="0.35">
      <c r="A17" s="1" t="s">
        <v>19</v>
      </c>
      <c r="B17" s="1" t="s">
        <v>43</v>
      </c>
      <c r="C17" s="1" t="s">
        <v>20</v>
      </c>
      <c r="D17" s="1" t="s">
        <v>21</v>
      </c>
      <c r="E17" s="2">
        <v>1502.93</v>
      </c>
      <c r="F17" s="2">
        <v>14</v>
      </c>
      <c r="G17" s="2">
        <v>0.2</v>
      </c>
      <c r="H17" s="3">
        <v>45410</v>
      </c>
      <c r="I17" s="2">
        <v>300.58999999999997</v>
      </c>
      <c r="J17" t="str">
        <v>Apr-2024</v>
      </c>
      <c r="K17" s="9">
        <f t="shared" ca="1" si="0"/>
        <v>46066.577718749999</v>
      </c>
      <c r="L17">
        <f ca="1"/>
        <v>656.57771874999889</v>
      </c>
      <c r="M17" s="11" t="str">
        <f ca="1"/>
        <v>↑</v>
      </c>
      <c r="P17" s="11" t="str">
        <f t="shared" si="1"/>
        <v>Normal</v>
      </c>
      <c r="Q17" s="15">
        <f t="shared" si="2"/>
        <v>0.75</v>
      </c>
      <c r="R17" s="16">
        <f t="shared" si="3"/>
        <v>1502.93</v>
      </c>
      <c r="S17" s="16"/>
      <c r="T17" s="15"/>
    </row>
    <row r="18" spans="1:20" ht="15" thickBot="1" x14ac:dyDescent="0.35">
      <c r="A18" s="1" t="s">
        <v>44</v>
      </c>
      <c r="B18" s="1" t="s">
        <v>14</v>
      </c>
      <c r="C18" s="1" t="s">
        <v>20</v>
      </c>
      <c r="D18" s="1" t="s">
        <v>12</v>
      </c>
      <c r="E18" s="2">
        <v>877.58</v>
      </c>
      <c r="F18" s="2">
        <v>10</v>
      </c>
      <c r="G18" s="2">
        <v>0.15</v>
      </c>
      <c r="H18" s="3">
        <v>45411</v>
      </c>
      <c r="I18" s="2">
        <v>298.38</v>
      </c>
      <c r="J18" t="str">
        <v>Apr-2024</v>
      </c>
      <c r="K18" s="9">
        <f t="shared" ca="1" si="0"/>
        <v>46066.577718749999</v>
      </c>
      <c r="L18">
        <f ca="1"/>
        <v>655.57771874999889</v>
      </c>
      <c r="M18" s="11" t="str">
        <f ca="1"/>
        <v>↑</v>
      </c>
      <c r="P18" s="11" t="str">
        <f t="shared" si="1"/>
        <v>Normal</v>
      </c>
      <c r="Q18" s="15">
        <f t="shared" si="2"/>
        <v>0.8</v>
      </c>
      <c r="R18" s="16">
        <f t="shared" si="3"/>
        <v>877.58</v>
      </c>
      <c r="S18" s="16"/>
      <c r="T18" s="15"/>
    </row>
    <row r="19" spans="1:20" ht="15" thickBot="1" x14ac:dyDescent="0.35">
      <c r="A19" s="1" t="s">
        <v>28</v>
      </c>
      <c r="B19" s="1" t="s">
        <v>45</v>
      </c>
      <c r="C19" s="1" t="s">
        <v>11</v>
      </c>
      <c r="D19" s="1" t="s">
        <v>12</v>
      </c>
      <c r="E19" s="2">
        <v>636.70000000000005</v>
      </c>
      <c r="F19" s="2">
        <v>4</v>
      </c>
      <c r="G19" s="2">
        <v>0.2</v>
      </c>
      <c r="H19" s="3">
        <v>45411</v>
      </c>
      <c r="I19" s="2">
        <v>203.74</v>
      </c>
      <c r="J19" t="str">
        <v>Apr-2024</v>
      </c>
      <c r="K19" s="9">
        <f t="shared" ca="1" si="0"/>
        <v>46066.577718749999</v>
      </c>
      <c r="L19">
        <f ca="1"/>
        <v>655.57771874999889</v>
      </c>
      <c r="M19" s="11" t="str">
        <f ca="1"/>
        <v>↑</v>
      </c>
      <c r="P19" s="11" t="str">
        <f t="shared" si="1"/>
        <v>Normal</v>
      </c>
      <c r="Q19" s="15">
        <f t="shared" si="2"/>
        <v>0.85000000000000009</v>
      </c>
      <c r="R19" s="16">
        <f t="shared" si="3"/>
        <v>636.70000000000005</v>
      </c>
      <c r="S19" s="16"/>
      <c r="T19" s="15"/>
    </row>
    <row r="20" spans="1:20" ht="15" thickBot="1" x14ac:dyDescent="0.35">
      <c r="A20" s="1" t="s">
        <v>46</v>
      </c>
      <c r="B20" s="1" t="s">
        <v>47</v>
      </c>
      <c r="C20" s="1" t="s">
        <v>11</v>
      </c>
      <c r="D20" s="1" t="s">
        <v>12</v>
      </c>
      <c r="E20" s="2">
        <v>1506.14</v>
      </c>
      <c r="F20" s="2">
        <v>13</v>
      </c>
      <c r="G20" s="2">
        <v>0.2</v>
      </c>
      <c r="H20" s="3">
        <v>45412</v>
      </c>
      <c r="I20" s="2">
        <v>481.96</v>
      </c>
      <c r="J20" t="str">
        <v>Apr-2024</v>
      </c>
      <c r="K20" s="9">
        <f t="shared" ca="1" si="0"/>
        <v>46066.577718749999</v>
      </c>
      <c r="L20">
        <f ca="1"/>
        <v>654.57771874999889</v>
      </c>
      <c r="M20" s="11" t="str">
        <f ca="1"/>
        <v>↑</v>
      </c>
      <c r="P20" s="11" t="str">
        <f t="shared" si="1"/>
        <v>Normal</v>
      </c>
      <c r="Q20" s="15">
        <f t="shared" si="2"/>
        <v>0.9</v>
      </c>
      <c r="R20" s="16">
        <f t="shared" si="3"/>
        <v>1506.14</v>
      </c>
      <c r="S20" s="16"/>
      <c r="T20" s="15"/>
    </row>
    <row r="21" spans="1:20" ht="15" thickBot="1" x14ac:dyDescent="0.35">
      <c r="A21" s="1" t="s">
        <v>30</v>
      </c>
      <c r="B21" s="1" t="s">
        <v>31</v>
      </c>
      <c r="C21" s="1" t="s">
        <v>34</v>
      </c>
      <c r="D21" s="1" t="s">
        <v>21</v>
      </c>
      <c r="E21" s="2">
        <v>645.02</v>
      </c>
      <c r="F21" s="2">
        <v>4</v>
      </c>
      <c r="G21" s="2">
        <v>0</v>
      </c>
      <c r="H21" s="3">
        <v>45414</v>
      </c>
      <c r="I21" s="2">
        <v>161.26</v>
      </c>
      <c r="J21" t="str">
        <v>May-2024</v>
      </c>
      <c r="K21" s="9">
        <f t="shared" ca="1" si="0"/>
        <v>46066.577718749999</v>
      </c>
      <c r="L21">
        <f ca="1"/>
        <v>652.57771874999889</v>
      </c>
      <c r="M21" s="11" t="str">
        <f ca="1"/>
        <v>↑</v>
      </c>
      <c r="P21" s="11" t="str">
        <f t="shared" si="1"/>
        <v>Normal</v>
      </c>
      <c r="Q21" s="15">
        <f t="shared" si="2"/>
        <v>0.95000000000000007</v>
      </c>
      <c r="R21" s="16">
        <f t="shared" si="3"/>
        <v>645.02</v>
      </c>
      <c r="S21" s="16"/>
      <c r="T21" s="15"/>
    </row>
    <row r="22" spans="1:20" ht="15" thickBot="1" x14ac:dyDescent="0.35">
      <c r="A22" s="1" t="s">
        <v>25</v>
      </c>
      <c r="B22" s="1" t="s">
        <v>48</v>
      </c>
      <c r="C22" s="1" t="s">
        <v>20</v>
      </c>
      <c r="D22" s="1" t="s">
        <v>15</v>
      </c>
      <c r="E22" s="2">
        <v>953.3</v>
      </c>
      <c r="F22" s="2">
        <v>11</v>
      </c>
      <c r="G22" s="2">
        <v>0</v>
      </c>
      <c r="H22" s="3">
        <v>45415</v>
      </c>
      <c r="I22" s="2">
        <v>476.65</v>
      </c>
      <c r="J22" t="str">
        <v>May-2024</v>
      </c>
      <c r="K22" s="9">
        <f t="shared" ca="1" si="0"/>
        <v>46066.577718749999</v>
      </c>
      <c r="L22">
        <f ca="1"/>
        <v>651.57771874999889</v>
      </c>
      <c r="M22" s="11" t="str">
        <f ca="1"/>
        <v>↑</v>
      </c>
      <c r="P22" s="11" t="str">
        <f t="shared" si="1"/>
        <v>Normal</v>
      </c>
      <c r="Q22" s="15">
        <f t="shared" si="2"/>
        <v>1</v>
      </c>
      <c r="R22" s="16">
        <f t="shared" si="3"/>
        <v>953.3</v>
      </c>
      <c r="S22" s="16"/>
      <c r="T22" s="15"/>
    </row>
    <row r="23" spans="1:20" ht="15" thickBot="1" x14ac:dyDescent="0.35">
      <c r="A23" s="1" t="s">
        <v>49</v>
      </c>
      <c r="B23" s="1" t="s">
        <v>14</v>
      </c>
      <c r="C23" s="1" t="s">
        <v>24</v>
      </c>
      <c r="D23" s="1" t="s">
        <v>21</v>
      </c>
      <c r="E23" s="2">
        <v>388.56</v>
      </c>
      <c r="F23" s="2">
        <v>14</v>
      </c>
      <c r="G23" s="2">
        <v>0.15</v>
      </c>
      <c r="H23" s="3">
        <v>45416</v>
      </c>
      <c r="I23" s="2">
        <v>82.57</v>
      </c>
      <c r="J23" t="str">
        <v>May-2024</v>
      </c>
      <c r="K23" s="9">
        <f t="shared" ca="1" si="0"/>
        <v>46066.577718749999</v>
      </c>
      <c r="L23">
        <f ca="1"/>
        <v>650.57771874999889</v>
      </c>
      <c r="M23" s="11" t="str">
        <f ca="1"/>
        <v>↑</v>
      </c>
      <c r="P23" s="11" t="str">
        <f t="shared" si="1"/>
        <v>Normal</v>
      </c>
      <c r="Q23" s="15">
        <f t="shared" si="2"/>
        <v>1.05</v>
      </c>
      <c r="R23" s="16">
        <f t="shared" si="3"/>
        <v>388.56</v>
      </c>
      <c r="S23" s="16"/>
      <c r="T23" s="15"/>
    </row>
    <row r="24" spans="1:20" ht="15" thickBot="1" x14ac:dyDescent="0.35">
      <c r="A24" s="1" t="s">
        <v>9</v>
      </c>
      <c r="B24" s="1" t="s">
        <v>31</v>
      </c>
      <c r="C24" s="1" t="s">
        <v>11</v>
      </c>
      <c r="D24" s="1" t="s">
        <v>12</v>
      </c>
      <c r="E24" s="2">
        <v>743.17</v>
      </c>
      <c r="F24" s="2">
        <v>9</v>
      </c>
      <c r="G24" s="2">
        <v>0</v>
      </c>
      <c r="H24" s="3">
        <v>45416</v>
      </c>
      <c r="I24" s="2">
        <v>297.27</v>
      </c>
      <c r="J24" t="str">
        <v>May-2024</v>
      </c>
      <c r="K24" s="9">
        <f t="shared" ca="1" si="0"/>
        <v>46066.577718749999</v>
      </c>
      <c r="L24">
        <f ca="1"/>
        <v>650.57771874999889</v>
      </c>
      <c r="M24" s="11" t="str">
        <f ca="1"/>
        <v>↑</v>
      </c>
      <c r="P24" s="11" t="str">
        <f t="shared" si="1"/>
        <v>Normal</v>
      </c>
      <c r="Q24" s="15">
        <f t="shared" si="2"/>
        <v>1.1000000000000001</v>
      </c>
      <c r="R24" s="16">
        <f t="shared" si="3"/>
        <v>743.17</v>
      </c>
      <c r="S24" s="16"/>
      <c r="T24" s="15"/>
    </row>
    <row r="25" spans="1:20" ht="15" thickBot="1" x14ac:dyDescent="0.35">
      <c r="A25" s="1" t="s">
        <v>40</v>
      </c>
      <c r="B25" s="1" t="s">
        <v>31</v>
      </c>
      <c r="C25" s="1" t="s">
        <v>34</v>
      </c>
      <c r="D25" s="1" t="s">
        <v>21</v>
      </c>
      <c r="E25" s="2">
        <v>706.37</v>
      </c>
      <c r="F25" s="2">
        <v>6</v>
      </c>
      <c r="G25" s="2">
        <v>0</v>
      </c>
      <c r="H25" s="3">
        <v>45416</v>
      </c>
      <c r="I25" s="2">
        <v>176.59</v>
      </c>
      <c r="J25" t="str">
        <v>May-2024</v>
      </c>
      <c r="K25" s="9">
        <f t="shared" ca="1" si="0"/>
        <v>46066.577718749999</v>
      </c>
      <c r="L25">
        <f ca="1"/>
        <v>650.57771874999889</v>
      </c>
      <c r="M25" s="11" t="str">
        <f ca="1"/>
        <v>↑</v>
      </c>
      <c r="P25" s="11" t="str">
        <f t="shared" si="1"/>
        <v>Normal</v>
      </c>
      <c r="Q25" s="15">
        <f t="shared" si="2"/>
        <v>1.1500000000000001</v>
      </c>
      <c r="R25" s="16">
        <f t="shared" si="3"/>
        <v>706.37</v>
      </c>
      <c r="S25" s="16"/>
      <c r="T25" s="15"/>
    </row>
    <row r="26" spans="1:20" ht="15" thickBot="1" x14ac:dyDescent="0.35">
      <c r="A26" s="1" t="s">
        <v>13</v>
      </c>
      <c r="B26" s="1" t="s">
        <v>31</v>
      </c>
      <c r="C26" s="1" t="s">
        <v>34</v>
      </c>
      <c r="D26" s="1" t="s">
        <v>39</v>
      </c>
      <c r="E26" s="2">
        <v>925.31</v>
      </c>
      <c r="F26" s="2">
        <v>8</v>
      </c>
      <c r="G26" s="2">
        <v>0.1</v>
      </c>
      <c r="H26" s="3">
        <v>45418</v>
      </c>
      <c r="I26" s="2">
        <v>374.75</v>
      </c>
      <c r="J26" t="str">
        <v>May-2024</v>
      </c>
      <c r="K26" s="9">
        <f t="shared" ca="1" si="0"/>
        <v>46066.577718749999</v>
      </c>
      <c r="L26">
        <f ca="1"/>
        <v>648.57771874999889</v>
      </c>
      <c r="M26" s="11" t="str">
        <f ca="1"/>
        <v>↑</v>
      </c>
      <c r="P26" s="11" t="str">
        <f t="shared" si="1"/>
        <v>Normal</v>
      </c>
      <c r="Q26" s="15">
        <f t="shared" si="2"/>
        <v>1.2000000000000002</v>
      </c>
      <c r="R26" s="16">
        <f t="shared" si="3"/>
        <v>925.31</v>
      </c>
      <c r="S26" s="16"/>
      <c r="T26" s="15"/>
    </row>
    <row r="27" spans="1:20" ht="15" thickBot="1" x14ac:dyDescent="0.35">
      <c r="A27" s="1" t="s">
        <v>35</v>
      </c>
      <c r="B27" s="1" t="s">
        <v>50</v>
      </c>
      <c r="C27" s="1" t="s">
        <v>20</v>
      </c>
      <c r="D27" s="1" t="s">
        <v>21</v>
      </c>
      <c r="E27" s="2">
        <v>1173.1199999999999</v>
      </c>
      <c r="F27" s="2">
        <v>18</v>
      </c>
      <c r="G27" s="2">
        <v>0</v>
      </c>
      <c r="H27" s="3">
        <v>45418</v>
      </c>
      <c r="I27" s="2">
        <v>293.27999999999997</v>
      </c>
      <c r="J27" t="str">
        <v>May-2024</v>
      </c>
      <c r="K27" s="9">
        <f t="shared" ca="1" si="0"/>
        <v>46066.577718749999</v>
      </c>
      <c r="L27">
        <f ca="1"/>
        <v>648.57771874999889</v>
      </c>
      <c r="M27" s="11" t="str">
        <f ca="1"/>
        <v>↑</v>
      </c>
      <c r="P27" s="11" t="str">
        <f t="shared" si="1"/>
        <v>Normal</v>
      </c>
      <c r="Q27" s="15">
        <f t="shared" si="2"/>
        <v>1.25</v>
      </c>
      <c r="R27" s="16">
        <f t="shared" si="3"/>
        <v>1173.1199999999999</v>
      </c>
      <c r="S27" s="16"/>
      <c r="T27" s="15"/>
    </row>
    <row r="28" spans="1:20" ht="15" thickBot="1" x14ac:dyDescent="0.35">
      <c r="A28" s="1" t="s">
        <v>22</v>
      </c>
      <c r="B28" s="1" t="s">
        <v>51</v>
      </c>
      <c r="C28" s="1" t="s">
        <v>24</v>
      </c>
      <c r="D28" s="1" t="s">
        <v>27</v>
      </c>
      <c r="E28" s="2">
        <v>675.54</v>
      </c>
      <c r="F28" s="2">
        <v>17</v>
      </c>
      <c r="G28" s="2">
        <v>0</v>
      </c>
      <c r="H28" s="3">
        <v>45420</v>
      </c>
      <c r="I28" s="2">
        <v>236.44</v>
      </c>
      <c r="J28" t="str">
        <v>May-2024</v>
      </c>
      <c r="K28" s="9">
        <f t="shared" ca="1" si="0"/>
        <v>46066.577718749999</v>
      </c>
      <c r="L28">
        <f ca="1"/>
        <v>646.57771874999889</v>
      </c>
      <c r="M28" s="11" t="str">
        <f ca="1"/>
        <v>↑</v>
      </c>
      <c r="P28" s="11" t="str">
        <f t="shared" si="1"/>
        <v>Normal</v>
      </c>
      <c r="Q28" s="15">
        <f t="shared" si="2"/>
        <v>1.3</v>
      </c>
      <c r="R28" s="16">
        <f t="shared" si="3"/>
        <v>675.54</v>
      </c>
      <c r="S28" s="16"/>
      <c r="T28" s="15"/>
    </row>
    <row r="29" spans="1:20" ht="15" thickBot="1" x14ac:dyDescent="0.35">
      <c r="A29" s="1" t="s">
        <v>25</v>
      </c>
      <c r="B29" s="1" t="s">
        <v>14</v>
      </c>
      <c r="C29" s="1" t="s">
        <v>34</v>
      </c>
      <c r="D29" s="1" t="s">
        <v>12</v>
      </c>
      <c r="E29" s="2">
        <v>939.09</v>
      </c>
      <c r="F29" s="2">
        <v>2</v>
      </c>
      <c r="G29" s="2">
        <v>0.05</v>
      </c>
      <c r="H29" s="3">
        <v>45422</v>
      </c>
      <c r="I29" s="2">
        <v>356.85</v>
      </c>
      <c r="J29" t="str">
        <v>May-2024</v>
      </c>
      <c r="K29" s="9">
        <f t="shared" ca="1" si="0"/>
        <v>46066.577718749999</v>
      </c>
      <c r="L29">
        <f ca="1"/>
        <v>644.57771874999889</v>
      </c>
      <c r="M29" s="11" t="str">
        <f ca="1"/>
        <v>↑</v>
      </c>
      <c r="P29" s="11" t="str">
        <f t="shared" si="1"/>
        <v>Normal</v>
      </c>
      <c r="Q29" s="15">
        <f t="shared" si="2"/>
        <v>1.35</v>
      </c>
      <c r="R29" s="16">
        <f t="shared" si="3"/>
        <v>939.09</v>
      </c>
      <c r="S29" s="16"/>
      <c r="T29" s="15"/>
    </row>
    <row r="30" spans="1:20" ht="15" thickBot="1" x14ac:dyDescent="0.35">
      <c r="A30" s="1" t="s">
        <v>52</v>
      </c>
      <c r="B30" s="1" t="s">
        <v>53</v>
      </c>
      <c r="C30" s="1" t="s">
        <v>18</v>
      </c>
      <c r="D30" s="1" t="s">
        <v>39</v>
      </c>
      <c r="E30" s="2">
        <v>983.34</v>
      </c>
      <c r="F30" s="2">
        <v>19</v>
      </c>
      <c r="G30" s="2">
        <v>0.1</v>
      </c>
      <c r="H30" s="3">
        <v>45426</v>
      </c>
      <c r="I30" s="2">
        <v>398.25</v>
      </c>
      <c r="J30" t="str">
        <v>May-2024</v>
      </c>
      <c r="K30" s="9">
        <f t="shared" ca="1" si="0"/>
        <v>46066.577718749999</v>
      </c>
      <c r="L30">
        <f ca="1"/>
        <v>640.57771874999889</v>
      </c>
      <c r="M30" s="11" t="str">
        <f ca="1"/>
        <v>↑</v>
      </c>
      <c r="P30" s="11" t="str">
        <f t="shared" si="1"/>
        <v>Normal</v>
      </c>
      <c r="Q30" s="15">
        <f t="shared" si="2"/>
        <v>1.4000000000000001</v>
      </c>
      <c r="R30" s="16">
        <f t="shared" si="3"/>
        <v>983.34</v>
      </c>
      <c r="S30" s="16"/>
      <c r="T30" s="15"/>
    </row>
    <row r="31" spans="1:20" ht="15" thickBot="1" x14ac:dyDescent="0.35">
      <c r="A31" s="1" t="s">
        <v>52</v>
      </c>
      <c r="B31" s="1" t="s">
        <v>23</v>
      </c>
      <c r="C31" s="1" t="s">
        <v>20</v>
      </c>
      <c r="D31" s="1" t="s">
        <v>21</v>
      </c>
      <c r="E31" s="2">
        <v>801.21</v>
      </c>
      <c r="F31" s="2">
        <v>3</v>
      </c>
      <c r="G31" s="2">
        <v>0.2</v>
      </c>
      <c r="H31" s="3">
        <v>45426</v>
      </c>
      <c r="I31" s="2">
        <v>160.24</v>
      </c>
      <c r="J31" t="str">
        <v>May-2024</v>
      </c>
      <c r="K31" s="9">
        <f t="shared" ca="1" si="0"/>
        <v>46066.577718749999</v>
      </c>
      <c r="L31">
        <f ca="1"/>
        <v>640.57771874999889</v>
      </c>
      <c r="M31" s="11" t="str">
        <f ca="1"/>
        <v>↑</v>
      </c>
      <c r="P31" s="11" t="str">
        <f t="shared" si="1"/>
        <v>Normal</v>
      </c>
      <c r="Q31" s="15">
        <f t="shared" si="2"/>
        <v>1.4500000000000002</v>
      </c>
      <c r="R31" s="16">
        <f t="shared" si="3"/>
        <v>801.21</v>
      </c>
      <c r="S31" s="16"/>
      <c r="T31" s="15"/>
    </row>
    <row r="32" spans="1:20" ht="15" thickBot="1" x14ac:dyDescent="0.35">
      <c r="A32" s="1" t="s">
        <v>54</v>
      </c>
      <c r="B32" s="1" t="s">
        <v>55</v>
      </c>
      <c r="C32" s="1" t="s">
        <v>24</v>
      </c>
      <c r="D32" s="1" t="s">
        <v>21</v>
      </c>
      <c r="E32" s="2">
        <v>1450.71</v>
      </c>
      <c r="F32" s="2">
        <v>5</v>
      </c>
      <c r="G32" s="2">
        <v>0.1</v>
      </c>
      <c r="H32" s="3">
        <v>45427</v>
      </c>
      <c r="I32" s="2">
        <v>326.41000000000003</v>
      </c>
      <c r="J32" t="str">
        <v>May-2024</v>
      </c>
      <c r="K32" s="9">
        <f t="shared" ca="1" si="0"/>
        <v>46066.577718749999</v>
      </c>
      <c r="L32">
        <f ca="1"/>
        <v>639.57771874999889</v>
      </c>
      <c r="M32" s="11" t="str">
        <f ca="1"/>
        <v>↑</v>
      </c>
      <c r="P32" s="11" t="str">
        <f t="shared" si="1"/>
        <v>Normal</v>
      </c>
      <c r="Q32" s="15">
        <f t="shared" si="2"/>
        <v>1.5</v>
      </c>
      <c r="R32" s="16">
        <f t="shared" si="3"/>
        <v>1450.71</v>
      </c>
      <c r="S32" s="16"/>
      <c r="T32" s="15"/>
    </row>
    <row r="33" spans="1:20" ht="15" thickBot="1" x14ac:dyDescent="0.35">
      <c r="A33" s="1" t="s">
        <v>49</v>
      </c>
      <c r="B33" s="1" t="s">
        <v>56</v>
      </c>
      <c r="C33" s="1" t="s">
        <v>34</v>
      </c>
      <c r="D33" s="1" t="s">
        <v>12</v>
      </c>
      <c r="E33" s="2">
        <v>1023.21</v>
      </c>
      <c r="F33" s="2">
        <v>18</v>
      </c>
      <c r="G33" s="2">
        <v>0.05</v>
      </c>
      <c r="H33" s="3">
        <v>45428</v>
      </c>
      <c r="I33" s="2">
        <v>388.82</v>
      </c>
      <c r="J33" t="str">
        <v>May-2024</v>
      </c>
      <c r="K33" s="9">
        <f t="shared" ca="1" si="0"/>
        <v>46066.577718749999</v>
      </c>
      <c r="L33">
        <f ca="1"/>
        <v>638.57771874999889</v>
      </c>
      <c r="M33" s="11" t="str">
        <f ca="1"/>
        <v>↑</v>
      </c>
      <c r="P33" s="11" t="str">
        <f t="shared" si="1"/>
        <v>Normal</v>
      </c>
      <c r="Q33" s="15">
        <f t="shared" si="2"/>
        <v>1.55</v>
      </c>
      <c r="R33" s="16">
        <f t="shared" si="3"/>
        <v>1023.21</v>
      </c>
      <c r="S33" s="16"/>
      <c r="T33" s="15"/>
    </row>
    <row r="34" spans="1:20" ht="15" thickBot="1" x14ac:dyDescent="0.35">
      <c r="A34" s="1" t="s">
        <v>28</v>
      </c>
      <c r="B34" s="1" t="s">
        <v>47</v>
      </c>
      <c r="C34" s="1" t="s">
        <v>11</v>
      </c>
      <c r="D34" s="1" t="s">
        <v>27</v>
      </c>
      <c r="E34" s="2">
        <v>853.72</v>
      </c>
      <c r="F34" s="2">
        <v>5</v>
      </c>
      <c r="G34" s="2">
        <v>0.15</v>
      </c>
      <c r="H34" s="3">
        <v>45428</v>
      </c>
      <c r="I34" s="2">
        <v>253.98</v>
      </c>
      <c r="J34" t="str">
        <v>May-2024</v>
      </c>
      <c r="K34" s="9">
        <f t="shared" ca="1" si="0"/>
        <v>46066.577718749999</v>
      </c>
      <c r="L34">
        <f ca="1"/>
        <v>638.57771874999889</v>
      </c>
      <c r="M34" s="11" t="str">
        <f ca="1"/>
        <v>↑</v>
      </c>
      <c r="P34" s="11" t="str">
        <f t="shared" si="1"/>
        <v>Normal</v>
      </c>
      <c r="Q34" s="15">
        <f t="shared" si="2"/>
        <v>1.6</v>
      </c>
      <c r="R34" s="16">
        <f t="shared" si="3"/>
        <v>853.72</v>
      </c>
      <c r="S34" s="16"/>
      <c r="T34" s="15"/>
    </row>
    <row r="35" spans="1:20" ht="15" thickBot="1" x14ac:dyDescent="0.35">
      <c r="A35" s="1" t="s">
        <v>57</v>
      </c>
      <c r="B35" s="1" t="s">
        <v>43</v>
      </c>
      <c r="C35" s="1" t="s">
        <v>20</v>
      </c>
      <c r="D35" s="1" t="s">
        <v>21</v>
      </c>
      <c r="E35" s="2">
        <v>967.89</v>
      </c>
      <c r="F35" s="2">
        <v>10</v>
      </c>
      <c r="G35" s="2">
        <v>0.1</v>
      </c>
      <c r="H35" s="3">
        <v>45429</v>
      </c>
      <c r="I35" s="2">
        <v>217.78</v>
      </c>
      <c r="J35" t="str">
        <v>May-2024</v>
      </c>
      <c r="K35" s="9">
        <f t="shared" ca="1" si="0"/>
        <v>46066.577718749999</v>
      </c>
      <c r="L35">
        <f ca="1"/>
        <v>637.57771874999889</v>
      </c>
      <c r="M35" s="11" t="str">
        <f ca="1"/>
        <v>↑</v>
      </c>
      <c r="P35" s="11" t="str">
        <f t="shared" si="1"/>
        <v>Normal</v>
      </c>
      <c r="Q35" s="15">
        <f t="shared" si="2"/>
        <v>1.6500000000000001</v>
      </c>
      <c r="R35" s="16">
        <f t="shared" si="3"/>
        <v>967.89</v>
      </c>
      <c r="S35" s="16"/>
      <c r="T35" s="15"/>
    </row>
    <row r="36" spans="1:20" ht="15" thickBot="1" x14ac:dyDescent="0.35">
      <c r="A36" s="1" t="s">
        <v>58</v>
      </c>
      <c r="B36" s="1" t="s">
        <v>53</v>
      </c>
      <c r="C36" s="1" t="s">
        <v>24</v>
      </c>
      <c r="D36" s="1" t="s">
        <v>39</v>
      </c>
      <c r="E36" s="2">
        <v>1200.9000000000001</v>
      </c>
      <c r="F36" s="2">
        <v>14</v>
      </c>
      <c r="G36" s="2">
        <v>0.05</v>
      </c>
      <c r="H36" s="3">
        <v>45429</v>
      </c>
      <c r="I36" s="2">
        <v>513.38</v>
      </c>
      <c r="J36" t="str">
        <v>May-2024</v>
      </c>
      <c r="K36" s="9">
        <f t="shared" ca="1" si="0"/>
        <v>46066.577718749999</v>
      </c>
      <c r="L36">
        <f ca="1"/>
        <v>637.57771874999889</v>
      </c>
      <c r="M36" s="11" t="str">
        <f ca="1"/>
        <v>↑</v>
      </c>
      <c r="P36" s="11" t="str">
        <f t="shared" si="1"/>
        <v>Normal</v>
      </c>
      <c r="Q36" s="15">
        <f t="shared" si="2"/>
        <v>1.7000000000000002</v>
      </c>
      <c r="R36" s="16">
        <f t="shared" si="3"/>
        <v>1200.9000000000001</v>
      </c>
      <c r="S36" s="16"/>
      <c r="T36" s="15"/>
    </row>
    <row r="37" spans="1:20" ht="15" thickBot="1" x14ac:dyDescent="0.35">
      <c r="A37" s="1" t="s">
        <v>13</v>
      </c>
      <c r="B37" s="1" t="s">
        <v>26</v>
      </c>
      <c r="C37" s="1" t="s">
        <v>11</v>
      </c>
      <c r="D37" s="1" t="s">
        <v>12</v>
      </c>
      <c r="E37" s="2">
        <v>472.38</v>
      </c>
      <c r="F37" s="2">
        <v>12</v>
      </c>
      <c r="G37" s="2">
        <v>0.2</v>
      </c>
      <c r="H37" s="3">
        <v>45429</v>
      </c>
      <c r="I37" s="2">
        <v>151.16</v>
      </c>
      <c r="J37" t="str">
        <v>May-2024</v>
      </c>
      <c r="K37" s="9">
        <f t="shared" ca="1" si="0"/>
        <v>46066.577718749999</v>
      </c>
      <c r="L37">
        <f ca="1"/>
        <v>637.57771874999889</v>
      </c>
      <c r="M37" s="11" t="str">
        <f ca="1"/>
        <v>↑</v>
      </c>
      <c r="P37" s="11" t="str">
        <f t="shared" si="1"/>
        <v>Normal</v>
      </c>
      <c r="Q37" s="15">
        <f t="shared" si="2"/>
        <v>1.75</v>
      </c>
      <c r="R37" s="16">
        <f t="shared" si="3"/>
        <v>472.38</v>
      </c>
      <c r="S37" s="16"/>
      <c r="T37" s="15"/>
    </row>
    <row r="38" spans="1:20" ht="15" thickBot="1" x14ac:dyDescent="0.35">
      <c r="A38" s="1" t="s">
        <v>9</v>
      </c>
      <c r="B38" s="1" t="s">
        <v>55</v>
      </c>
      <c r="C38" s="1" t="s">
        <v>18</v>
      </c>
      <c r="D38" s="1" t="s">
        <v>39</v>
      </c>
      <c r="E38" s="2">
        <v>840.92</v>
      </c>
      <c r="F38" s="2">
        <v>9</v>
      </c>
      <c r="G38" s="2">
        <v>0.05</v>
      </c>
      <c r="H38" s="3">
        <v>45429</v>
      </c>
      <c r="I38" s="2">
        <v>359.49</v>
      </c>
      <c r="J38" t="str">
        <v>May-2024</v>
      </c>
      <c r="K38" s="9">
        <f t="shared" ca="1" si="0"/>
        <v>46066.577718749999</v>
      </c>
      <c r="L38">
        <f ca="1"/>
        <v>637.57771874999889</v>
      </c>
      <c r="M38" s="11" t="str">
        <f ca="1"/>
        <v>↑</v>
      </c>
      <c r="P38" s="11" t="str">
        <f t="shared" si="1"/>
        <v>Normal</v>
      </c>
      <c r="Q38" s="15">
        <f t="shared" si="2"/>
        <v>1.8</v>
      </c>
      <c r="R38" s="16">
        <f t="shared" si="3"/>
        <v>840.92</v>
      </c>
      <c r="S38" s="16"/>
      <c r="T38" s="15"/>
    </row>
    <row r="39" spans="1:20" ht="15" thickBot="1" x14ac:dyDescent="0.35">
      <c r="A39" s="1" t="s">
        <v>52</v>
      </c>
      <c r="B39" s="1" t="s">
        <v>48</v>
      </c>
      <c r="C39" s="1" t="s">
        <v>34</v>
      </c>
      <c r="D39" s="1" t="s">
        <v>27</v>
      </c>
      <c r="E39" s="2">
        <v>1410.06</v>
      </c>
      <c r="F39" s="2">
        <v>11</v>
      </c>
      <c r="G39" s="2">
        <v>0.05</v>
      </c>
      <c r="H39" s="3">
        <v>45434</v>
      </c>
      <c r="I39" s="2">
        <v>468.84</v>
      </c>
      <c r="J39" t="str">
        <v>May-2024</v>
      </c>
      <c r="K39" s="9">
        <f t="shared" ca="1" si="0"/>
        <v>46066.577718749999</v>
      </c>
      <c r="L39">
        <f ca="1"/>
        <v>632.57771874999889</v>
      </c>
      <c r="M39" s="11" t="str">
        <f ca="1"/>
        <v>↑</v>
      </c>
      <c r="P39" s="11" t="str">
        <f t="shared" si="1"/>
        <v>Normal</v>
      </c>
      <c r="Q39" s="15">
        <f t="shared" si="2"/>
        <v>1.85</v>
      </c>
      <c r="R39" s="16">
        <f t="shared" si="3"/>
        <v>1410.06</v>
      </c>
      <c r="S39" s="16"/>
      <c r="T39" s="15"/>
    </row>
    <row r="40" spans="1:20" ht="15" thickBot="1" x14ac:dyDescent="0.35">
      <c r="A40" s="1" t="s">
        <v>44</v>
      </c>
      <c r="B40" s="1" t="s">
        <v>59</v>
      </c>
      <c r="C40" s="1" t="s">
        <v>34</v>
      </c>
      <c r="D40" s="1" t="s">
        <v>27</v>
      </c>
      <c r="E40" s="2">
        <v>773.09</v>
      </c>
      <c r="F40" s="2">
        <v>13</v>
      </c>
      <c r="G40" s="2">
        <v>0.15</v>
      </c>
      <c r="H40" s="3">
        <v>45434</v>
      </c>
      <c r="I40" s="2">
        <v>229.99</v>
      </c>
      <c r="J40" t="str">
        <v>May-2024</v>
      </c>
      <c r="K40" s="9">
        <f t="shared" ca="1" si="0"/>
        <v>46066.577718749999</v>
      </c>
      <c r="L40">
        <f ca="1"/>
        <v>632.57771874999889</v>
      </c>
      <c r="M40" s="11" t="str">
        <f ca="1"/>
        <v>↑</v>
      </c>
      <c r="P40" s="11" t="str">
        <f t="shared" si="1"/>
        <v>Normal</v>
      </c>
      <c r="Q40" s="15">
        <f t="shared" si="2"/>
        <v>1.9000000000000001</v>
      </c>
      <c r="R40" s="16">
        <f t="shared" si="3"/>
        <v>773.09</v>
      </c>
      <c r="S40" s="16"/>
      <c r="T40" s="15"/>
    </row>
    <row r="41" spans="1:20" ht="15" thickBot="1" x14ac:dyDescent="0.35">
      <c r="A41" s="1" t="s">
        <v>60</v>
      </c>
      <c r="B41" s="1" t="s">
        <v>61</v>
      </c>
      <c r="C41" s="1" t="s">
        <v>18</v>
      </c>
      <c r="D41" s="1" t="s">
        <v>12</v>
      </c>
      <c r="E41" s="2">
        <v>580.42999999999995</v>
      </c>
      <c r="F41" s="2">
        <v>19</v>
      </c>
      <c r="G41" s="2">
        <v>0.15</v>
      </c>
      <c r="H41" s="3">
        <v>45435</v>
      </c>
      <c r="I41" s="2">
        <v>197.35</v>
      </c>
      <c r="J41" t="str">
        <v>May-2024</v>
      </c>
      <c r="K41" s="9">
        <f t="shared" ca="1" si="0"/>
        <v>46066.577718749999</v>
      </c>
      <c r="L41">
        <f ca="1"/>
        <v>631.57771874999889</v>
      </c>
      <c r="M41" s="11" t="str">
        <f ca="1"/>
        <v>↑</v>
      </c>
      <c r="P41" s="11" t="str">
        <f t="shared" si="1"/>
        <v>Normal</v>
      </c>
      <c r="Q41" s="15">
        <f t="shared" si="2"/>
        <v>1.9500000000000002</v>
      </c>
      <c r="R41" s="16">
        <f t="shared" si="3"/>
        <v>580.42999999999995</v>
      </c>
      <c r="S41" s="16"/>
      <c r="T41" s="15"/>
    </row>
    <row r="42" spans="1:20" ht="15" thickBot="1" x14ac:dyDescent="0.35">
      <c r="A42" s="1" t="s">
        <v>19</v>
      </c>
      <c r="B42" s="1" t="s">
        <v>42</v>
      </c>
      <c r="C42" s="1" t="s">
        <v>20</v>
      </c>
      <c r="D42" s="1" t="s">
        <v>12</v>
      </c>
      <c r="E42" s="2">
        <v>1151.21</v>
      </c>
      <c r="F42" s="2">
        <v>15</v>
      </c>
      <c r="G42" s="2">
        <v>0.1</v>
      </c>
      <c r="H42" s="3">
        <v>45445</v>
      </c>
      <c r="I42" s="2">
        <v>414.44</v>
      </c>
      <c r="J42" t="str">
        <v>Jun-2024</v>
      </c>
      <c r="K42" s="9">
        <f t="shared" ca="1" si="0"/>
        <v>46066.577718749999</v>
      </c>
      <c r="L42">
        <f ca="1"/>
        <v>621.57771874999889</v>
      </c>
      <c r="M42" s="11" t="str">
        <f ca="1"/>
        <v>↑</v>
      </c>
      <c r="P42" s="11" t="str">
        <f t="shared" si="1"/>
        <v>Normal</v>
      </c>
      <c r="Q42" s="15">
        <f t="shared" si="2"/>
        <v>2</v>
      </c>
      <c r="R42" s="16">
        <f t="shared" si="3"/>
        <v>1151.21</v>
      </c>
      <c r="S42" s="16"/>
      <c r="T42" s="15"/>
    </row>
    <row r="43" spans="1:20" ht="15" thickBot="1" x14ac:dyDescent="0.35">
      <c r="A43" s="1" t="s">
        <v>52</v>
      </c>
      <c r="B43" s="1" t="s">
        <v>23</v>
      </c>
      <c r="C43" s="1" t="s">
        <v>34</v>
      </c>
      <c r="D43" s="1" t="s">
        <v>39</v>
      </c>
      <c r="E43" s="2">
        <v>1025.98</v>
      </c>
      <c r="F43" s="2">
        <v>5</v>
      </c>
      <c r="G43" s="2">
        <v>0.2</v>
      </c>
      <c r="H43" s="3">
        <v>45447</v>
      </c>
      <c r="I43" s="2">
        <v>369.35</v>
      </c>
      <c r="J43" t="str">
        <v>Jun-2024</v>
      </c>
      <c r="K43" s="9">
        <f t="shared" ca="1" si="0"/>
        <v>46066.577718749999</v>
      </c>
      <c r="L43">
        <f ca="1"/>
        <v>619.57771874999889</v>
      </c>
      <c r="M43" s="11" t="str">
        <f ca="1"/>
        <v>↑</v>
      </c>
      <c r="P43" s="11" t="str">
        <f t="shared" si="1"/>
        <v>Normal</v>
      </c>
      <c r="Q43" s="15">
        <f t="shared" si="2"/>
        <v>2.0500000000000003</v>
      </c>
      <c r="R43" s="16">
        <f t="shared" si="3"/>
        <v>1025.98</v>
      </c>
      <c r="S43" s="16"/>
      <c r="T43" s="15"/>
    </row>
    <row r="44" spans="1:20" ht="15" thickBot="1" x14ac:dyDescent="0.35">
      <c r="A44" s="1" t="s">
        <v>40</v>
      </c>
      <c r="B44" s="1" t="s">
        <v>56</v>
      </c>
      <c r="C44" s="1" t="s">
        <v>18</v>
      </c>
      <c r="D44" s="1" t="s">
        <v>39</v>
      </c>
      <c r="E44" s="2">
        <v>556.41999999999996</v>
      </c>
      <c r="F44" s="2">
        <v>11</v>
      </c>
      <c r="G44" s="2">
        <v>0.15</v>
      </c>
      <c r="H44" s="3">
        <v>45447</v>
      </c>
      <c r="I44" s="2">
        <v>212.83</v>
      </c>
      <c r="J44" t="str">
        <v>Jun-2024</v>
      </c>
      <c r="K44" s="9">
        <f t="shared" ca="1" si="0"/>
        <v>46066.577718749999</v>
      </c>
      <c r="L44">
        <f ca="1"/>
        <v>619.57771874999889</v>
      </c>
      <c r="M44" s="11" t="str">
        <f ca="1"/>
        <v>↑</v>
      </c>
      <c r="P44" s="11" t="str">
        <f t="shared" si="1"/>
        <v>Normal</v>
      </c>
      <c r="Q44" s="15">
        <f t="shared" si="2"/>
        <v>2.1</v>
      </c>
      <c r="R44" s="16">
        <f t="shared" si="3"/>
        <v>556.41999999999996</v>
      </c>
      <c r="S44" s="16"/>
      <c r="T44" s="15"/>
    </row>
    <row r="45" spans="1:20" ht="15" thickBot="1" x14ac:dyDescent="0.35">
      <c r="A45" s="1" t="s">
        <v>57</v>
      </c>
      <c r="B45" s="1" t="s">
        <v>23</v>
      </c>
      <c r="C45" s="1" t="s">
        <v>34</v>
      </c>
      <c r="D45" s="1" t="s">
        <v>12</v>
      </c>
      <c r="E45" s="2">
        <v>840.85</v>
      </c>
      <c r="F45" s="2">
        <v>19</v>
      </c>
      <c r="G45" s="2">
        <v>0.1</v>
      </c>
      <c r="H45" s="3">
        <v>45448</v>
      </c>
      <c r="I45" s="2">
        <v>302.70999999999998</v>
      </c>
      <c r="J45" t="str">
        <v>Jun-2024</v>
      </c>
      <c r="K45" s="9">
        <f t="shared" ca="1" si="0"/>
        <v>46066.577718749999</v>
      </c>
      <c r="L45">
        <f ca="1"/>
        <v>618.57771874999889</v>
      </c>
      <c r="M45" s="11" t="str">
        <f ca="1"/>
        <v>↑</v>
      </c>
      <c r="P45" s="11" t="str">
        <f t="shared" si="1"/>
        <v>Normal</v>
      </c>
      <c r="Q45" s="15">
        <f t="shared" si="2"/>
        <v>2.15</v>
      </c>
      <c r="R45" s="16">
        <f t="shared" si="3"/>
        <v>840.85</v>
      </c>
      <c r="S45" s="16"/>
      <c r="T45" s="15"/>
    </row>
    <row r="46" spans="1:20" ht="15" thickBot="1" x14ac:dyDescent="0.35">
      <c r="A46" s="1" t="s">
        <v>30</v>
      </c>
      <c r="B46" s="1" t="s">
        <v>61</v>
      </c>
      <c r="C46" s="1" t="s">
        <v>24</v>
      </c>
      <c r="D46" s="1" t="s">
        <v>27</v>
      </c>
      <c r="E46" s="2">
        <v>1227.25</v>
      </c>
      <c r="F46" s="2">
        <v>12</v>
      </c>
      <c r="G46" s="2">
        <v>0.15</v>
      </c>
      <c r="H46" s="3">
        <v>45448</v>
      </c>
      <c r="I46" s="2">
        <v>365.11</v>
      </c>
      <c r="J46" t="str">
        <v>Jun-2024</v>
      </c>
      <c r="K46" s="9">
        <f t="shared" ca="1" si="0"/>
        <v>46066.577718749999</v>
      </c>
      <c r="L46">
        <f ca="1"/>
        <v>618.57771874999889</v>
      </c>
      <c r="M46" s="11" t="str">
        <f ca="1"/>
        <v>↑</v>
      </c>
      <c r="P46" s="11" t="str">
        <f t="shared" si="1"/>
        <v>Normal</v>
      </c>
      <c r="Q46" s="15">
        <f t="shared" si="2"/>
        <v>2.2000000000000002</v>
      </c>
      <c r="R46" s="16">
        <f t="shared" si="3"/>
        <v>1227.25</v>
      </c>
      <c r="S46" s="16"/>
      <c r="T46" s="15"/>
    </row>
    <row r="47" spans="1:20" ht="15" thickBot="1" x14ac:dyDescent="0.35">
      <c r="A47" s="1" t="s">
        <v>16</v>
      </c>
      <c r="B47" s="1" t="s">
        <v>62</v>
      </c>
      <c r="C47" s="1" t="s">
        <v>34</v>
      </c>
      <c r="D47" s="1" t="s">
        <v>21</v>
      </c>
      <c r="E47" s="2">
        <v>856.7</v>
      </c>
      <c r="F47" s="2">
        <v>2</v>
      </c>
      <c r="G47" s="2">
        <v>0</v>
      </c>
      <c r="H47" s="3">
        <v>45449</v>
      </c>
      <c r="I47" s="2">
        <v>214.18</v>
      </c>
      <c r="J47" t="str">
        <v>Jun-2024</v>
      </c>
      <c r="K47" s="9">
        <f t="shared" ca="1" si="0"/>
        <v>46066.577718749999</v>
      </c>
      <c r="L47">
        <f ca="1"/>
        <v>617.57771874999889</v>
      </c>
      <c r="M47" s="11" t="str">
        <f ca="1"/>
        <v>↑</v>
      </c>
      <c r="P47" s="11" t="str">
        <f t="shared" si="1"/>
        <v>Normal</v>
      </c>
      <c r="Q47" s="15">
        <f t="shared" si="2"/>
        <v>2.25</v>
      </c>
      <c r="R47" s="16">
        <f t="shared" si="3"/>
        <v>856.7</v>
      </c>
      <c r="S47" s="16"/>
      <c r="T47" s="15"/>
    </row>
    <row r="48" spans="1:20" ht="15" thickBot="1" x14ac:dyDescent="0.35">
      <c r="A48" s="1" t="s">
        <v>54</v>
      </c>
      <c r="B48" s="1" t="s">
        <v>56</v>
      </c>
      <c r="C48" s="1" t="s">
        <v>34</v>
      </c>
      <c r="D48" s="1" t="s">
        <v>39</v>
      </c>
      <c r="E48" s="2">
        <v>1225.42</v>
      </c>
      <c r="F48" s="2">
        <v>8</v>
      </c>
      <c r="G48" s="2">
        <v>0.15</v>
      </c>
      <c r="H48" s="3">
        <v>45449</v>
      </c>
      <c r="I48" s="2">
        <v>468.72</v>
      </c>
      <c r="J48" t="str">
        <v>Jun-2024</v>
      </c>
      <c r="K48" s="9">
        <f t="shared" ca="1" si="0"/>
        <v>46066.577718749999</v>
      </c>
      <c r="L48">
        <f ca="1"/>
        <v>617.57771874999889</v>
      </c>
      <c r="M48" s="11" t="str">
        <f ca="1"/>
        <v>↑</v>
      </c>
      <c r="P48" s="11" t="str">
        <f t="shared" si="1"/>
        <v>Normal</v>
      </c>
      <c r="Q48" s="15">
        <f t="shared" si="2"/>
        <v>2.3000000000000003</v>
      </c>
      <c r="R48" s="16">
        <f t="shared" si="3"/>
        <v>1225.42</v>
      </c>
      <c r="S48" s="16"/>
      <c r="T48" s="15"/>
    </row>
    <row r="49" spans="1:20" ht="15" thickBot="1" x14ac:dyDescent="0.35">
      <c r="A49" s="1" t="s">
        <v>63</v>
      </c>
      <c r="B49" s="1" t="s">
        <v>31</v>
      </c>
      <c r="C49" s="1" t="s">
        <v>24</v>
      </c>
      <c r="D49" s="1" t="s">
        <v>39</v>
      </c>
      <c r="E49" s="2">
        <v>1001.57</v>
      </c>
      <c r="F49" s="2">
        <v>12</v>
      </c>
      <c r="G49" s="2">
        <v>0</v>
      </c>
      <c r="H49" s="3">
        <v>45450</v>
      </c>
      <c r="I49" s="2">
        <v>450.71</v>
      </c>
      <c r="J49" t="str">
        <v>Jun-2024</v>
      </c>
      <c r="K49" s="9">
        <f t="shared" ca="1" si="0"/>
        <v>46066.577718749999</v>
      </c>
      <c r="L49">
        <f ca="1"/>
        <v>616.57771874999889</v>
      </c>
      <c r="M49" s="11" t="str">
        <f ca="1"/>
        <v>↑</v>
      </c>
      <c r="P49" s="11" t="str">
        <f t="shared" si="1"/>
        <v>Normal</v>
      </c>
      <c r="Q49" s="15">
        <f t="shared" si="2"/>
        <v>2.35</v>
      </c>
      <c r="R49" s="16">
        <f t="shared" si="3"/>
        <v>1001.57</v>
      </c>
      <c r="S49" s="16"/>
      <c r="T49" s="15"/>
    </row>
    <row r="50" spans="1:20" ht="15" thickBot="1" x14ac:dyDescent="0.35">
      <c r="A50" s="1" t="s">
        <v>57</v>
      </c>
      <c r="B50" s="1" t="s">
        <v>26</v>
      </c>
      <c r="C50" s="1" t="s">
        <v>18</v>
      </c>
      <c r="D50" s="1" t="s">
        <v>27</v>
      </c>
      <c r="E50" s="2">
        <v>1186.8499999999999</v>
      </c>
      <c r="F50" s="2">
        <v>19</v>
      </c>
      <c r="G50" s="2">
        <v>0.2</v>
      </c>
      <c r="H50" s="3">
        <v>45451</v>
      </c>
      <c r="I50" s="2">
        <v>332.32</v>
      </c>
      <c r="J50" t="str">
        <v>Jun-2024</v>
      </c>
      <c r="K50" s="9">
        <f t="shared" ca="1" si="0"/>
        <v>46066.577718749999</v>
      </c>
      <c r="L50">
        <f ca="1"/>
        <v>615.57771874999889</v>
      </c>
      <c r="M50" s="11" t="str">
        <f ca="1"/>
        <v>↑</v>
      </c>
      <c r="P50" s="11" t="str">
        <f t="shared" si="1"/>
        <v>Normal</v>
      </c>
      <c r="Q50" s="15">
        <f t="shared" si="2"/>
        <v>2.4000000000000004</v>
      </c>
      <c r="R50" s="16">
        <f t="shared" si="3"/>
        <v>1186.8499999999999</v>
      </c>
      <c r="S50" s="16"/>
      <c r="T50" s="15"/>
    </row>
    <row r="51" spans="1:20" ht="15" thickBot="1" x14ac:dyDescent="0.35">
      <c r="A51" s="1" t="s">
        <v>44</v>
      </c>
      <c r="B51" s="1" t="s">
        <v>51</v>
      </c>
      <c r="C51" s="1" t="s">
        <v>20</v>
      </c>
      <c r="D51" s="1" t="s">
        <v>21</v>
      </c>
      <c r="E51" s="2">
        <v>775.45</v>
      </c>
      <c r="F51" s="2">
        <v>6</v>
      </c>
      <c r="G51" s="2">
        <v>0.1</v>
      </c>
      <c r="H51" s="3">
        <v>45457</v>
      </c>
      <c r="I51" s="2">
        <v>174.48</v>
      </c>
      <c r="J51" t="str">
        <v>Jun-2024</v>
      </c>
      <c r="K51" s="9">
        <f t="shared" ca="1" si="0"/>
        <v>46066.577718749999</v>
      </c>
      <c r="L51">
        <f ca="1"/>
        <v>609.57771874999889</v>
      </c>
      <c r="M51" s="11" t="str">
        <f ca="1"/>
        <v>↑</v>
      </c>
      <c r="P51" s="11" t="str">
        <f t="shared" si="1"/>
        <v>Normal</v>
      </c>
      <c r="Q51" s="15">
        <f t="shared" si="2"/>
        <v>2.4500000000000002</v>
      </c>
      <c r="R51" s="16">
        <f t="shared" si="3"/>
        <v>775.45</v>
      </c>
      <c r="S51" s="16"/>
      <c r="T51" s="15"/>
    </row>
    <row r="52" spans="1:20" ht="15" thickBot="1" x14ac:dyDescent="0.35">
      <c r="A52" s="1" t="s">
        <v>25</v>
      </c>
      <c r="B52" s="1" t="s">
        <v>33</v>
      </c>
      <c r="C52" s="1" t="s">
        <v>20</v>
      </c>
      <c r="D52" s="1" t="s">
        <v>21</v>
      </c>
      <c r="E52" s="2">
        <v>1021.47</v>
      </c>
      <c r="F52" s="2">
        <v>6</v>
      </c>
      <c r="G52" s="2">
        <v>0.05</v>
      </c>
      <c r="H52" s="3">
        <v>45461</v>
      </c>
      <c r="I52" s="2">
        <v>242.6</v>
      </c>
      <c r="J52" t="str">
        <v>Jun-2024</v>
      </c>
      <c r="K52" s="9">
        <f t="shared" ca="1" si="0"/>
        <v>46066.577718749999</v>
      </c>
      <c r="L52">
        <f ca="1"/>
        <v>605.57771874999889</v>
      </c>
      <c r="M52" s="11" t="str">
        <f ca="1"/>
        <v>↑</v>
      </c>
      <c r="P52" s="11" t="str">
        <f t="shared" si="1"/>
        <v>Normal</v>
      </c>
      <c r="Q52" s="15">
        <f t="shared" si="2"/>
        <v>2.5</v>
      </c>
      <c r="R52" s="16">
        <f t="shared" si="3"/>
        <v>1021.47</v>
      </c>
      <c r="S52" s="16"/>
      <c r="T52" s="15"/>
    </row>
    <row r="53" spans="1:20" ht="15" thickBot="1" x14ac:dyDescent="0.35">
      <c r="A53" s="1" t="s">
        <v>58</v>
      </c>
      <c r="B53" s="1" t="s">
        <v>23</v>
      </c>
      <c r="C53" s="1" t="s">
        <v>20</v>
      </c>
      <c r="D53" s="1" t="s">
        <v>15</v>
      </c>
      <c r="E53" s="2">
        <v>1226.6199999999999</v>
      </c>
      <c r="F53" s="2">
        <v>7</v>
      </c>
      <c r="G53" s="2">
        <v>0.1</v>
      </c>
      <c r="H53" s="3">
        <v>45463</v>
      </c>
      <c r="I53" s="2">
        <v>551.98</v>
      </c>
      <c r="J53" t="str">
        <v>Jun-2024</v>
      </c>
      <c r="K53" s="9">
        <f t="shared" ca="1" si="0"/>
        <v>46066.577718749999</v>
      </c>
      <c r="L53">
        <f ca="1"/>
        <v>603.57771874999889</v>
      </c>
      <c r="M53" s="11" t="str">
        <f ca="1"/>
        <v>↑</v>
      </c>
      <c r="P53" s="11" t="str">
        <f t="shared" si="1"/>
        <v>Normal</v>
      </c>
      <c r="Q53" s="15">
        <f t="shared" si="2"/>
        <v>2.5500000000000003</v>
      </c>
      <c r="R53" s="16">
        <f t="shared" si="3"/>
        <v>1226.6199999999999</v>
      </c>
      <c r="S53" s="16"/>
      <c r="T53" s="15"/>
    </row>
    <row r="54" spans="1:20" ht="15" thickBot="1" x14ac:dyDescent="0.35">
      <c r="A54" s="1" t="s">
        <v>22</v>
      </c>
      <c r="B54" s="1" t="s">
        <v>64</v>
      </c>
      <c r="C54" s="1" t="s">
        <v>20</v>
      </c>
      <c r="D54" s="1" t="s">
        <v>27</v>
      </c>
      <c r="E54" s="2">
        <v>1086.93</v>
      </c>
      <c r="F54" s="2">
        <v>2</v>
      </c>
      <c r="G54" s="2">
        <v>0</v>
      </c>
      <c r="H54" s="3">
        <v>45464</v>
      </c>
      <c r="I54" s="2">
        <v>380.43</v>
      </c>
      <c r="J54" t="str">
        <v>Jun-2024</v>
      </c>
      <c r="K54" s="9">
        <f t="shared" ca="1" si="0"/>
        <v>46066.577718749999</v>
      </c>
      <c r="L54">
        <f ca="1"/>
        <v>602.57771874999889</v>
      </c>
      <c r="M54" s="11" t="str">
        <f ca="1"/>
        <v>↑</v>
      </c>
      <c r="P54" s="11" t="str">
        <f t="shared" si="1"/>
        <v>Normal</v>
      </c>
      <c r="Q54" s="15">
        <f t="shared" si="2"/>
        <v>2.6</v>
      </c>
      <c r="R54" s="16">
        <f t="shared" si="3"/>
        <v>1086.93</v>
      </c>
      <c r="S54" s="16"/>
      <c r="T54" s="15"/>
    </row>
    <row r="55" spans="1:20" ht="15" thickBot="1" x14ac:dyDescent="0.35">
      <c r="A55" s="1" t="s">
        <v>65</v>
      </c>
      <c r="B55" s="1" t="s">
        <v>48</v>
      </c>
      <c r="C55" s="1" t="s">
        <v>11</v>
      </c>
      <c r="D55" s="1" t="s">
        <v>12</v>
      </c>
      <c r="E55" s="2">
        <v>942.9</v>
      </c>
      <c r="F55" s="2">
        <v>18</v>
      </c>
      <c r="G55" s="2">
        <v>0.1</v>
      </c>
      <c r="H55" s="3">
        <v>45466</v>
      </c>
      <c r="I55" s="2">
        <v>339.44</v>
      </c>
      <c r="J55" t="str">
        <v>Jun-2024</v>
      </c>
      <c r="K55" s="9">
        <f t="shared" ca="1" si="0"/>
        <v>46066.577718749999</v>
      </c>
      <c r="L55">
        <f ca="1"/>
        <v>600.57771874999889</v>
      </c>
      <c r="M55" s="11" t="str">
        <f ca="1"/>
        <v>↑</v>
      </c>
      <c r="P55" s="11" t="str">
        <f t="shared" si="1"/>
        <v>Normal</v>
      </c>
      <c r="Q55" s="15">
        <f t="shared" si="2"/>
        <v>2.6500000000000004</v>
      </c>
      <c r="R55" s="16">
        <f t="shared" si="3"/>
        <v>942.9</v>
      </c>
      <c r="S55" s="16"/>
      <c r="T55" s="15"/>
    </row>
    <row r="56" spans="1:20" ht="15" thickBot="1" x14ac:dyDescent="0.35">
      <c r="A56" s="1" t="s">
        <v>32</v>
      </c>
      <c r="B56" s="1" t="s">
        <v>38</v>
      </c>
      <c r="C56" s="1" t="s">
        <v>24</v>
      </c>
      <c r="D56" s="1" t="s">
        <v>21</v>
      </c>
      <c r="E56" s="2">
        <v>818.8</v>
      </c>
      <c r="F56" s="2">
        <v>15</v>
      </c>
      <c r="G56" s="2">
        <v>0.15</v>
      </c>
      <c r="H56" s="3">
        <v>45468</v>
      </c>
      <c r="I56" s="2">
        <v>173.99</v>
      </c>
      <c r="J56" t="str">
        <v>Jun-2024</v>
      </c>
      <c r="K56" s="9">
        <f t="shared" ca="1" si="0"/>
        <v>46066.577718749999</v>
      </c>
      <c r="L56">
        <f ca="1"/>
        <v>598.57771874999889</v>
      </c>
      <c r="M56" s="11" t="str">
        <f ca="1"/>
        <v>↑</v>
      </c>
      <c r="P56" s="11" t="str">
        <f t="shared" si="1"/>
        <v>Normal</v>
      </c>
      <c r="Q56" s="15">
        <f t="shared" si="2"/>
        <v>2.7</v>
      </c>
      <c r="R56" s="16">
        <f t="shared" si="3"/>
        <v>818.8</v>
      </c>
      <c r="S56" s="16"/>
      <c r="T56" s="15"/>
    </row>
    <row r="57" spans="1:20" ht="15" thickBot="1" x14ac:dyDescent="0.35">
      <c r="A57" s="1" t="s">
        <v>19</v>
      </c>
      <c r="B57" s="1" t="s">
        <v>14</v>
      </c>
      <c r="C57" s="1" t="s">
        <v>20</v>
      </c>
      <c r="D57" s="1" t="s">
        <v>27</v>
      </c>
      <c r="E57" s="2">
        <v>919.04</v>
      </c>
      <c r="F57" s="2">
        <v>10</v>
      </c>
      <c r="G57" s="2">
        <v>0.2</v>
      </c>
      <c r="H57" s="3">
        <v>45468</v>
      </c>
      <c r="I57" s="2">
        <v>257.33</v>
      </c>
      <c r="J57" t="str">
        <v>Jun-2024</v>
      </c>
      <c r="K57" s="9">
        <f t="shared" ca="1" si="0"/>
        <v>46066.577718749999</v>
      </c>
      <c r="L57">
        <f ca="1"/>
        <v>598.57771874999889</v>
      </c>
      <c r="M57" s="11" t="str">
        <f ca="1"/>
        <v>↑</v>
      </c>
      <c r="P57" s="11" t="str">
        <f t="shared" si="1"/>
        <v>Normal</v>
      </c>
      <c r="Q57" s="15">
        <f t="shared" si="2"/>
        <v>2.75</v>
      </c>
      <c r="R57" s="16">
        <f t="shared" si="3"/>
        <v>919.04</v>
      </c>
      <c r="S57" s="16"/>
      <c r="T57" s="15"/>
    </row>
    <row r="58" spans="1:20" ht="15" thickBot="1" x14ac:dyDescent="0.35">
      <c r="A58" s="1" t="s">
        <v>22</v>
      </c>
      <c r="B58" s="1" t="s">
        <v>66</v>
      </c>
      <c r="C58" s="1" t="s">
        <v>34</v>
      </c>
      <c r="D58" s="1" t="s">
        <v>12</v>
      </c>
      <c r="E58" s="2">
        <v>973.26</v>
      </c>
      <c r="F58" s="2">
        <v>11</v>
      </c>
      <c r="G58" s="2">
        <v>0</v>
      </c>
      <c r="H58" s="3">
        <v>45470</v>
      </c>
      <c r="I58" s="2">
        <v>389.3</v>
      </c>
      <c r="J58" t="str">
        <v>Jun-2024</v>
      </c>
      <c r="K58" s="9">
        <f t="shared" ca="1" si="0"/>
        <v>46066.577718749999</v>
      </c>
      <c r="L58">
        <f ca="1"/>
        <v>596.57771874999889</v>
      </c>
      <c r="M58" s="11" t="str">
        <f ca="1"/>
        <v>↑</v>
      </c>
      <c r="P58" s="11" t="str">
        <f t="shared" si="1"/>
        <v>Normal</v>
      </c>
      <c r="Q58" s="15">
        <f t="shared" si="2"/>
        <v>2.8000000000000003</v>
      </c>
      <c r="R58" s="16">
        <f t="shared" si="3"/>
        <v>973.26</v>
      </c>
      <c r="S58" s="16"/>
      <c r="T58" s="15"/>
    </row>
    <row r="59" spans="1:20" ht="15" thickBot="1" x14ac:dyDescent="0.35">
      <c r="A59" s="1" t="s">
        <v>41</v>
      </c>
      <c r="B59" s="1" t="s">
        <v>64</v>
      </c>
      <c r="C59" s="1" t="s">
        <v>24</v>
      </c>
      <c r="D59" s="1" t="s">
        <v>21</v>
      </c>
      <c r="E59" s="2">
        <v>741.61</v>
      </c>
      <c r="F59" s="2">
        <v>1</v>
      </c>
      <c r="G59" s="2">
        <v>0.2</v>
      </c>
      <c r="H59" s="3">
        <v>45471</v>
      </c>
      <c r="I59" s="2">
        <v>148.32</v>
      </c>
      <c r="J59" t="str">
        <v>Jun-2024</v>
      </c>
      <c r="K59" s="9">
        <f t="shared" ca="1" si="0"/>
        <v>46066.577718749999</v>
      </c>
      <c r="L59">
        <f ca="1"/>
        <v>595.57771874999889</v>
      </c>
      <c r="M59" s="11" t="str">
        <f ca="1"/>
        <v>↑</v>
      </c>
      <c r="P59" s="11" t="str">
        <f t="shared" si="1"/>
        <v>Normal</v>
      </c>
      <c r="Q59" s="15">
        <f t="shared" si="2"/>
        <v>2.85</v>
      </c>
      <c r="R59" s="16">
        <f t="shared" si="3"/>
        <v>741.61</v>
      </c>
      <c r="S59" s="16"/>
      <c r="T59" s="15"/>
    </row>
    <row r="60" spans="1:20" ht="15" thickBot="1" x14ac:dyDescent="0.35">
      <c r="A60" s="1" t="s">
        <v>67</v>
      </c>
      <c r="B60" s="1" t="s">
        <v>38</v>
      </c>
      <c r="C60" s="1" t="s">
        <v>24</v>
      </c>
      <c r="D60" s="1" t="s">
        <v>12</v>
      </c>
      <c r="E60" s="2">
        <v>1248.82</v>
      </c>
      <c r="F60" s="2">
        <v>2</v>
      </c>
      <c r="G60" s="2">
        <v>0.1</v>
      </c>
      <c r="H60" s="3">
        <v>45473</v>
      </c>
      <c r="I60" s="2">
        <v>449.58</v>
      </c>
      <c r="J60" t="str">
        <v>Jun-2024</v>
      </c>
      <c r="K60" s="9">
        <f t="shared" ca="1" si="0"/>
        <v>46066.577718749999</v>
      </c>
      <c r="L60">
        <f ca="1"/>
        <v>593.57771874999889</v>
      </c>
      <c r="M60" s="11" t="str">
        <f ca="1"/>
        <v>↑</v>
      </c>
      <c r="P60" s="11" t="str">
        <f t="shared" si="1"/>
        <v>Normal</v>
      </c>
      <c r="Q60" s="15">
        <f t="shared" si="2"/>
        <v>2.9000000000000004</v>
      </c>
      <c r="R60" s="16">
        <f t="shared" si="3"/>
        <v>1248.82</v>
      </c>
      <c r="S60" s="16"/>
      <c r="T60" s="15"/>
    </row>
    <row r="61" spans="1:20" ht="15" thickBot="1" x14ac:dyDescent="0.35">
      <c r="A61" s="1" t="s">
        <v>13</v>
      </c>
      <c r="B61" s="1" t="s">
        <v>59</v>
      </c>
      <c r="C61" s="1" t="s">
        <v>11</v>
      </c>
      <c r="D61" s="1" t="s">
        <v>15</v>
      </c>
      <c r="E61" s="2">
        <v>1360.36</v>
      </c>
      <c r="F61" s="2">
        <v>17</v>
      </c>
      <c r="G61" s="2">
        <v>0</v>
      </c>
      <c r="H61" s="3">
        <v>45473</v>
      </c>
      <c r="I61" s="2">
        <v>680.18</v>
      </c>
      <c r="J61" t="str">
        <v>Jun-2024</v>
      </c>
      <c r="K61" s="9">
        <f t="shared" ca="1" si="0"/>
        <v>46066.577718749999</v>
      </c>
      <c r="L61">
        <f ca="1"/>
        <v>593.57771874999889</v>
      </c>
      <c r="M61" s="11" t="str">
        <f ca="1"/>
        <v>↑</v>
      </c>
      <c r="P61" s="11" t="str">
        <f t="shared" si="1"/>
        <v>Normal</v>
      </c>
      <c r="Q61" s="15">
        <f t="shared" si="2"/>
        <v>2.95</v>
      </c>
      <c r="R61" s="16">
        <f t="shared" si="3"/>
        <v>1360.36</v>
      </c>
      <c r="S61" s="16"/>
      <c r="T61" s="15"/>
    </row>
    <row r="62" spans="1:20" ht="15" thickBot="1" x14ac:dyDescent="0.35">
      <c r="A62" s="1" t="s">
        <v>57</v>
      </c>
      <c r="B62" s="1" t="s">
        <v>31</v>
      </c>
      <c r="C62" s="1" t="s">
        <v>18</v>
      </c>
      <c r="D62" s="1" t="s">
        <v>12</v>
      </c>
      <c r="E62" s="2">
        <v>1383.3</v>
      </c>
      <c r="F62" s="2">
        <v>8</v>
      </c>
      <c r="G62" s="2">
        <v>0.1</v>
      </c>
      <c r="H62" s="3">
        <v>45478</v>
      </c>
      <c r="I62" s="2">
        <v>497.99</v>
      </c>
      <c r="J62" t="str">
        <v>Jul-2024</v>
      </c>
      <c r="K62" s="9">
        <f t="shared" ca="1" si="0"/>
        <v>46066.577718749999</v>
      </c>
      <c r="L62">
        <f ca="1"/>
        <v>588.57771874999889</v>
      </c>
      <c r="M62" s="11" t="str">
        <f ca="1"/>
        <v>↑</v>
      </c>
      <c r="P62" s="11" t="str">
        <f t="shared" si="1"/>
        <v>Normal</v>
      </c>
      <c r="Q62" s="15">
        <f t="shared" si="2"/>
        <v>3</v>
      </c>
      <c r="R62" s="16">
        <f t="shared" si="3"/>
        <v>1383.3</v>
      </c>
      <c r="S62" s="16"/>
      <c r="T62" s="15"/>
    </row>
    <row r="63" spans="1:20" ht="15" thickBot="1" x14ac:dyDescent="0.35">
      <c r="A63" s="1" t="s">
        <v>35</v>
      </c>
      <c r="B63" s="1" t="s">
        <v>55</v>
      </c>
      <c r="C63" s="1" t="s">
        <v>34</v>
      </c>
      <c r="D63" s="1" t="s">
        <v>39</v>
      </c>
      <c r="E63" s="2">
        <v>488.99</v>
      </c>
      <c r="F63" s="2">
        <v>9</v>
      </c>
      <c r="G63" s="2">
        <v>0</v>
      </c>
      <c r="H63" s="3">
        <v>45479</v>
      </c>
      <c r="I63" s="2">
        <v>220.05</v>
      </c>
      <c r="J63" t="str">
        <v>Jul-2024</v>
      </c>
      <c r="K63" s="9">
        <f t="shared" ca="1" si="0"/>
        <v>46066.577718749999</v>
      </c>
      <c r="L63">
        <f ca="1"/>
        <v>587.57771874999889</v>
      </c>
      <c r="M63" s="11" t="str">
        <f ca="1"/>
        <v>↑</v>
      </c>
      <c r="P63" s="11" t="str">
        <f t="shared" si="1"/>
        <v>Normal</v>
      </c>
      <c r="Q63" s="15">
        <f t="shared" si="2"/>
        <v>3.0500000000000003</v>
      </c>
      <c r="R63" s="16">
        <f t="shared" si="3"/>
        <v>488.99</v>
      </c>
      <c r="S63" s="16"/>
      <c r="T63" s="15"/>
    </row>
    <row r="64" spans="1:20" ht="15" thickBot="1" x14ac:dyDescent="0.35">
      <c r="A64" s="1" t="s">
        <v>30</v>
      </c>
      <c r="B64" s="1" t="s">
        <v>31</v>
      </c>
      <c r="C64" s="1" t="s">
        <v>18</v>
      </c>
      <c r="D64" s="1" t="s">
        <v>27</v>
      </c>
      <c r="E64" s="2">
        <v>933.71</v>
      </c>
      <c r="F64" s="2">
        <v>17</v>
      </c>
      <c r="G64" s="2">
        <v>0.1</v>
      </c>
      <c r="H64" s="3">
        <v>45481</v>
      </c>
      <c r="I64" s="2">
        <v>294.12</v>
      </c>
      <c r="J64" t="str">
        <v>Jul-2024</v>
      </c>
      <c r="K64" s="9">
        <f t="shared" ca="1" si="0"/>
        <v>46066.577718749999</v>
      </c>
      <c r="L64">
        <f ca="1"/>
        <v>585.57771874999889</v>
      </c>
      <c r="M64" s="11" t="str">
        <f ca="1"/>
        <v>↑</v>
      </c>
      <c r="P64" s="11" t="str">
        <f t="shared" si="1"/>
        <v>Normal</v>
      </c>
      <c r="Q64" s="15">
        <f t="shared" si="2"/>
        <v>3.1</v>
      </c>
      <c r="R64" s="16">
        <f t="shared" si="3"/>
        <v>933.71</v>
      </c>
      <c r="S64" s="16"/>
      <c r="T64" s="15"/>
    </row>
    <row r="65" spans="1:20" ht="15" thickBot="1" x14ac:dyDescent="0.35">
      <c r="A65" s="1" t="s">
        <v>67</v>
      </c>
      <c r="B65" s="1" t="s">
        <v>10</v>
      </c>
      <c r="C65" s="1" t="s">
        <v>11</v>
      </c>
      <c r="D65" s="1" t="s">
        <v>21</v>
      </c>
      <c r="E65" s="2">
        <v>1005.53</v>
      </c>
      <c r="F65" s="2">
        <v>17</v>
      </c>
      <c r="G65" s="2">
        <v>0.2</v>
      </c>
      <c r="H65" s="3">
        <v>45481</v>
      </c>
      <c r="I65" s="2">
        <v>201.11</v>
      </c>
      <c r="J65" t="str">
        <v>Jul-2024</v>
      </c>
      <c r="K65" s="9">
        <f t="shared" ca="1" si="0"/>
        <v>46066.577718749999</v>
      </c>
      <c r="L65">
        <f ca="1"/>
        <v>585.57771874999889</v>
      </c>
      <c r="M65" s="11" t="str">
        <f ca="1"/>
        <v>↑</v>
      </c>
      <c r="P65" s="11" t="str">
        <f t="shared" si="1"/>
        <v>Normal</v>
      </c>
      <c r="Q65" s="15">
        <f t="shared" si="2"/>
        <v>3.1500000000000004</v>
      </c>
      <c r="R65" s="16">
        <f t="shared" si="3"/>
        <v>1005.53</v>
      </c>
      <c r="S65" s="16"/>
      <c r="T65" s="15"/>
    </row>
    <row r="66" spans="1:20" ht="15" thickBot="1" x14ac:dyDescent="0.35">
      <c r="A66" s="1" t="s">
        <v>41</v>
      </c>
      <c r="B66" s="1" t="s">
        <v>61</v>
      </c>
      <c r="C66" s="1" t="s">
        <v>20</v>
      </c>
      <c r="D66" s="1" t="s">
        <v>21</v>
      </c>
      <c r="E66" s="2">
        <v>1100.0999999999999</v>
      </c>
      <c r="F66" s="2">
        <v>5</v>
      </c>
      <c r="G66" s="2">
        <v>0.05</v>
      </c>
      <c r="H66" s="3">
        <v>45482</v>
      </c>
      <c r="I66" s="2">
        <v>261.27</v>
      </c>
      <c r="J66" t="str">
        <v>Jul-2024</v>
      </c>
      <c r="K66" s="9">
        <f t="shared" ca="1" si="0"/>
        <v>46066.577718749999</v>
      </c>
      <c r="L66">
        <f ca="1"/>
        <v>584.57771874999889</v>
      </c>
      <c r="M66" s="11" t="str">
        <f ca="1"/>
        <v>↑</v>
      </c>
      <c r="P66" s="11" t="str">
        <f t="shared" si="1"/>
        <v>Normal</v>
      </c>
      <c r="Q66" s="15">
        <f t="shared" si="2"/>
        <v>3.2</v>
      </c>
      <c r="R66" s="16">
        <f t="shared" si="3"/>
        <v>1100.0999999999999</v>
      </c>
      <c r="S66" s="16"/>
      <c r="T66" s="15"/>
    </row>
    <row r="67" spans="1:20" ht="15" thickBot="1" x14ac:dyDescent="0.35">
      <c r="A67" s="1" t="s">
        <v>67</v>
      </c>
      <c r="B67" s="1" t="s">
        <v>23</v>
      </c>
      <c r="C67" s="1" t="s">
        <v>24</v>
      </c>
      <c r="D67" s="1" t="s">
        <v>27</v>
      </c>
      <c r="E67" s="2">
        <v>1034.7</v>
      </c>
      <c r="F67" s="2">
        <v>15</v>
      </c>
      <c r="G67" s="2">
        <v>0.15</v>
      </c>
      <c r="H67" s="3">
        <v>45487</v>
      </c>
      <c r="I67" s="2">
        <v>307.82</v>
      </c>
      <c r="J67" t="str">
        <v>Jul-2024</v>
      </c>
      <c r="K67" s="9">
        <f t="shared" ref="K67:K130" ca="1" si="4">NOW()</f>
        <v>46066.577718749999</v>
      </c>
      <c r="L67">
        <f ca="1"/>
        <v>579.57771874999889</v>
      </c>
      <c r="M67" s="11" t="str">
        <f ca="1"/>
        <v>↑</v>
      </c>
      <c r="P67" s="11" t="str">
        <f t="shared" ref="P67:P130" si="5">IF(SUMIF(B:B,H67,E:E)&gt;500,"High Value","Normal")</f>
        <v>Normal</v>
      </c>
      <c r="Q67" s="15">
        <f t="shared" ref="Q67:Q130" si="6">(ROW(A66)-1)*5%</f>
        <v>3.25</v>
      </c>
      <c r="R67" s="16">
        <f t="shared" ref="R67:R130" si="7">E67*(1-$Z$1)</f>
        <v>1034.7</v>
      </c>
      <c r="S67" s="16"/>
      <c r="T67" s="15"/>
    </row>
    <row r="68" spans="1:20" ht="15" thickBot="1" x14ac:dyDescent="0.35">
      <c r="A68" s="1" t="s">
        <v>65</v>
      </c>
      <c r="B68" s="1" t="s">
        <v>31</v>
      </c>
      <c r="C68" s="1" t="s">
        <v>20</v>
      </c>
      <c r="D68" s="1" t="s">
        <v>12</v>
      </c>
      <c r="E68" s="2">
        <v>876.44</v>
      </c>
      <c r="F68" s="2">
        <v>12</v>
      </c>
      <c r="G68" s="2">
        <v>0.05</v>
      </c>
      <c r="H68" s="3">
        <v>45488</v>
      </c>
      <c r="I68" s="2">
        <v>333.05</v>
      </c>
      <c r="J68" t="str">
        <v>Jul-2024</v>
      </c>
      <c r="K68" s="9">
        <f t="shared" ca="1" si="4"/>
        <v>46066.577718749999</v>
      </c>
      <c r="L68">
        <f ca="1"/>
        <v>578.57771874999889</v>
      </c>
      <c r="M68" s="11" t="str">
        <f ca="1"/>
        <v>↑</v>
      </c>
      <c r="P68" s="11" t="str">
        <f t="shared" si="5"/>
        <v>Normal</v>
      </c>
      <c r="Q68" s="15">
        <f t="shared" si="6"/>
        <v>3.3000000000000003</v>
      </c>
      <c r="R68" s="16">
        <f t="shared" si="7"/>
        <v>876.44</v>
      </c>
      <c r="S68" s="16"/>
      <c r="T68" s="15"/>
    </row>
    <row r="69" spans="1:20" ht="15" thickBot="1" x14ac:dyDescent="0.35">
      <c r="A69" s="1" t="s">
        <v>68</v>
      </c>
      <c r="B69" s="1" t="s">
        <v>55</v>
      </c>
      <c r="C69" s="1" t="s">
        <v>11</v>
      </c>
      <c r="D69" s="1" t="s">
        <v>27</v>
      </c>
      <c r="E69" s="2">
        <v>1371.34</v>
      </c>
      <c r="F69" s="2">
        <v>5</v>
      </c>
      <c r="G69" s="2">
        <v>0.05</v>
      </c>
      <c r="H69" s="3">
        <v>45488</v>
      </c>
      <c r="I69" s="2">
        <v>455.97</v>
      </c>
      <c r="J69" t="str">
        <v>Jul-2024</v>
      </c>
      <c r="K69" s="9">
        <f t="shared" ca="1" si="4"/>
        <v>46066.577718749999</v>
      </c>
      <c r="L69">
        <f ca="1"/>
        <v>578.57771874999889</v>
      </c>
      <c r="M69" s="11" t="str">
        <f ca="1"/>
        <v>↑</v>
      </c>
      <c r="P69" s="11" t="str">
        <f t="shared" si="5"/>
        <v>Normal</v>
      </c>
      <c r="Q69" s="15">
        <f t="shared" si="6"/>
        <v>3.35</v>
      </c>
      <c r="R69" s="16">
        <f t="shared" si="7"/>
        <v>1371.34</v>
      </c>
      <c r="S69" s="16"/>
      <c r="T69" s="15"/>
    </row>
    <row r="70" spans="1:20" ht="15" thickBot="1" x14ac:dyDescent="0.35">
      <c r="A70" s="1" t="s">
        <v>57</v>
      </c>
      <c r="B70" s="1" t="s">
        <v>47</v>
      </c>
      <c r="C70" s="1" t="s">
        <v>24</v>
      </c>
      <c r="D70" s="1" t="s">
        <v>21</v>
      </c>
      <c r="E70" s="2">
        <v>1020.26</v>
      </c>
      <c r="F70" s="2">
        <v>11</v>
      </c>
      <c r="G70" s="2">
        <v>0.05</v>
      </c>
      <c r="H70" s="3">
        <v>45494</v>
      </c>
      <c r="I70" s="2">
        <v>242.31</v>
      </c>
      <c r="J70" t="str">
        <v>Jul-2024</v>
      </c>
      <c r="K70" s="9">
        <f t="shared" ca="1" si="4"/>
        <v>46066.577718749999</v>
      </c>
      <c r="L70">
        <f ca="1"/>
        <v>572.57771874999889</v>
      </c>
      <c r="M70" s="11" t="str">
        <f ca="1"/>
        <v>↑</v>
      </c>
      <c r="P70" s="11" t="str">
        <f t="shared" si="5"/>
        <v>Normal</v>
      </c>
      <c r="Q70" s="15">
        <f t="shared" si="6"/>
        <v>3.4000000000000004</v>
      </c>
      <c r="R70" s="16">
        <f t="shared" si="7"/>
        <v>1020.26</v>
      </c>
      <c r="S70" s="16"/>
      <c r="T70" s="15"/>
    </row>
    <row r="71" spans="1:20" ht="15" thickBot="1" x14ac:dyDescent="0.35">
      <c r="A71" s="1" t="s">
        <v>44</v>
      </c>
      <c r="B71" s="1" t="s">
        <v>10</v>
      </c>
      <c r="C71" s="1" t="s">
        <v>34</v>
      </c>
      <c r="D71" s="1" t="s">
        <v>39</v>
      </c>
      <c r="E71" s="2">
        <v>804.81</v>
      </c>
      <c r="F71" s="2">
        <v>1</v>
      </c>
      <c r="G71" s="2">
        <v>0.05</v>
      </c>
      <c r="H71" s="3">
        <v>45502</v>
      </c>
      <c r="I71" s="2">
        <v>344.06</v>
      </c>
      <c r="J71" t="str">
        <v>Jul-2024</v>
      </c>
      <c r="K71" s="9">
        <f t="shared" ca="1" si="4"/>
        <v>46066.577718749999</v>
      </c>
      <c r="L71">
        <f ca="1"/>
        <v>564.57771874999889</v>
      </c>
      <c r="M71" s="11" t="str">
        <f ca="1"/>
        <v>↑</v>
      </c>
      <c r="P71" s="11" t="str">
        <f t="shared" si="5"/>
        <v>Normal</v>
      </c>
      <c r="Q71" s="15">
        <f t="shared" si="6"/>
        <v>3.45</v>
      </c>
      <c r="R71" s="16">
        <f t="shared" si="7"/>
        <v>804.81</v>
      </c>
      <c r="S71" s="16"/>
      <c r="T71" s="15"/>
    </row>
    <row r="72" spans="1:20" ht="15" thickBot="1" x14ac:dyDescent="0.35">
      <c r="A72" s="1" t="s">
        <v>22</v>
      </c>
      <c r="B72" s="1" t="s">
        <v>55</v>
      </c>
      <c r="C72" s="1" t="s">
        <v>34</v>
      </c>
      <c r="D72" s="1" t="s">
        <v>21</v>
      </c>
      <c r="E72" s="2">
        <v>608.66</v>
      </c>
      <c r="F72" s="2">
        <v>1</v>
      </c>
      <c r="G72" s="2">
        <v>0.05</v>
      </c>
      <c r="H72" s="3">
        <v>45503</v>
      </c>
      <c r="I72" s="2">
        <v>144.56</v>
      </c>
      <c r="J72" t="str">
        <v>Jul-2024</v>
      </c>
      <c r="K72" s="9">
        <f t="shared" ca="1" si="4"/>
        <v>46066.577718749999</v>
      </c>
      <c r="L72">
        <f ca="1"/>
        <v>563.57771874999889</v>
      </c>
      <c r="M72" s="11" t="str">
        <f ca="1"/>
        <v>↑</v>
      </c>
      <c r="P72" s="11" t="str">
        <f t="shared" si="5"/>
        <v>Normal</v>
      </c>
      <c r="Q72" s="15">
        <f t="shared" si="6"/>
        <v>3.5</v>
      </c>
      <c r="R72" s="16">
        <f t="shared" si="7"/>
        <v>608.66</v>
      </c>
      <c r="S72" s="16"/>
      <c r="T72" s="15"/>
    </row>
    <row r="73" spans="1:20" ht="15" thickBot="1" x14ac:dyDescent="0.35">
      <c r="A73" s="1" t="s">
        <v>68</v>
      </c>
      <c r="B73" s="1" t="s">
        <v>69</v>
      </c>
      <c r="C73" s="1" t="s">
        <v>20</v>
      </c>
      <c r="D73" s="1" t="s">
        <v>39</v>
      </c>
      <c r="E73" s="2">
        <v>981.2</v>
      </c>
      <c r="F73" s="2">
        <v>19</v>
      </c>
      <c r="G73" s="2">
        <v>0</v>
      </c>
      <c r="H73" s="3">
        <v>45504</v>
      </c>
      <c r="I73" s="2">
        <v>441.54</v>
      </c>
      <c r="J73" t="str">
        <v>Jul-2024</v>
      </c>
      <c r="K73" s="9">
        <f t="shared" ca="1" si="4"/>
        <v>46066.577718749999</v>
      </c>
      <c r="L73">
        <f ca="1"/>
        <v>562.57771874999889</v>
      </c>
      <c r="M73" s="11" t="str">
        <f ca="1"/>
        <v>↑</v>
      </c>
      <c r="P73" s="11" t="str">
        <f t="shared" si="5"/>
        <v>Normal</v>
      </c>
      <c r="Q73" s="15">
        <f t="shared" si="6"/>
        <v>3.5500000000000003</v>
      </c>
      <c r="R73" s="16">
        <f t="shared" si="7"/>
        <v>981.2</v>
      </c>
      <c r="S73" s="16"/>
      <c r="T73" s="15"/>
    </row>
    <row r="74" spans="1:20" ht="15" thickBot="1" x14ac:dyDescent="0.35">
      <c r="A74" s="1" t="s">
        <v>70</v>
      </c>
      <c r="B74" s="1" t="s">
        <v>55</v>
      </c>
      <c r="C74" s="1" t="s">
        <v>18</v>
      </c>
      <c r="D74" s="1" t="s">
        <v>21</v>
      </c>
      <c r="E74" s="2">
        <v>539.77</v>
      </c>
      <c r="F74" s="2">
        <v>10</v>
      </c>
      <c r="G74" s="2">
        <v>0.15</v>
      </c>
      <c r="H74" s="3">
        <v>45509</v>
      </c>
      <c r="I74" s="2">
        <v>114.7</v>
      </c>
      <c r="J74" t="str">
        <v>Aug-2024</v>
      </c>
      <c r="K74" s="9">
        <f t="shared" ca="1" si="4"/>
        <v>46066.577718749999</v>
      </c>
      <c r="L74">
        <f ca="1"/>
        <v>557.57771874999889</v>
      </c>
      <c r="M74" s="11" t="str">
        <f ca="1"/>
        <v>↑</v>
      </c>
      <c r="P74" s="11" t="str">
        <f t="shared" si="5"/>
        <v>Normal</v>
      </c>
      <c r="Q74" s="15">
        <f t="shared" si="6"/>
        <v>3.6</v>
      </c>
      <c r="R74" s="16">
        <f t="shared" si="7"/>
        <v>539.77</v>
      </c>
      <c r="S74" s="16"/>
      <c r="T74" s="15"/>
    </row>
    <row r="75" spans="1:20" ht="15" thickBot="1" x14ac:dyDescent="0.35">
      <c r="A75" s="1" t="s">
        <v>13</v>
      </c>
      <c r="B75" s="1" t="s">
        <v>71</v>
      </c>
      <c r="C75" s="1" t="s">
        <v>20</v>
      </c>
      <c r="D75" s="1" t="s">
        <v>12</v>
      </c>
      <c r="E75" s="2">
        <v>804.45</v>
      </c>
      <c r="F75" s="2">
        <v>5</v>
      </c>
      <c r="G75" s="2">
        <v>0.2</v>
      </c>
      <c r="H75" s="3">
        <v>45509</v>
      </c>
      <c r="I75" s="2">
        <v>257.42</v>
      </c>
      <c r="J75" t="str">
        <v>Aug-2024</v>
      </c>
      <c r="K75" s="9">
        <f t="shared" ca="1" si="4"/>
        <v>46066.577718749999</v>
      </c>
      <c r="L75">
        <f ca="1"/>
        <v>557.57771874999889</v>
      </c>
      <c r="M75" s="11" t="str">
        <f ca="1"/>
        <v>↑</v>
      </c>
      <c r="P75" s="11" t="str">
        <f t="shared" si="5"/>
        <v>Normal</v>
      </c>
      <c r="Q75" s="15">
        <f t="shared" si="6"/>
        <v>3.6500000000000004</v>
      </c>
      <c r="R75" s="16">
        <f t="shared" si="7"/>
        <v>804.45</v>
      </c>
      <c r="S75" s="16"/>
      <c r="T75" s="15"/>
    </row>
    <row r="76" spans="1:20" ht="15" thickBot="1" x14ac:dyDescent="0.35">
      <c r="A76" s="1" t="s">
        <v>70</v>
      </c>
      <c r="B76" s="1" t="s">
        <v>38</v>
      </c>
      <c r="C76" s="1" t="s">
        <v>11</v>
      </c>
      <c r="D76" s="1" t="s">
        <v>21</v>
      </c>
      <c r="E76" s="2">
        <v>1526.6</v>
      </c>
      <c r="F76" s="2">
        <v>13</v>
      </c>
      <c r="G76" s="2">
        <v>0.2</v>
      </c>
      <c r="H76" s="3">
        <v>45512</v>
      </c>
      <c r="I76" s="2">
        <v>305.32</v>
      </c>
      <c r="J76" t="str">
        <v>Aug-2024</v>
      </c>
      <c r="K76" s="9">
        <f t="shared" ca="1" si="4"/>
        <v>46066.577718749999</v>
      </c>
      <c r="L76">
        <f ca="1"/>
        <v>554.57771874999889</v>
      </c>
      <c r="M76" s="11" t="str">
        <f ca="1"/>
        <v>↑</v>
      </c>
      <c r="P76" s="11" t="str">
        <f t="shared" si="5"/>
        <v>Normal</v>
      </c>
      <c r="Q76" s="15">
        <f t="shared" si="6"/>
        <v>3.7</v>
      </c>
      <c r="R76" s="16">
        <f t="shared" si="7"/>
        <v>1526.6</v>
      </c>
      <c r="S76" s="16"/>
      <c r="T76" s="15"/>
    </row>
    <row r="77" spans="1:20" ht="15" thickBot="1" x14ac:dyDescent="0.35">
      <c r="A77" s="1" t="s">
        <v>13</v>
      </c>
      <c r="B77" s="1" t="s">
        <v>29</v>
      </c>
      <c r="C77" s="1" t="s">
        <v>11</v>
      </c>
      <c r="D77" s="1" t="s">
        <v>21</v>
      </c>
      <c r="E77" s="2">
        <v>1215.26</v>
      </c>
      <c r="F77" s="2">
        <v>5</v>
      </c>
      <c r="G77" s="2">
        <v>0.15</v>
      </c>
      <c r="H77" s="3">
        <v>45513</v>
      </c>
      <c r="I77" s="2">
        <v>258.24</v>
      </c>
      <c r="J77" t="str">
        <v>Aug-2024</v>
      </c>
      <c r="K77" s="9">
        <f t="shared" ca="1" si="4"/>
        <v>46066.577718749999</v>
      </c>
      <c r="L77">
        <f ca="1"/>
        <v>553.57771874999889</v>
      </c>
      <c r="M77" s="11" t="str">
        <f ca="1"/>
        <v>↑</v>
      </c>
      <c r="P77" s="11" t="str">
        <f t="shared" si="5"/>
        <v>Normal</v>
      </c>
      <c r="Q77" s="15">
        <f t="shared" si="6"/>
        <v>3.75</v>
      </c>
      <c r="R77" s="16">
        <f t="shared" si="7"/>
        <v>1215.26</v>
      </c>
      <c r="S77" s="16"/>
      <c r="T77" s="15"/>
    </row>
    <row r="78" spans="1:20" ht="15" thickBot="1" x14ac:dyDescent="0.35">
      <c r="A78" s="1" t="s">
        <v>19</v>
      </c>
      <c r="B78" s="1" t="s">
        <v>53</v>
      </c>
      <c r="C78" s="1" t="s">
        <v>34</v>
      </c>
      <c r="D78" s="1" t="s">
        <v>27</v>
      </c>
      <c r="E78" s="2">
        <v>1261.3399999999999</v>
      </c>
      <c r="F78" s="2">
        <v>3</v>
      </c>
      <c r="G78" s="2">
        <v>0</v>
      </c>
      <c r="H78" s="3">
        <v>45519</v>
      </c>
      <c r="I78" s="2">
        <v>441.47</v>
      </c>
      <c r="J78" t="str">
        <v>Aug-2024</v>
      </c>
      <c r="K78" s="9">
        <f t="shared" ca="1" si="4"/>
        <v>46066.577718749999</v>
      </c>
      <c r="L78">
        <f ca="1"/>
        <v>547.57771874999889</v>
      </c>
      <c r="M78" s="11" t="str">
        <f ca="1"/>
        <v>↑</v>
      </c>
      <c r="P78" s="11" t="str">
        <f t="shared" si="5"/>
        <v>Normal</v>
      </c>
      <c r="Q78" s="15">
        <f t="shared" si="6"/>
        <v>3.8000000000000003</v>
      </c>
      <c r="R78" s="16">
        <f t="shared" si="7"/>
        <v>1261.3399999999999</v>
      </c>
      <c r="S78" s="16"/>
      <c r="T78" s="15"/>
    </row>
    <row r="79" spans="1:20" ht="15" thickBot="1" x14ac:dyDescent="0.35">
      <c r="A79" s="1" t="s">
        <v>72</v>
      </c>
      <c r="B79" s="1" t="s">
        <v>45</v>
      </c>
      <c r="C79" s="1" t="s">
        <v>24</v>
      </c>
      <c r="D79" s="1" t="s">
        <v>27</v>
      </c>
      <c r="E79" s="2">
        <v>518.07000000000005</v>
      </c>
      <c r="F79" s="2">
        <v>7</v>
      </c>
      <c r="G79" s="2">
        <v>0.05</v>
      </c>
      <c r="H79" s="3">
        <v>45522</v>
      </c>
      <c r="I79" s="2">
        <v>172.26</v>
      </c>
      <c r="J79" t="str">
        <v>Aug-2024</v>
      </c>
      <c r="K79" s="9">
        <f t="shared" ca="1" si="4"/>
        <v>46066.577718749999</v>
      </c>
      <c r="L79">
        <f ca="1"/>
        <v>544.57771874999889</v>
      </c>
      <c r="M79" s="11" t="str">
        <f ca="1"/>
        <v>↑</v>
      </c>
      <c r="P79" s="11" t="str">
        <f t="shared" si="5"/>
        <v>Normal</v>
      </c>
      <c r="Q79" s="15">
        <f t="shared" si="6"/>
        <v>3.85</v>
      </c>
      <c r="R79" s="16">
        <f t="shared" si="7"/>
        <v>518.07000000000005</v>
      </c>
      <c r="S79" s="16"/>
      <c r="T79" s="15"/>
    </row>
    <row r="80" spans="1:20" ht="15" thickBot="1" x14ac:dyDescent="0.35">
      <c r="A80" s="1" t="s">
        <v>30</v>
      </c>
      <c r="B80" s="1" t="s">
        <v>29</v>
      </c>
      <c r="C80" s="1" t="s">
        <v>11</v>
      </c>
      <c r="D80" s="1" t="s">
        <v>39</v>
      </c>
      <c r="E80" s="2">
        <v>1111.3399999999999</v>
      </c>
      <c r="F80" s="2">
        <v>1</v>
      </c>
      <c r="G80" s="2">
        <v>0</v>
      </c>
      <c r="H80" s="3">
        <v>45523</v>
      </c>
      <c r="I80" s="2">
        <v>500.1</v>
      </c>
      <c r="J80" t="str">
        <v>Aug-2024</v>
      </c>
      <c r="K80" s="9">
        <f t="shared" ca="1" si="4"/>
        <v>46066.577718749999</v>
      </c>
      <c r="L80">
        <f ca="1"/>
        <v>543.57771874999889</v>
      </c>
      <c r="M80" s="11" t="str">
        <f ca="1"/>
        <v>↑</v>
      </c>
      <c r="P80" s="11" t="str">
        <f t="shared" si="5"/>
        <v>Normal</v>
      </c>
      <c r="Q80" s="15">
        <f t="shared" si="6"/>
        <v>3.9000000000000004</v>
      </c>
      <c r="R80" s="16">
        <f t="shared" si="7"/>
        <v>1111.3399999999999</v>
      </c>
      <c r="S80" s="16"/>
      <c r="T80" s="15"/>
    </row>
    <row r="81" spans="1:20" ht="15" thickBot="1" x14ac:dyDescent="0.35">
      <c r="A81" s="1" t="s">
        <v>22</v>
      </c>
      <c r="B81" s="1" t="s">
        <v>31</v>
      </c>
      <c r="C81" s="1" t="s">
        <v>18</v>
      </c>
      <c r="D81" s="1" t="s">
        <v>15</v>
      </c>
      <c r="E81" s="2">
        <v>1291.47</v>
      </c>
      <c r="F81" s="2">
        <v>18</v>
      </c>
      <c r="G81" s="2">
        <v>0.1</v>
      </c>
      <c r="H81" s="3">
        <v>45526</v>
      </c>
      <c r="I81" s="2">
        <v>581.16</v>
      </c>
      <c r="J81" t="str">
        <v>Aug-2024</v>
      </c>
      <c r="K81" s="9">
        <f t="shared" ca="1" si="4"/>
        <v>46066.577718749999</v>
      </c>
      <c r="L81">
        <f ca="1"/>
        <v>540.57771874999889</v>
      </c>
      <c r="M81" s="11" t="str">
        <f ca="1"/>
        <v>↑</v>
      </c>
      <c r="P81" s="11" t="str">
        <f t="shared" si="5"/>
        <v>Normal</v>
      </c>
      <c r="Q81" s="15">
        <f t="shared" si="6"/>
        <v>3.95</v>
      </c>
      <c r="R81" s="16">
        <f t="shared" si="7"/>
        <v>1291.47</v>
      </c>
      <c r="S81" s="16"/>
      <c r="T81" s="15"/>
    </row>
    <row r="82" spans="1:20" ht="15" thickBot="1" x14ac:dyDescent="0.35">
      <c r="A82" s="1" t="s">
        <v>25</v>
      </c>
      <c r="B82" s="1" t="s">
        <v>55</v>
      </c>
      <c r="C82" s="1" t="s">
        <v>24</v>
      </c>
      <c r="D82" s="1" t="s">
        <v>12</v>
      </c>
      <c r="E82" s="2">
        <v>679.71</v>
      </c>
      <c r="F82" s="2">
        <v>19</v>
      </c>
      <c r="G82" s="2">
        <v>0</v>
      </c>
      <c r="H82" s="3">
        <v>45534</v>
      </c>
      <c r="I82" s="2">
        <v>271.88</v>
      </c>
      <c r="J82" t="str">
        <v>Aug-2024</v>
      </c>
      <c r="K82" s="9">
        <f t="shared" ca="1" si="4"/>
        <v>46066.577718749999</v>
      </c>
      <c r="L82">
        <f ca="1"/>
        <v>532.57771874999889</v>
      </c>
      <c r="M82" s="11" t="str">
        <f ca="1"/>
        <v>↑</v>
      </c>
      <c r="P82" s="11" t="str">
        <f t="shared" si="5"/>
        <v>Normal</v>
      </c>
      <c r="Q82" s="15">
        <f t="shared" si="6"/>
        <v>4</v>
      </c>
      <c r="R82" s="16">
        <f t="shared" si="7"/>
        <v>679.71</v>
      </c>
      <c r="S82" s="16"/>
      <c r="T82" s="15"/>
    </row>
    <row r="83" spans="1:20" ht="15" thickBot="1" x14ac:dyDescent="0.35">
      <c r="A83" s="1" t="s">
        <v>68</v>
      </c>
      <c r="B83" s="1" t="s">
        <v>33</v>
      </c>
      <c r="C83" s="1" t="s">
        <v>18</v>
      </c>
      <c r="D83" s="1" t="s">
        <v>27</v>
      </c>
      <c r="E83" s="2">
        <v>1143.69</v>
      </c>
      <c r="F83" s="2">
        <v>17</v>
      </c>
      <c r="G83" s="2">
        <v>0</v>
      </c>
      <c r="H83" s="3">
        <v>45534</v>
      </c>
      <c r="I83" s="2">
        <v>400.29</v>
      </c>
      <c r="J83" t="str">
        <v>Aug-2024</v>
      </c>
      <c r="K83" s="9">
        <f t="shared" ca="1" si="4"/>
        <v>46066.577718749999</v>
      </c>
      <c r="L83">
        <f ca="1"/>
        <v>532.57771874999889</v>
      </c>
      <c r="M83" s="11" t="str">
        <f ca="1"/>
        <v>↑</v>
      </c>
      <c r="P83" s="11" t="str">
        <f t="shared" si="5"/>
        <v>Normal</v>
      </c>
      <c r="Q83" s="15">
        <f t="shared" si="6"/>
        <v>4.05</v>
      </c>
      <c r="R83" s="16">
        <f t="shared" si="7"/>
        <v>1143.69</v>
      </c>
      <c r="S83" s="16"/>
      <c r="T83" s="15"/>
    </row>
    <row r="84" spans="1:20" ht="15" thickBot="1" x14ac:dyDescent="0.35">
      <c r="A84" s="1" t="s">
        <v>52</v>
      </c>
      <c r="B84" s="1" t="s">
        <v>50</v>
      </c>
      <c r="C84" s="1" t="s">
        <v>34</v>
      </c>
      <c r="D84" s="1" t="s">
        <v>21</v>
      </c>
      <c r="E84" s="2">
        <v>790.08</v>
      </c>
      <c r="F84" s="2">
        <v>7</v>
      </c>
      <c r="G84" s="2">
        <v>0.1</v>
      </c>
      <c r="H84" s="3">
        <v>45536</v>
      </c>
      <c r="I84" s="2">
        <v>177.77</v>
      </c>
      <c r="J84" t="str">
        <v>Sep-2024</v>
      </c>
      <c r="K84" s="9">
        <f t="shared" ca="1" si="4"/>
        <v>46066.577718749999</v>
      </c>
      <c r="L84">
        <f ca="1"/>
        <v>530.57771874999889</v>
      </c>
      <c r="M84" s="11" t="str">
        <f ca="1"/>
        <v>↑</v>
      </c>
      <c r="P84" s="11" t="str">
        <f t="shared" si="5"/>
        <v>Normal</v>
      </c>
      <c r="Q84" s="15">
        <f t="shared" si="6"/>
        <v>4.1000000000000005</v>
      </c>
      <c r="R84" s="16">
        <f t="shared" si="7"/>
        <v>790.08</v>
      </c>
      <c r="S84" s="16"/>
      <c r="T84" s="15"/>
    </row>
    <row r="85" spans="1:20" ht="15" thickBot="1" x14ac:dyDescent="0.35">
      <c r="A85" s="1" t="s">
        <v>19</v>
      </c>
      <c r="B85" s="1" t="s">
        <v>48</v>
      </c>
      <c r="C85" s="1" t="s">
        <v>34</v>
      </c>
      <c r="D85" s="1" t="s">
        <v>12</v>
      </c>
      <c r="E85" s="2">
        <v>1070.68</v>
      </c>
      <c r="F85" s="2">
        <v>7</v>
      </c>
      <c r="G85" s="2">
        <v>0.05</v>
      </c>
      <c r="H85" s="3">
        <v>45536</v>
      </c>
      <c r="I85" s="2">
        <v>406.86</v>
      </c>
      <c r="J85" t="str">
        <v>Sep-2024</v>
      </c>
      <c r="K85" s="9">
        <f t="shared" ca="1" si="4"/>
        <v>46066.577718749999</v>
      </c>
      <c r="L85">
        <f ca="1"/>
        <v>530.57771874999889</v>
      </c>
      <c r="M85" s="11" t="str">
        <f ca="1"/>
        <v>↑</v>
      </c>
      <c r="P85" s="11" t="str">
        <f t="shared" si="5"/>
        <v>Normal</v>
      </c>
      <c r="Q85" s="15">
        <f t="shared" si="6"/>
        <v>4.1500000000000004</v>
      </c>
      <c r="R85" s="16">
        <f t="shared" si="7"/>
        <v>1070.68</v>
      </c>
      <c r="S85" s="16"/>
      <c r="T85" s="15"/>
    </row>
    <row r="86" spans="1:20" ht="15" thickBot="1" x14ac:dyDescent="0.35">
      <c r="A86" s="1" t="s">
        <v>58</v>
      </c>
      <c r="B86" s="1" t="s">
        <v>36</v>
      </c>
      <c r="C86" s="1" t="s">
        <v>11</v>
      </c>
      <c r="D86" s="1" t="s">
        <v>15</v>
      </c>
      <c r="E86" s="2">
        <v>1168.8900000000001</v>
      </c>
      <c r="F86" s="2">
        <v>4</v>
      </c>
      <c r="G86" s="2">
        <v>0.1</v>
      </c>
      <c r="H86" s="3">
        <v>45544</v>
      </c>
      <c r="I86" s="2">
        <v>526</v>
      </c>
      <c r="J86" t="str">
        <v>Sep-2024</v>
      </c>
      <c r="K86" s="9">
        <f t="shared" ca="1" si="4"/>
        <v>46066.577718749999</v>
      </c>
      <c r="L86">
        <f ca="1"/>
        <v>522.57771874999889</v>
      </c>
      <c r="M86" s="11" t="str">
        <f ca="1"/>
        <v>↑</v>
      </c>
      <c r="P86" s="11" t="str">
        <f t="shared" si="5"/>
        <v>Normal</v>
      </c>
      <c r="Q86" s="15">
        <f t="shared" si="6"/>
        <v>4.2</v>
      </c>
      <c r="R86" s="16">
        <f t="shared" si="7"/>
        <v>1168.8900000000001</v>
      </c>
      <c r="S86" s="16"/>
      <c r="T86" s="15"/>
    </row>
    <row r="87" spans="1:20" ht="15" thickBot="1" x14ac:dyDescent="0.35">
      <c r="A87" s="1" t="s">
        <v>67</v>
      </c>
      <c r="B87" s="1" t="s">
        <v>10</v>
      </c>
      <c r="C87" s="1" t="s">
        <v>20</v>
      </c>
      <c r="D87" s="1" t="s">
        <v>21</v>
      </c>
      <c r="E87" s="2">
        <v>1335.87</v>
      </c>
      <c r="F87" s="2">
        <v>17</v>
      </c>
      <c r="G87" s="2">
        <v>0</v>
      </c>
      <c r="H87" s="3">
        <v>45544</v>
      </c>
      <c r="I87" s="2">
        <v>333.97</v>
      </c>
      <c r="J87" t="str">
        <v>Sep-2024</v>
      </c>
      <c r="K87" s="9">
        <f t="shared" ca="1" si="4"/>
        <v>46066.577718749999</v>
      </c>
      <c r="L87">
        <f ca="1"/>
        <v>522.57771874999889</v>
      </c>
      <c r="M87" s="11" t="str">
        <f ca="1"/>
        <v>↑</v>
      </c>
      <c r="P87" s="11" t="str">
        <f t="shared" si="5"/>
        <v>Normal</v>
      </c>
      <c r="Q87" s="15">
        <f t="shared" si="6"/>
        <v>4.25</v>
      </c>
      <c r="R87" s="16">
        <f t="shared" si="7"/>
        <v>1335.87</v>
      </c>
      <c r="S87" s="16"/>
      <c r="T87" s="15"/>
    </row>
    <row r="88" spans="1:20" ht="15" thickBot="1" x14ac:dyDescent="0.35">
      <c r="A88" s="1" t="s">
        <v>40</v>
      </c>
      <c r="B88" s="1" t="s">
        <v>55</v>
      </c>
      <c r="C88" s="1" t="s">
        <v>18</v>
      </c>
      <c r="D88" s="1" t="s">
        <v>27</v>
      </c>
      <c r="E88" s="2">
        <v>873.7</v>
      </c>
      <c r="F88" s="2">
        <v>9</v>
      </c>
      <c r="G88" s="2">
        <v>0</v>
      </c>
      <c r="H88" s="3">
        <v>45546</v>
      </c>
      <c r="I88" s="2">
        <v>305.8</v>
      </c>
      <c r="J88" t="str">
        <v>Sep-2024</v>
      </c>
      <c r="K88" s="9">
        <f t="shared" ca="1" si="4"/>
        <v>46066.577718749999</v>
      </c>
      <c r="L88">
        <f ca="1"/>
        <v>520.57771874999889</v>
      </c>
      <c r="M88" s="11" t="str">
        <f ca="1"/>
        <v>↑</v>
      </c>
      <c r="P88" s="11" t="str">
        <f t="shared" si="5"/>
        <v>Normal</v>
      </c>
      <c r="Q88" s="15">
        <f t="shared" si="6"/>
        <v>4.3</v>
      </c>
      <c r="R88" s="16">
        <f t="shared" si="7"/>
        <v>873.7</v>
      </c>
      <c r="S88" s="16"/>
      <c r="T88" s="15"/>
    </row>
    <row r="89" spans="1:20" ht="15" thickBot="1" x14ac:dyDescent="0.35">
      <c r="A89" s="1" t="s">
        <v>72</v>
      </c>
      <c r="B89" s="1" t="s">
        <v>64</v>
      </c>
      <c r="C89" s="1" t="s">
        <v>11</v>
      </c>
      <c r="D89" s="1" t="s">
        <v>39</v>
      </c>
      <c r="E89" s="2">
        <v>1443.98</v>
      </c>
      <c r="F89" s="2">
        <v>19</v>
      </c>
      <c r="G89" s="2">
        <v>0</v>
      </c>
      <c r="H89" s="3">
        <v>45547</v>
      </c>
      <c r="I89" s="2">
        <v>649.79</v>
      </c>
      <c r="J89" t="str">
        <v>Sep-2024</v>
      </c>
      <c r="K89" s="9">
        <f t="shared" ca="1" si="4"/>
        <v>46066.577718749999</v>
      </c>
      <c r="L89">
        <f ca="1"/>
        <v>519.57771874999889</v>
      </c>
      <c r="M89" s="11" t="str">
        <f ca="1"/>
        <v>↑</v>
      </c>
      <c r="P89" s="11" t="str">
        <f t="shared" si="5"/>
        <v>Normal</v>
      </c>
      <c r="Q89" s="15">
        <f t="shared" si="6"/>
        <v>4.3500000000000005</v>
      </c>
      <c r="R89" s="16">
        <f t="shared" si="7"/>
        <v>1443.98</v>
      </c>
      <c r="S89" s="16"/>
      <c r="T89" s="15"/>
    </row>
    <row r="90" spans="1:20" ht="15" thickBot="1" x14ac:dyDescent="0.35">
      <c r="A90" s="1" t="s">
        <v>40</v>
      </c>
      <c r="B90" s="1" t="s">
        <v>23</v>
      </c>
      <c r="C90" s="1" t="s">
        <v>18</v>
      </c>
      <c r="D90" s="1" t="s">
        <v>39</v>
      </c>
      <c r="E90" s="2">
        <v>1154.33</v>
      </c>
      <c r="F90" s="2">
        <v>11</v>
      </c>
      <c r="G90" s="2">
        <v>0.15</v>
      </c>
      <c r="H90" s="3">
        <v>45549</v>
      </c>
      <c r="I90" s="2">
        <v>441.53</v>
      </c>
      <c r="J90" t="str">
        <v>Sep-2024</v>
      </c>
      <c r="K90" s="9">
        <f t="shared" ca="1" si="4"/>
        <v>46066.577718749999</v>
      </c>
      <c r="L90">
        <f ca="1"/>
        <v>517.57771874999889</v>
      </c>
      <c r="M90" s="11" t="str">
        <f ca="1"/>
        <v>↑</v>
      </c>
      <c r="P90" s="11" t="str">
        <f t="shared" si="5"/>
        <v>Normal</v>
      </c>
      <c r="Q90" s="15">
        <f t="shared" si="6"/>
        <v>4.4000000000000004</v>
      </c>
      <c r="R90" s="16">
        <f t="shared" si="7"/>
        <v>1154.33</v>
      </c>
      <c r="S90" s="16"/>
      <c r="T90" s="15"/>
    </row>
    <row r="91" spans="1:20" ht="15" thickBot="1" x14ac:dyDescent="0.35">
      <c r="A91" s="1" t="s">
        <v>49</v>
      </c>
      <c r="B91" s="1" t="s">
        <v>50</v>
      </c>
      <c r="C91" s="1" t="s">
        <v>20</v>
      </c>
      <c r="D91" s="1" t="s">
        <v>12</v>
      </c>
      <c r="E91" s="2">
        <v>1264.49</v>
      </c>
      <c r="F91" s="2">
        <v>16</v>
      </c>
      <c r="G91" s="2">
        <v>0.05</v>
      </c>
      <c r="H91" s="3">
        <v>45549</v>
      </c>
      <c r="I91" s="2">
        <v>480.51</v>
      </c>
      <c r="J91" t="str">
        <v>Sep-2024</v>
      </c>
      <c r="K91" s="9">
        <f t="shared" ca="1" si="4"/>
        <v>46066.577718749999</v>
      </c>
      <c r="L91">
        <f ca="1"/>
        <v>517.57771874999889</v>
      </c>
      <c r="M91" s="11" t="str">
        <f ca="1"/>
        <v>↑</v>
      </c>
      <c r="P91" s="11" t="str">
        <f t="shared" si="5"/>
        <v>Normal</v>
      </c>
      <c r="Q91" s="15">
        <f t="shared" si="6"/>
        <v>4.45</v>
      </c>
      <c r="R91" s="16">
        <f t="shared" si="7"/>
        <v>1264.49</v>
      </c>
      <c r="S91" s="16"/>
      <c r="T91" s="15"/>
    </row>
    <row r="92" spans="1:20" ht="15" thickBot="1" x14ac:dyDescent="0.35">
      <c r="A92" s="1" t="s">
        <v>25</v>
      </c>
      <c r="B92" s="1" t="s">
        <v>66</v>
      </c>
      <c r="C92" s="1" t="s">
        <v>11</v>
      </c>
      <c r="D92" s="1" t="s">
        <v>27</v>
      </c>
      <c r="E92" s="2">
        <v>1101.55</v>
      </c>
      <c r="F92" s="2">
        <v>4</v>
      </c>
      <c r="G92" s="2">
        <v>0.1</v>
      </c>
      <c r="H92" s="3">
        <v>45551</v>
      </c>
      <c r="I92" s="2">
        <v>346.99</v>
      </c>
      <c r="J92" t="str">
        <v>Sep-2024</v>
      </c>
      <c r="K92" s="9">
        <f t="shared" ca="1" si="4"/>
        <v>46066.577718749999</v>
      </c>
      <c r="L92">
        <f ca="1"/>
        <v>515.57771874999889</v>
      </c>
      <c r="M92" s="11" t="str">
        <f ca="1"/>
        <v>↑</v>
      </c>
      <c r="P92" s="11" t="str">
        <f t="shared" si="5"/>
        <v>Normal</v>
      </c>
      <c r="Q92" s="15">
        <f t="shared" si="6"/>
        <v>4.5</v>
      </c>
      <c r="R92" s="16">
        <f t="shared" si="7"/>
        <v>1101.55</v>
      </c>
      <c r="S92" s="16"/>
      <c r="T92" s="15"/>
    </row>
    <row r="93" spans="1:20" ht="15" thickBot="1" x14ac:dyDescent="0.35">
      <c r="A93" s="1" t="s">
        <v>73</v>
      </c>
      <c r="B93" s="1" t="s">
        <v>14</v>
      </c>
      <c r="C93" s="1" t="s">
        <v>20</v>
      </c>
      <c r="D93" s="1" t="s">
        <v>27</v>
      </c>
      <c r="E93" s="2">
        <v>727.73</v>
      </c>
      <c r="F93" s="2">
        <v>1</v>
      </c>
      <c r="G93" s="2">
        <v>0.1</v>
      </c>
      <c r="H93" s="3">
        <v>45552</v>
      </c>
      <c r="I93" s="2">
        <v>229.23</v>
      </c>
      <c r="J93" t="str">
        <v>Sep-2024</v>
      </c>
      <c r="K93" s="9">
        <f t="shared" ca="1" si="4"/>
        <v>46066.577718749999</v>
      </c>
      <c r="L93">
        <f ca="1"/>
        <v>514.57771874999889</v>
      </c>
      <c r="M93" s="11" t="str">
        <f ca="1"/>
        <v>↑</v>
      </c>
      <c r="P93" s="11" t="str">
        <f t="shared" si="5"/>
        <v>Normal</v>
      </c>
      <c r="Q93" s="15">
        <f t="shared" si="6"/>
        <v>4.55</v>
      </c>
      <c r="R93" s="16">
        <f t="shared" si="7"/>
        <v>727.73</v>
      </c>
      <c r="S93" s="16"/>
      <c r="T93" s="15"/>
    </row>
    <row r="94" spans="1:20" ht="15" thickBot="1" x14ac:dyDescent="0.35">
      <c r="A94" s="1" t="s">
        <v>74</v>
      </c>
      <c r="B94" s="1" t="s">
        <v>38</v>
      </c>
      <c r="C94" s="1" t="s">
        <v>18</v>
      </c>
      <c r="D94" s="1" t="s">
        <v>39</v>
      </c>
      <c r="E94" s="2">
        <v>875.41</v>
      </c>
      <c r="F94" s="2">
        <v>13</v>
      </c>
      <c r="G94" s="2">
        <v>0.15</v>
      </c>
      <c r="H94" s="3">
        <v>45552</v>
      </c>
      <c r="I94" s="2">
        <v>334.84</v>
      </c>
      <c r="J94" t="str">
        <v>Sep-2024</v>
      </c>
      <c r="K94" s="9">
        <f t="shared" ca="1" si="4"/>
        <v>46066.577718749999</v>
      </c>
      <c r="L94">
        <f ca="1"/>
        <v>514.57771874999889</v>
      </c>
      <c r="M94" s="11" t="str">
        <f ca="1"/>
        <v>↑</v>
      </c>
      <c r="P94" s="11" t="str">
        <f t="shared" si="5"/>
        <v>Normal</v>
      </c>
      <c r="Q94" s="15">
        <f t="shared" si="6"/>
        <v>4.6000000000000005</v>
      </c>
      <c r="R94" s="16">
        <f t="shared" si="7"/>
        <v>875.41</v>
      </c>
      <c r="S94" s="16"/>
      <c r="T94" s="15"/>
    </row>
    <row r="95" spans="1:20" ht="15" thickBot="1" x14ac:dyDescent="0.35">
      <c r="A95" s="1" t="s">
        <v>67</v>
      </c>
      <c r="B95" s="1" t="s">
        <v>23</v>
      </c>
      <c r="C95" s="1" t="s">
        <v>11</v>
      </c>
      <c r="D95" s="1" t="s">
        <v>21</v>
      </c>
      <c r="E95" s="2">
        <v>1158.94</v>
      </c>
      <c r="F95" s="2">
        <v>19</v>
      </c>
      <c r="G95" s="2">
        <v>0.2</v>
      </c>
      <c r="H95" s="3">
        <v>45553</v>
      </c>
      <c r="I95" s="2">
        <v>231.79</v>
      </c>
      <c r="J95" t="str">
        <v>Sep-2024</v>
      </c>
      <c r="K95" s="9">
        <f t="shared" ca="1" si="4"/>
        <v>46066.577718749999</v>
      </c>
      <c r="L95">
        <f ca="1"/>
        <v>513.57771874999889</v>
      </c>
      <c r="M95" s="11" t="str">
        <f ca="1"/>
        <v>↑</v>
      </c>
      <c r="P95" s="11" t="str">
        <f t="shared" si="5"/>
        <v>Normal</v>
      </c>
      <c r="Q95" s="15">
        <f t="shared" si="6"/>
        <v>4.6500000000000004</v>
      </c>
      <c r="R95" s="16">
        <f t="shared" si="7"/>
        <v>1158.94</v>
      </c>
      <c r="S95" s="16"/>
      <c r="T95" s="15"/>
    </row>
    <row r="96" spans="1:20" ht="15" thickBot="1" x14ac:dyDescent="0.35">
      <c r="A96" s="1" t="s">
        <v>75</v>
      </c>
      <c r="B96" s="1" t="s">
        <v>47</v>
      </c>
      <c r="C96" s="1" t="s">
        <v>20</v>
      </c>
      <c r="D96" s="1" t="s">
        <v>12</v>
      </c>
      <c r="E96" s="2">
        <v>966.3</v>
      </c>
      <c r="F96" s="2">
        <v>2</v>
      </c>
      <c r="G96" s="2">
        <v>0.15</v>
      </c>
      <c r="H96" s="3">
        <v>45557</v>
      </c>
      <c r="I96" s="2">
        <v>328.54</v>
      </c>
      <c r="J96" t="str">
        <v>Sep-2024</v>
      </c>
      <c r="K96" s="9">
        <f t="shared" ca="1" si="4"/>
        <v>46066.577718749999</v>
      </c>
      <c r="L96">
        <f ca="1"/>
        <v>509.57771874999889</v>
      </c>
      <c r="M96" s="11" t="str">
        <f ca="1"/>
        <v>↑</v>
      </c>
      <c r="P96" s="11" t="str">
        <f t="shared" si="5"/>
        <v>Normal</v>
      </c>
      <c r="Q96" s="15">
        <f t="shared" si="6"/>
        <v>4.7</v>
      </c>
      <c r="R96" s="16">
        <f t="shared" si="7"/>
        <v>966.3</v>
      </c>
      <c r="S96" s="16"/>
      <c r="T96" s="15"/>
    </row>
    <row r="97" spans="1:20" ht="15" thickBot="1" x14ac:dyDescent="0.35">
      <c r="A97" s="1" t="s">
        <v>68</v>
      </c>
      <c r="B97" s="1" t="s">
        <v>17</v>
      </c>
      <c r="C97" s="1" t="s">
        <v>20</v>
      </c>
      <c r="D97" s="1" t="s">
        <v>12</v>
      </c>
      <c r="E97" s="2">
        <v>917.48</v>
      </c>
      <c r="F97" s="2">
        <v>6</v>
      </c>
      <c r="G97" s="2">
        <v>0</v>
      </c>
      <c r="H97" s="3">
        <v>45558</v>
      </c>
      <c r="I97" s="2">
        <v>366.99</v>
      </c>
      <c r="J97" t="str">
        <v>Sep-2024</v>
      </c>
      <c r="K97" s="9">
        <f t="shared" ca="1" si="4"/>
        <v>46066.577718749999</v>
      </c>
      <c r="L97">
        <f ca="1"/>
        <v>508.57771874999889</v>
      </c>
      <c r="M97" s="11" t="str">
        <f ca="1"/>
        <v>↑</v>
      </c>
      <c r="P97" s="11" t="str">
        <f t="shared" si="5"/>
        <v>Normal</v>
      </c>
      <c r="Q97" s="15">
        <f t="shared" si="6"/>
        <v>4.75</v>
      </c>
      <c r="R97" s="16">
        <f t="shared" si="7"/>
        <v>917.48</v>
      </c>
      <c r="S97" s="16"/>
      <c r="T97" s="15"/>
    </row>
    <row r="98" spans="1:20" ht="15" thickBot="1" x14ac:dyDescent="0.35">
      <c r="A98" s="1" t="s">
        <v>41</v>
      </c>
      <c r="B98" s="1" t="s">
        <v>61</v>
      </c>
      <c r="C98" s="1" t="s">
        <v>11</v>
      </c>
      <c r="D98" s="1" t="s">
        <v>27</v>
      </c>
      <c r="E98" s="2">
        <v>1172.97</v>
      </c>
      <c r="F98" s="2">
        <v>7</v>
      </c>
      <c r="G98" s="2">
        <v>0.15</v>
      </c>
      <c r="H98" s="3">
        <v>45559</v>
      </c>
      <c r="I98" s="2">
        <v>348.96</v>
      </c>
      <c r="J98" t="str">
        <v>Sep-2024</v>
      </c>
      <c r="K98" s="9">
        <f t="shared" ca="1" si="4"/>
        <v>46066.577718749999</v>
      </c>
      <c r="L98">
        <f ca="1"/>
        <v>507.57771874999889</v>
      </c>
      <c r="M98" s="11" t="str">
        <f ca="1"/>
        <v>↑</v>
      </c>
      <c r="P98" s="11" t="str">
        <f t="shared" si="5"/>
        <v>Normal</v>
      </c>
      <c r="Q98" s="15">
        <f t="shared" si="6"/>
        <v>4.8000000000000007</v>
      </c>
      <c r="R98" s="16">
        <f t="shared" si="7"/>
        <v>1172.97</v>
      </c>
      <c r="S98" s="16"/>
      <c r="T98" s="15"/>
    </row>
    <row r="99" spans="1:20" ht="15" thickBot="1" x14ac:dyDescent="0.35">
      <c r="A99" s="1" t="s">
        <v>57</v>
      </c>
      <c r="B99" s="1" t="s">
        <v>23</v>
      </c>
      <c r="C99" s="1" t="s">
        <v>24</v>
      </c>
      <c r="D99" s="1" t="s">
        <v>15</v>
      </c>
      <c r="E99" s="2">
        <v>1205.82</v>
      </c>
      <c r="F99" s="2">
        <v>11</v>
      </c>
      <c r="G99" s="2">
        <v>0.1</v>
      </c>
      <c r="H99" s="3">
        <v>45559</v>
      </c>
      <c r="I99" s="2">
        <v>542.62</v>
      </c>
      <c r="J99" t="str">
        <v>Sep-2024</v>
      </c>
      <c r="K99" s="9">
        <f t="shared" ca="1" si="4"/>
        <v>46066.577718749999</v>
      </c>
      <c r="L99">
        <f ca="1"/>
        <v>507.57771874999889</v>
      </c>
      <c r="M99" s="11" t="str">
        <f ca="1"/>
        <v>↑</v>
      </c>
      <c r="P99" s="11" t="str">
        <f t="shared" si="5"/>
        <v>Normal</v>
      </c>
      <c r="Q99" s="15">
        <f t="shared" si="6"/>
        <v>4.8500000000000005</v>
      </c>
      <c r="R99" s="16">
        <f t="shared" si="7"/>
        <v>1205.82</v>
      </c>
      <c r="S99" s="16"/>
      <c r="T99" s="15"/>
    </row>
    <row r="100" spans="1:20" ht="15" thickBot="1" x14ac:dyDescent="0.35">
      <c r="A100" s="1" t="s">
        <v>16</v>
      </c>
      <c r="B100" s="1" t="s">
        <v>64</v>
      </c>
      <c r="C100" s="1" t="s">
        <v>11</v>
      </c>
      <c r="D100" s="1" t="s">
        <v>39</v>
      </c>
      <c r="E100" s="2">
        <v>826.93</v>
      </c>
      <c r="F100" s="2">
        <v>10</v>
      </c>
      <c r="G100" s="2">
        <v>0.2</v>
      </c>
      <c r="H100" s="3">
        <v>45564</v>
      </c>
      <c r="I100" s="2">
        <v>297.69</v>
      </c>
      <c r="J100" t="str">
        <v>Sep-2024</v>
      </c>
      <c r="K100" s="9">
        <f t="shared" ca="1" si="4"/>
        <v>46066.577718749999</v>
      </c>
      <c r="L100">
        <f ca="1"/>
        <v>502.57771874999889</v>
      </c>
      <c r="M100" s="11" t="str">
        <f ca="1"/>
        <v>↑</v>
      </c>
      <c r="P100" s="11" t="str">
        <f t="shared" si="5"/>
        <v>Normal</v>
      </c>
      <c r="Q100" s="15">
        <f t="shared" si="6"/>
        <v>4.9000000000000004</v>
      </c>
      <c r="R100" s="16">
        <f t="shared" si="7"/>
        <v>826.93</v>
      </c>
      <c r="S100" s="16"/>
      <c r="T100" s="15"/>
    </row>
    <row r="101" spans="1:20" ht="15" thickBot="1" x14ac:dyDescent="0.35">
      <c r="A101" s="1" t="s">
        <v>67</v>
      </c>
      <c r="B101" s="1" t="s">
        <v>23</v>
      </c>
      <c r="C101" s="1" t="s">
        <v>34</v>
      </c>
      <c r="D101" s="1" t="s">
        <v>15</v>
      </c>
      <c r="E101" s="2">
        <v>902.19</v>
      </c>
      <c r="F101" s="2">
        <v>12</v>
      </c>
      <c r="G101" s="2">
        <v>0</v>
      </c>
      <c r="H101" s="3">
        <v>45564</v>
      </c>
      <c r="I101" s="2">
        <v>451.1</v>
      </c>
      <c r="J101" t="str">
        <v>Sep-2024</v>
      </c>
      <c r="K101" s="9">
        <f t="shared" ca="1" si="4"/>
        <v>46066.577718749999</v>
      </c>
      <c r="L101">
        <f ca="1"/>
        <v>502.57771874999889</v>
      </c>
      <c r="M101" s="11" t="str">
        <f ca="1"/>
        <v>↑</v>
      </c>
      <c r="P101" s="11" t="str">
        <f t="shared" si="5"/>
        <v>Normal</v>
      </c>
      <c r="Q101" s="15">
        <f t="shared" si="6"/>
        <v>4.95</v>
      </c>
      <c r="R101" s="16">
        <f t="shared" si="7"/>
        <v>902.19</v>
      </c>
      <c r="S101" s="16"/>
      <c r="T101" s="15"/>
    </row>
    <row r="102" spans="1:20" ht="15" thickBot="1" x14ac:dyDescent="0.35">
      <c r="A102" s="1" t="s">
        <v>74</v>
      </c>
      <c r="B102" s="1" t="s">
        <v>38</v>
      </c>
      <c r="C102" s="1" t="s">
        <v>24</v>
      </c>
      <c r="D102" s="1" t="s">
        <v>12</v>
      </c>
      <c r="E102" s="2">
        <v>585.97</v>
      </c>
      <c r="F102" s="2">
        <v>17</v>
      </c>
      <c r="G102" s="2">
        <v>0.1</v>
      </c>
      <c r="H102" s="3">
        <v>45565</v>
      </c>
      <c r="I102" s="2">
        <v>210.95</v>
      </c>
      <c r="J102" t="str">
        <v>Sep-2024</v>
      </c>
      <c r="K102" s="9">
        <f t="shared" ca="1" si="4"/>
        <v>46066.577718749999</v>
      </c>
      <c r="L102">
        <f ca="1"/>
        <v>501.57771874999889</v>
      </c>
      <c r="M102" s="11" t="str">
        <f ca="1"/>
        <v>↑</v>
      </c>
      <c r="P102" s="11" t="str">
        <f t="shared" si="5"/>
        <v>Normal</v>
      </c>
      <c r="Q102" s="15">
        <f t="shared" si="6"/>
        <v>5</v>
      </c>
      <c r="R102" s="16">
        <f t="shared" si="7"/>
        <v>585.97</v>
      </c>
      <c r="S102" s="16"/>
      <c r="T102" s="15"/>
    </row>
    <row r="103" spans="1:20" ht="15" thickBot="1" x14ac:dyDescent="0.35">
      <c r="A103" s="1" t="s">
        <v>60</v>
      </c>
      <c r="B103" s="1" t="s">
        <v>26</v>
      </c>
      <c r="C103" s="1" t="s">
        <v>24</v>
      </c>
      <c r="D103" s="1" t="s">
        <v>15</v>
      </c>
      <c r="E103" s="2">
        <v>990.19</v>
      </c>
      <c r="F103" s="2">
        <v>8</v>
      </c>
      <c r="G103" s="2">
        <v>0.1</v>
      </c>
      <c r="H103" s="3">
        <v>45565</v>
      </c>
      <c r="I103" s="2">
        <v>445.59</v>
      </c>
      <c r="J103" t="str">
        <v>Sep-2024</v>
      </c>
      <c r="K103" s="9">
        <f t="shared" ca="1" si="4"/>
        <v>46066.577718749999</v>
      </c>
      <c r="L103">
        <f ca="1"/>
        <v>501.57771874999889</v>
      </c>
      <c r="M103" s="11" t="str">
        <f ca="1"/>
        <v>↑</v>
      </c>
      <c r="P103" s="11" t="str">
        <f t="shared" si="5"/>
        <v>Normal</v>
      </c>
      <c r="Q103" s="15">
        <f t="shared" si="6"/>
        <v>5.0500000000000007</v>
      </c>
      <c r="R103" s="16">
        <f t="shared" si="7"/>
        <v>990.19</v>
      </c>
      <c r="S103" s="16"/>
      <c r="T103" s="15"/>
    </row>
    <row r="104" spans="1:20" ht="15" thickBot="1" x14ac:dyDescent="0.35">
      <c r="A104" s="1" t="s">
        <v>44</v>
      </c>
      <c r="B104" s="1" t="s">
        <v>56</v>
      </c>
      <c r="C104" s="1" t="s">
        <v>34</v>
      </c>
      <c r="D104" s="1" t="s">
        <v>21</v>
      </c>
      <c r="E104" s="2">
        <v>1014.09</v>
      </c>
      <c r="F104" s="2">
        <v>13</v>
      </c>
      <c r="G104" s="2">
        <v>0.2</v>
      </c>
      <c r="H104" s="3">
        <v>45567</v>
      </c>
      <c r="I104" s="2">
        <v>202.82</v>
      </c>
      <c r="J104" t="str">
        <v>Oct-2024</v>
      </c>
      <c r="K104" s="9">
        <f t="shared" ca="1" si="4"/>
        <v>46066.577718749999</v>
      </c>
      <c r="L104">
        <f ca="1"/>
        <v>499.57771874999889</v>
      </c>
      <c r="M104" s="11" t="str">
        <f ca="1"/>
        <v>→</v>
      </c>
      <c r="P104" s="11" t="str">
        <f t="shared" si="5"/>
        <v>Normal</v>
      </c>
      <c r="Q104" s="15">
        <f t="shared" si="6"/>
        <v>5.1000000000000005</v>
      </c>
      <c r="R104" s="16">
        <f t="shared" si="7"/>
        <v>1014.09</v>
      </c>
      <c r="S104" s="16"/>
      <c r="T104" s="15"/>
    </row>
    <row r="105" spans="1:20" ht="15" thickBot="1" x14ac:dyDescent="0.35">
      <c r="A105" s="1" t="s">
        <v>13</v>
      </c>
      <c r="B105" s="1" t="s">
        <v>48</v>
      </c>
      <c r="C105" s="1" t="s">
        <v>24</v>
      </c>
      <c r="D105" s="1" t="s">
        <v>21</v>
      </c>
      <c r="E105" s="2">
        <v>925.29</v>
      </c>
      <c r="F105" s="2">
        <v>17</v>
      </c>
      <c r="G105" s="2">
        <v>0</v>
      </c>
      <c r="H105" s="3">
        <v>45570</v>
      </c>
      <c r="I105" s="2">
        <v>231.32</v>
      </c>
      <c r="J105" t="str">
        <v>Oct-2024</v>
      </c>
      <c r="K105" s="9">
        <f t="shared" ca="1" si="4"/>
        <v>46066.577718749999</v>
      </c>
      <c r="L105">
        <f ca="1"/>
        <v>496.57771874999889</v>
      </c>
      <c r="M105" s="11" t="str">
        <f ca="1"/>
        <v>↓</v>
      </c>
      <c r="P105" s="11" t="str">
        <f t="shared" si="5"/>
        <v>Normal</v>
      </c>
      <c r="Q105" s="15">
        <f t="shared" si="6"/>
        <v>5.15</v>
      </c>
      <c r="R105" s="16">
        <f t="shared" si="7"/>
        <v>925.29</v>
      </c>
      <c r="S105" s="16"/>
      <c r="T105" s="15"/>
    </row>
    <row r="106" spans="1:20" ht="15" thickBot="1" x14ac:dyDescent="0.35">
      <c r="A106" s="1" t="s">
        <v>54</v>
      </c>
      <c r="B106" s="1" t="s">
        <v>47</v>
      </c>
      <c r="C106" s="1" t="s">
        <v>18</v>
      </c>
      <c r="D106" s="1" t="s">
        <v>27</v>
      </c>
      <c r="E106" s="2">
        <v>1286.54</v>
      </c>
      <c r="F106" s="2">
        <v>8</v>
      </c>
      <c r="G106" s="2">
        <v>0</v>
      </c>
      <c r="H106" s="3">
        <v>45575</v>
      </c>
      <c r="I106" s="2">
        <v>450.29</v>
      </c>
      <c r="J106" t="str">
        <v>Oct-2024</v>
      </c>
      <c r="K106" s="9">
        <f t="shared" ca="1" si="4"/>
        <v>46066.577718749999</v>
      </c>
      <c r="L106">
        <f ca="1"/>
        <v>491.57771874999889</v>
      </c>
      <c r="M106" s="11" t="str">
        <f ca="1"/>
        <v>↓</v>
      </c>
      <c r="P106" s="11" t="str">
        <f t="shared" si="5"/>
        <v>Normal</v>
      </c>
      <c r="Q106" s="15">
        <f t="shared" si="6"/>
        <v>5.2</v>
      </c>
      <c r="R106" s="16">
        <f t="shared" si="7"/>
        <v>1286.54</v>
      </c>
      <c r="S106" s="16"/>
      <c r="T106" s="15"/>
    </row>
    <row r="107" spans="1:20" ht="15" thickBot="1" x14ac:dyDescent="0.35">
      <c r="A107" s="1" t="s">
        <v>37</v>
      </c>
      <c r="B107" s="1" t="s">
        <v>64</v>
      </c>
      <c r="C107" s="1" t="s">
        <v>20</v>
      </c>
      <c r="D107" s="1" t="s">
        <v>12</v>
      </c>
      <c r="E107" s="2">
        <v>961.62</v>
      </c>
      <c r="F107" s="2">
        <v>8</v>
      </c>
      <c r="G107" s="2">
        <v>0.2</v>
      </c>
      <c r="H107" s="3">
        <v>45577</v>
      </c>
      <c r="I107" s="2">
        <v>307.72000000000003</v>
      </c>
      <c r="J107" t="str">
        <v>Oct-2024</v>
      </c>
      <c r="K107" s="9">
        <f t="shared" ca="1" si="4"/>
        <v>46066.577718749999</v>
      </c>
      <c r="L107">
        <f ca="1"/>
        <v>489.57771874999889</v>
      </c>
      <c r="M107" s="11" t="str">
        <f ca="1"/>
        <v>↓</v>
      </c>
      <c r="P107" s="11" t="str">
        <f t="shared" si="5"/>
        <v>Normal</v>
      </c>
      <c r="Q107" s="15">
        <f t="shared" si="6"/>
        <v>5.25</v>
      </c>
      <c r="R107" s="16">
        <f t="shared" si="7"/>
        <v>961.62</v>
      </c>
      <c r="S107" s="16"/>
      <c r="T107" s="15"/>
    </row>
    <row r="108" spans="1:20" ht="15" thickBot="1" x14ac:dyDescent="0.35">
      <c r="A108" s="1" t="s">
        <v>44</v>
      </c>
      <c r="B108" s="1" t="s">
        <v>23</v>
      </c>
      <c r="C108" s="1" t="s">
        <v>18</v>
      </c>
      <c r="D108" s="1" t="s">
        <v>12</v>
      </c>
      <c r="E108" s="2">
        <v>1081.1400000000001</v>
      </c>
      <c r="F108" s="2">
        <v>19</v>
      </c>
      <c r="G108" s="2">
        <v>0.15</v>
      </c>
      <c r="H108" s="3">
        <v>45577</v>
      </c>
      <c r="I108" s="2">
        <v>367.59</v>
      </c>
      <c r="J108" t="str">
        <v>Oct-2024</v>
      </c>
      <c r="K108" s="9">
        <f t="shared" ca="1" si="4"/>
        <v>46066.577718749999</v>
      </c>
      <c r="L108">
        <f ca="1"/>
        <v>489.57771874999889</v>
      </c>
      <c r="M108" s="11" t="str">
        <f ca="1"/>
        <v>↓</v>
      </c>
      <c r="P108" s="11" t="str">
        <f t="shared" si="5"/>
        <v>Normal</v>
      </c>
      <c r="Q108" s="15">
        <f t="shared" si="6"/>
        <v>5.3000000000000007</v>
      </c>
      <c r="R108" s="16">
        <f t="shared" si="7"/>
        <v>1081.1400000000001</v>
      </c>
      <c r="S108" s="16"/>
      <c r="T108" s="15"/>
    </row>
    <row r="109" spans="1:20" ht="15" thickBot="1" x14ac:dyDescent="0.35">
      <c r="A109" s="1" t="s">
        <v>58</v>
      </c>
      <c r="B109" s="1" t="s">
        <v>23</v>
      </c>
      <c r="C109" s="1" t="s">
        <v>11</v>
      </c>
      <c r="D109" s="1" t="s">
        <v>15</v>
      </c>
      <c r="E109" s="2">
        <v>1923.66</v>
      </c>
      <c r="F109" s="2">
        <v>9</v>
      </c>
      <c r="G109" s="2">
        <v>0.2</v>
      </c>
      <c r="H109" s="3">
        <v>45580</v>
      </c>
      <c r="I109" s="2">
        <v>769.46</v>
      </c>
      <c r="J109" t="str">
        <v>Oct-2024</v>
      </c>
      <c r="K109" s="9">
        <f t="shared" ca="1" si="4"/>
        <v>46066.577718749999</v>
      </c>
      <c r="L109">
        <f ca="1"/>
        <v>486.57771874999889</v>
      </c>
      <c r="M109" s="11" t="str">
        <f ca="1"/>
        <v>↓</v>
      </c>
      <c r="P109" s="11" t="str">
        <f t="shared" si="5"/>
        <v>Normal</v>
      </c>
      <c r="Q109" s="15">
        <f t="shared" si="6"/>
        <v>5.3500000000000005</v>
      </c>
      <c r="R109" s="16">
        <f t="shared" si="7"/>
        <v>1923.66</v>
      </c>
      <c r="S109" s="16"/>
      <c r="T109" s="15"/>
    </row>
    <row r="110" spans="1:20" ht="15" thickBot="1" x14ac:dyDescent="0.35">
      <c r="A110" s="1" t="s">
        <v>54</v>
      </c>
      <c r="B110" s="1" t="s">
        <v>66</v>
      </c>
      <c r="C110" s="1" t="s">
        <v>34</v>
      </c>
      <c r="D110" s="1" t="s">
        <v>15</v>
      </c>
      <c r="E110" s="2">
        <v>728.71</v>
      </c>
      <c r="F110" s="2">
        <v>14</v>
      </c>
      <c r="G110" s="2">
        <v>0.1</v>
      </c>
      <c r="H110" s="3">
        <v>45581</v>
      </c>
      <c r="I110" s="2">
        <v>327.92</v>
      </c>
      <c r="J110" t="str">
        <v>Oct-2024</v>
      </c>
      <c r="K110" s="9">
        <f t="shared" ca="1" si="4"/>
        <v>46066.577718749999</v>
      </c>
      <c r="L110">
        <f ca="1"/>
        <v>485.57771874999889</v>
      </c>
      <c r="M110" s="11" t="str">
        <f ca="1"/>
        <v>↓</v>
      </c>
      <c r="P110" s="11" t="str">
        <f t="shared" si="5"/>
        <v>Normal</v>
      </c>
      <c r="Q110" s="15">
        <f t="shared" si="6"/>
        <v>5.4</v>
      </c>
      <c r="R110" s="16">
        <f t="shared" si="7"/>
        <v>728.71</v>
      </c>
      <c r="S110" s="16"/>
      <c r="T110" s="15"/>
    </row>
    <row r="111" spans="1:20" ht="15" thickBot="1" x14ac:dyDescent="0.35">
      <c r="A111" s="1" t="s">
        <v>9</v>
      </c>
      <c r="B111" s="1" t="s">
        <v>33</v>
      </c>
      <c r="C111" s="1" t="s">
        <v>34</v>
      </c>
      <c r="D111" s="1" t="s">
        <v>15</v>
      </c>
      <c r="E111" s="2">
        <v>1301.8900000000001</v>
      </c>
      <c r="F111" s="2">
        <v>7</v>
      </c>
      <c r="G111" s="2">
        <v>0.15</v>
      </c>
      <c r="H111" s="3">
        <v>45581</v>
      </c>
      <c r="I111" s="2">
        <v>553.29999999999995</v>
      </c>
      <c r="J111" t="str">
        <v>Oct-2024</v>
      </c>
      <c r="K111" s="9">
        <f t="shared" ca="1" si="4"/>
        <v>46066.577718749999</v>
      </c>
      <c r="L111">
        <f ca="1"/>
        <v>485.57771874999889</v>
      </c>
      <c r="M111" s="11" t="str">
        <f ca="1"/>
        <v>↓</v>
      </c>
      <c r="P111" s="11" t="str">
        <f t="shared" si="5"/>
        <v>Normal</v>
      </c>
      <c r="Q111" s="15">
        <f t="shared" si="6"/>
        <v>5.45</v>
      </c>
      <c r="R111" s="16">
        <f t="shared" si="7"/>
        <v>1301.8900000000001</v>
      </c>
      <c r="S111" s="16"/>
      <c r="T111" s="15"/>
    </row>
    <row r="112" spans="1:20" ht="15" thickBot="1" x14ac:dyDescent="0.35">
      <c r="A112" s="1" t="s">
        <v>70</v>
      </c>
      <c r="B112" s="1" t="s">
        <v>66</v>
      </c>
      <c r="C112" s="1" t="s">
        <v>18</v>
      </c>
      <c r="D112" s="1" t="s">
        <v>12</v>
      </c>
      <c r="E112" s="2">
        <v>980.18</v>
      </c>
      <c r="F112" s="2">
        <v>16</v>
      </c>
      <c r="G112" s="2">
        <v>0.1</v>
      </c>
      <c r="H112" s="3">
        <v>45582</v>
      </c>
      <c r="I112" s="2">
        <v>352.86</v>
      </c>
      <c r="J112" t="str">
        <v>Oct-2024</v>
      </c>
      <c r="K112" s="9">
        <f t="shared" ca="1" si="4"/>
        <v>46066.577718749999</v>
      </c>
      <c r="L112">
        <f ca="1"/>
        <v>484.57771874999889</v>
      </c>
      <c r="M112" s="11" t="str">
        <f ca="1"/>
        <v>↓</v>
      </c>
      <c r="P112" s="11" t="str">
        <f t="shared" si="5"/>
        <v>Normal</v>
      </c>
      <c r="Q112" s="15">
        <f t="shared" si="6"/>
        <v>5.5</v>
      </c>
      <c r="R112" s="16">
        <f t="shared" si="7"/>
        <v>980.18</v>
      </c>
      <c r="S112" s="16"/>
      <c r="T112" s="15"/>
    </row>
    <row r="113" spans="1:20" ht="15" thickBot="1" x14ac:dyDescent="0.35">
      <c r="A113" s="1" t="s">
        <v>74</v>
      </c>
      <c r="B113" s="1" t="s">
        <v>23</v>
      </c>
      <c r="C113" s="1" t="s">
        <v>11</v>
      </c>
      <c r="D113" s="1" t="s">
        <v>15</v>
      </c>
      <c r="E113" s="2">
        <v>697.57</v>
      </c>
      <c r="F113" s="2">
        <v>17</v>
      </c>
      <c r="G113" s="2">
        <v>0.1</v>
      </c>
      <c r="H113" s="3">
        <v>45584</v>
      </c>
      <c r="I113" s="2">
        <v>313.91000000000003</v>
      </c>
      <c r="J113" t="str">
        <v>Oct-2024</v>
      </c>
      <c r="K113" s="9">
        <f t="shared" ca="1" si="4"/>
        <v>46066.577718749999</v>
      </c>
      <c r="L113">
        <f ca="1"/>
        <v>482.57771874999889</v>
      </c>
      <c r="M113" s="11" t="str">
        <f ca="1"/>
        <v>↓</v>
      </c>
      <c r="P113" s="11" t="str">
        <f t="shared" si="5"/>
        <v>Normal</v>
      </c>
      <c r="Q113" s="15">
        <f t="shared" si="6"/>
        <v>5.5500000000000007</v>
      </c>
      <c r="R113" s="16">
        <f t="shared" si="7"/>
        <v>697.57</v>
      </c>
      <c r="S113" s="16"/>
      <c r="T113" s="15"/>
    </row>
    <row r="114" spans="1:20" ht="15" thickBot="1" x14ac:dyDescent="0.35">
      <c r="A114" s="1" t="s">
        <v>46</v>
      </c>
      <c r="B114" s="1" t="s">
        <v>71</v>
      </c>
      <c r="C114" s="1" t="s">
        <v>11</v>
      </c>
      <c r="D114" s="1" t="s">
        <v>27</v>
      </c>
      <c r="E114" s="2">
        <v>1193.6099999999999</v>
      </c>
      <c r="F114" s="2">
        <v>1</v>
      </c>
      <c r="G114" s="2">
        <v>0.15</v>
      </c>
      <c r="H114" s="3">
        <v>45584</v>
      </c>
      <c r="I114" s="2">
        <v>355.1</v>
      </c>
      <c r="J114" t="str">
        <v>Oct-2024</v>
      </c>
      <c r="K114" s="9">
        <f t="shared" ca="1" si="4"/>
        <v>46066.577718749999</v>
      </c>
      <c r="L114">
        <f ca="1"/>
        <v>482.57771874999889</v>
      </c>
      <c r="M114" s="11" t="str">
        <f ca="1"/>
        <v>↓</v>
      </c>
      <c r="P114" s="11" t="str">
        <f t="shared" si="5"/>
        <v>Normal</v>
      </c>
      <c r="Q114" s="15">
        <f t="shared" si="6"/>
        <v>5.6000000000000005</v>
      </c>
      <c r="R114" s="16">
        <f t="shared" si="7"/>
        <v>1193.6099999999999</v>
      </c>
      <c r="S114" s="16"/>
      <c r="T114" s="15"/>
    </row>
    <row r="115" spans="1:20" ht="15" thickBot="1" x14ac:dyDescent="0.35">
      <c r="A115" s="1" t="s">
        <v>32</v>
      </c>
      <c r="B115" s="1" t="s">
        <v>38</v>
      </c>
      <c r="C115" s="1" t="s">
        <v>20</v>
      </c>
      <c r="D115" s="1" t="s">
        <v>21</v>
      </c>
      <c r="E115" s="2">
        <v>771.02</v>
      </c>
      <c r="F115" s="2">
        <v>1</v>
      </c>
      <c r="G115" s="2">
        <v>0</v>
      </c>
      <c r="H115" s="3">
        <v>45585</v>
      </c>
      <c r="I115" s="2">
        <v>192.76</v>
      </c>
      <c r="J115" t="str">
        <v>Oct-2024</v>
      </c>
      <c r="K115" s="9">
        <f t="shared" ca="1" si="4"/>
        <v>46066.577718749999</v>
      </c>
      <c r="L115">
        <f ca="1"/>
        <v>481.57771874999889</v>
      </c>
      <c r="M115" s="11" t="str">
        <f ca="1"/>
        <v>↓</v>
      </c>
      <c r="P115" s="11" t="str">
        <f t="shared" si="5"/>
        <v>Normal</v>
      </c>
      <c r="Q115" s="15">
        <f t="shared" si="6"/>
        <v>5.65</v>
      </c>
      <c r="R115" s="16">
        <f t="shared" si="7"/>
        <v>771.02</v>
      </c>
      <c r="S115" s="16"/>
      <c r="T115" s="15"/>
    </row>
    <row r="116" spans="1:20" ht="15" thickBot="1" x14ac:dyDescent="0.35">
      <c r="A116" s="1" t="s">
        <v>67</v>
      </c>
      <c r="B116" s="1" t="s">
        <v>69</v>
      </c>
      <c r="C116" s="1" t="s">
        <v>24</v>
      </c>
      <c r="D116" s="1" t="s">
        <v>15</v>
      </c>
      <c r="E116" s="2">
        <v>661.09</v>
      </c>
      <c r="F116" s="2">
        <v>1</v>
      </c>
      <c r="G116" s="2">
        <v>0.2</v>
      </c>
      <c r="H116" s="3">
        <v>45593</v>
      </c>
      <c r="I116" s="2">
        <v>264.44</v>
      </c>
      <c r="J116" t="str">
        <v>Oct-2024</v>
      </c>
      <c r="K116" s="9">
        <f t="shared" ca="1" si="4"/>
        <v>46066.577718749999</v>
      </c>
      <c r="L116">
        <f ca="1"/>
        <v>473.57771874999889</v>
      </c>
      <c r="M116" s="11" t="str">
        <f ca="1"/>
        <v>↓</v>
      </c>
      <c r="P116" s="11" t="str">
        <f t="shared" si="5"/>
        <v>Normal</v>
      </c>
      <c r="Q116" s="15">
        <f t="shared" si="6"/>
        <v>5.7</v>
      </c>
      <c r="R116" s="16">
        <f t="shared" si="7"/>
        <v>661.09</v>
      </c>
      <c r="S116" s="16"/>
      <c r="T116" s="15"/>
    </row>
    <row r="117" spans="1:20" ht="15" thickBot="1" x14ac:dyDescent="0.35">
      <c r="A117" s="1" t="s">
        <v>13</v>
      </c>
      <c r="B117" s="1" t="s">
        <v>55</v>
      </c>
      <c r="C117" s="1" t="s">
        <v>11</v>
      </c>
      <c r="D117" s="1" t="s">
        <v>21</v>
      </c>
      <c r="E117" s="2">
        <v>688.83</v>
      </c>
      <c r="F117" s="2">
        <v>15</v>
      </c>
      <c r="G117" s="2">
        <v>0</v>
      </c>
      <c r="H117" s="3">
        <v>45595</v>
      </c>
      <c r="I117" s="2">
        <v>172.21</v>
      </c>
      <c r="J117" t="str">
        <v>Oct-2024</v>
      </c>
      <c r="K117" s="9">
        <f t="shared" ca="1" si="4"/>
        <v>46066.577718749999</v>
      </c>
      <c r="L117">
        <f ca="1"/>
        <v>471.57771874999889</v>
      </c>
      <c r="M117" s="11" t="str">
        <f ca="1"/>
        <v>↓</v>
      </c>
      <c r="P117" s="11" t="str">
        <f t="shared" si="5"/>
        <v>Normal</v>
      </c>
      <c r="Q117" s="15">
        <f t="shared" si="6"/>
        <v>5.75</v>
      </c>
      <c r="R117" s="16">
        <f t="shared" si="7"/>
        <v>688.83</v>
      </c>
      <c r="S117" s="16"/>
      <c r="T117" s="15"/>
    </row>
    <row r="118" spans="1:20" ht="15" thickBot="1" x14ac:dyDescent="0.35">
      <c r="A118" s="1" t="s">
        <v>73</v>
      </c>
      <c r="B118" s="1" t="s">
        <v>29</v>
      </c>
      <c r="C118" s="1" t="s">
        <v>34</v>
      </c>
      <c r="D118" s="1" t="s">
        <v>12</v>
      </c>
      <c r="E118" s="2">
        <v>1249.0999999999999</v>
      </c>
      <c r="F118" s="2">
        <v>4</v>
      </c>
      <c r="G118" s="2">
        <v>0.05</v>
      </c>
      <c r="H118" s="3">
        <v>45597</v>
      </c>
      <c r="I118" s="2">
        <v>474.66</v>
      </c>
      <c r="J118" t="str">
        <v>Nov-2024</v>
      </c>
      <c r="K118" s="9">
        <f t="shared" ca="1" si="4"/>
        <v>46066.577718749999</v>
      </c>
      <c r="L118">
        <f ca="1"/>
        <v>469.57771874999889</v>
      </c>
      <c r="M118" s="11" t="str">
        <f ca="1"/>
        <v>↓</v>
      </c>
      <c r="P118" s="11" t="str">
        <f t="shared" si="5"/>
        <v>Normal</v>
      </c>
      <c r="Q118" s="15">
        <f t="shared" si="6"/>
        <v>5.8000000000000007</v>
      </c>
      <c r="R118" s="16">
        <f t="shared" si="7"/>
        <v>1249.0999999999999</v>
      </c>
      <c r="S118" s="16"/>
      <c r="T118" s="15"/>
    </row>
    <row r="119" spans="1:20" ht="15" thickBot="1" x14ac:dyDescent="0.35">
      <c r="A119" s="1" t="s">
        <v>44</v>
      </c>
      <c r="B119" s="1" t="s">
        <v>23</v>
      </c>
      <c r="C119" s="1" t="s">
        <v>18</v>
      </c>
      <c r="D119" s="1" t="s">
        <v>39</v>
      </c>
      <c r="E119" s="2">
        <v>1014.22</v>
      </c>
      <c r="F119" s="2">
        <v>14</v>
      </c>
      <c r="G119" s="2">
        <v>0.05</v>
      </c>
      <c r="H119" s="3">
        <v>45599</v>
      </c>
      <c r="I119" s="2">
        <v>433.58</v>
      </c>
      <c r="J119" t="str">
        <v>Nov-2024</v>
      </c>
      <c r="K119" s="9">
        <f t="shared" ca="1" si="4"/>
        <v>46066.577718749999</v>
      </c>
      <c r="L119">
        <f ca="1"/>
        <v>467.57771874999889</v>
      </c>
      <c r="M119" s="11" t="str">
        <f ca="1"/>
        <v>↓</v>
      </c>
      <c r="P119" s="11" t="str">
        <f t="shared" si="5"/>
        <v>Normal</v>
      </c>
      <c r="Q119" s="15">
        <f t="shared" si="6"/>
        <v>5.8500000000000005</v>
      </c>
      <c r="R119" s="16">
        <f t="shared" si="7"/>
        <v>1014.22</v>
      </c>
      <c r="S119" s="16"/>
      <c r="T119" s="15"/>
    </row>
    <row r="120" spans="1:20" ht="15" thickBot="1" x14ac:dyDescent="0.35">
      <c r="A120" s="1" t="s">
        <v>54</v>
      </c>
      <c r="B120" s="1" t="s">
        <v>48</v>
      </c>
      <c r="C120" s="1" t="s">
        <v>18</v>
      </c>
      <c r="D120" s="1" t="s">
        <v>12</v>
      </c>
      <c r="E120" s="2">
        <v>1010.58</v>
      </c>
      <c r="F120" s="2">
        <v>2</v>
      </c>
      <c r="G120" s="2">
        <v>0.15</v>
      </c>
      <c r="H120" s="3">
        <v>45605</v>
      </c>
      <c r="I120" s="2">
        <v>343.6</v>
      </c>
      <c r="J120" t="str">
        <v>Nov-2024</v>
      </c>
      <c r="K120" s="9">
        <f t="shared" ca="1" si="4"/>
        <v>46066.577718749999</v>
      </c>
      <c r="L120">
        <f ca="1"/>
        <v>461.57771874999889</v>
      </c>
      <c r="M120" s="11" t="str">
        <f ca="1"/>
        <v>↓</v>
      </c>
      <c r="P120" s="11" t="str">
        <f t="shared" si="5"/>
        <v>Normal</v>
      </c>
      <c r="Q120" s="15">
        <f t="shared" si="6"/>
        <v>5.9</v>
      </c>
      <c r="R120" s="16">
        <f t="shared" si="7"/>
        <v>1010.58</v>
      </c>
      <c r="S120" s="16"/>
      <c r="T120" s="15"/>
    </row>
    <row r="121" spans="1:20" ht="15" thickBot="1" x14ac:dyDescent="0.35">
      <c r="A121" s="1" t="s">
        <v>30</v>
      </c>
      <c r="B121" s="1" t="s">
        <v>59</v>
      </c>
      <c r="C121" s="1" t="s">
        <v>24</v>
      </c>
      <c r="D121" s="1" t="s">
        <v>27</v>
      </c>
      <c r="E121" s="2">
        <v>957.29</v>
      </c>
      <c r="F121" s="2">
        <v>4</v>
      </c>
      <c r="G121" s="2">
        <v>0.05</v>
      </c>
      <c r="H121" s="3">
        <v>45605</v>
      </c>
      <c r="I121" s="2">
        <v>318.3</v>
      </c>
      <c r="J121" t="str">
        <v>Nov-2024</v>
      </c>
      <c r="K121" s="9">
        <f t="shared" ca="1" si="4"/>
        <v>46066.577718749999</v>
      </c>
      <c r="L121">
        <f ca="1"/>
        <v>461.57771874999889</v>
      </c>
      <c r="M121" s="11" t="str">
        <f ca="1"/>
        <v>↓</v>
      </c>
      <c r="P121" s="11" t="str">
        <f t="shared" si="5"/>
        <v>Normal</v>
      </c>
      <c r="Q121" s="15">
        <f t="shared" si="6"/>
        <v>5.95</v>
      </c>
      <c r="R121" s="16">
        <f t="shared" si="7"/>
        <v>957.29</v>
      </c>
      <c r="S121" s="16"/>
      <c r="T121" s="15"/>
    </row>
    <row r="122" spans="1:20" ht="15" thickBot="1" x14ac:dyDescent="0.35">
      <c r="A122" s="1" t="s">
        <v>28</v>
      </c>
      <c r="B122" s="1" t="s">
        <v>45</v>
      </c>
      <c r="C122" s="1" t="s">
        <v>24</v>
      </c>
      <c r="D122" s="1" t="s">
        <v>27</v>
      </c>
      <c r="E122" s="2">
        <v>1077.92</v>
      </c>
      <c r="F122" s="2">
        <v>3</v>
      </c>
      <c r="G122" s="2">
        <v>0.05</v>
      </c>
      <c r="H122" s="3">
        <v>45608</v>
      </c>
      <c r="I122" s="2">
        <v>358.41</v>
      </c>
      <c r="J122" t="str">
        <v>Nov-2024</v>
      </c>
      <c r="K122" s="9">
        <f t="shared" ca="1" si="4"/>
        <v>46066.577718749999</v>
      </c>
      <c r="L122">
        <f ca="1"/>
        <v>458.57771874999889</v>
      </c>
      <c r="M122" s="11" t="str">
        <f ca="1"/>
        <v>↓</v>
      </c>
      <c r="P122" s="11" t="str">
        <f t="shared" si="5"/>
        <v>Normal</v>
      </c>
      <c r="Q122" s="15">
        <f t="shared" si="6"/>
        <v>6</v>
      </c>
      <c r="R122" s="16">
        <f t="shared" si="7"/>
        <v>1077.92</v>
      </c>
      <c r="S122" s="16"/>
      <c r="T122" s="15"/>
    </row>
    <row r="123" spans="1:20" ht="15" thickBot="1" x14ac:dyDescent="0.35">
      <c r="A123" s="1" t="s">
        <v>52</v>
      </c>
      <c r="B123" s="1" t="s">
        <v>50</v>
      </c>
      <c r="C123" s="1" t="s">
        <v>20</v>
      </c>
      <c r="D123" s="1" t="s">
        <v>15</v>
      </c>
      <c r="E123" s="2">
        <v>1163.01</v>
      </c>
      <c r="F123" s="2">
        <v>5</v>
      </c>
      <c r="G123" s="2">
        <v>0</v>
      </c>
      <c r="H123" s="3">
        <v>45611</v>
      </c>
      <c r="I123" s="2">
        <v>581.5</v>
      </c>
      <c r="J123" t="str">
        <v>Nov-2024</v>
      </c>
      <c r="K123" s="9">
        <f t="shared" ca="1" si="4"/>
        <v>46066.577718749999</v>
      </c>
      <c r="L123">
        <f ca="1"/>
        <v>455.57771874999889</v>
      </c>
      <c r="M123" s="11" t="str">
        <f ca="1"/>
        <v>↓</v>
      </c>
      <c r="P123" s="11" t="str">
        <f t="shared" si="5"/>
        <v>Normal</v>
      </c>
      <c r="Q123" s="15">
        <f t="shared" si="6"/>
        <v>6.0500000000000007</v>
      </c>
      <c r="R123" s="16">
        <f t="shared" si="7"/>
        <v>1163.01</v>
      </c>
      <c r="S123" s="16"/>
      <c r="T123" s="15"/>
    </row>
    <row r="124" spans="1:20" ht="15" thickBot="1" x14ac:dyDescent="0.35">
      <c r="A124" s="1" t="s">
        <v>54</v>
      </c>
      <c r="B124" s="1" t="s">
        <v>45</v>
      </c>
      <c r="C124" s="1" t="s">
        <v>18</v>
      </c>
      <c r="D124" s="1" t="s">
        <v>39</v>
      </c>
      <c r="E124" s="2">
        <v>1014.56</v>
      </c>
      <c r="F124" s="2">
        <v>10</v>
      </c>
      <c r="G124" s="2">
        <v>0.1</v>
      </c>
      <c r="H124" s="3">
        <v>45612</v>
      </c>
      <c r="I124" s="2">
        <v>410.9</v>
      </c>
      <c r="J124" t="str">
        <v>Nov-2024</v>
      </c>
      <c r="K124" s="9">
        <f t="shared" ca="1" si="4"/>
        <v>46066.577718749999</v>
      </c>
      <c r="L124">
        <f ca="1"/>
        <v>454.57771874999889</v>
      </c>
      <c r="M124" s="11" t="str">
        <f ca="1"/>
        <v>↓</v>
      </c>
      <c r="P124" s="11" t="str">
        <f t="shared" si="5"/>
        <v>Normal</v>
      </c>
      <c r="Q124" s="15">
        <f t="shared" si="6"/>
        <v>6.1000000000000005</v>
      </c>
      <c r="R124" s="16">
        <f t="shared" si="7"/>
        <v>1014.56</v>
      </c>
      <c r="S124" s="16"/>
      <c r="T124" s="15"/>
    </row>
    <row r="125" spans="1:20" ht="15" thickBot="1" x14ac:dyDescent="0.35">
      <c r="A125" s="1" t="s">
        <v>9</v>
      </c>
      <c r="B125" s="1" t="s">
        <v>17</v>
      </c>
      <c r="C125" s="1" t="s">
        <v>20</v>
      </c>
      <c r="D125" s="1" t="s">
        <v>21</v>
      </c>
      <c r="E125" s="2">
        <v>718.04</v>
      </c>
      <c r="F125" s="2">
        <v>14</v>
      </c>
      <c r="G125" s="2">
        <v>0</v>
      </c>
      <c r="H125" s="3">
        <v>45613</v>
      </c>
      <c r="I125" s="2">
        <v>179.51</v>
      </c>
      <c r="J125" t="str">
        <v>Nov-2024</v>
      </c>
      <c r="K125" s="9">
        <f t="shared" ca="1" si="4"/>
        <v>46066.577718749999</v>
      </c>
      <c r="L125">
        <f ca="1"/>
        <v>453.57771874999889</v>
      </c>
      <c r="M125" s="11" t="str">
        <f ca="1"/>
        <v>↓</v>
      </c>
      <c r="P125" s="11" t="str">
        <f t="shared" si="5"/>
        <v>Normal</v>
      </c>
      <c r="Q125" s="15">
        <f t="shared" si="6"/>
        <v>6.15</v>
      </c>
      <c r="R125" s="16">
        <f t="shared" si="7"/>
        <v>718.04</v>
      </c>
      <c r="S125" s="16"/>
      <c r="T125" s="15"/>
    </row>
    <row r="126" spans="1:20" ht="15" thickBot="1" x14ac:dyDescent="0.35">
      <c r="A126" s="1" t="s">
        <v>72</v>
      </c>
      <c r="B126" s="1" t="s">
        <v>17</v>
      </c>
      <c r="C126" s="1" t="s">
        <v>34</v>
      </c>
      <c r="D126" s="1" t="s">
        <v>15</v>
      </c>
      <c r="E126" s="2">
        <v>1277.8499999999999</v>
      </c>
      <c r="F126" s="2">
        <v>18</v>
      </c>
      <c r="G126" s="2">
        <v>0.2</v>
      </c>
      <c r="H126" s="3">
        <v>45613</v>
      </c>
      <c r="I126" s="2">
        <v>511.14</v>
      </c>
      <c r="J126" t="str">
        <v>Nov-2024</v>
      </c>
      <c r="K126" s="9">
        <f t="shared" ca="1" si="4"/>
        <v>46066.577718749999</v>
      </c>
      <c r="L126">
        <f ca="1"/>
        <v>453.57771874999889</v>
      </c>
      <c r="M126" s="11" t="str">
        <f ca="1"/>
        <v>↓</v>
      </c>
      <c r="P126" s="11" t="str">
        <f t="shared" si="5"/>
        <v>Normal</v>
      </c>
      <c r="Q126" s="15">
        <f t="shared" si="6"/>
        <v>6.2</v>
      </c>
      <c r="R126" s="16">
        <f t="shared" si="7"/>
        <v>1277.8499999999999</v>
      </c>
      <c r="S126" s="16"/>
      <c r="T126" s="15"/>
    </row>
    <row r="127" spans="1:20" ht="15" thickBot="1" x14ac:dyDescent="0.35">
      <c r="A127" s="1" t="s">
        <v>70</v>
      </c>
      <c r="B127" s="1" t="s">
        <v>23</v>
      </c>
      <c r="C127" s="1" t="s">
        <v>24</v>
      </c>
      <c r="D127" s="1" t="s">
        <v>21</v>
      </c>
      <c r="E127" s="2">
        <v>706.73</v>
      </c>
      <c r="F127" s="2">
        <v>1</v>
      </c>
      <c r="G127" s="2">
        <v>0.15</v>
      </c>
      <c r="H127" s="3">
        <v>45613</v>
      </c>
      <c r="I127" s="2">
        <v>150.18</v>
      </c>
      <c r="J127" t="str">
        <v>Nov-2024</v>
      </c>
      <c r="K127" s="9">
        <f t="shared" ca="1" si="4"/>
        <v>46066.577718749999</v>
      </c>
      <c r="L127">
        <f ca="1"/>
        <v>453.57771874999889</v>
      </c>
      <c r="M127" s="11" t="str">
        <f ca="1"/>
        <v>↓</v>
      </c>
      <c r="P127" s="11" t="str">
        <f t="shared" si="5"/>
        <v>Normal</v>
      </c>
      <c r="Q127" s="15">
        <f t="shared" si="6"/>
        <v>6.25</v>
      </c>
      <c r="R127" s="16">
        <f t="shared" si="7"/>
        <v>706.73</v>
      </c>
      <c r="S127" s="16"/>
      <c r="T127" s="15"/>
    </row>
    <row r="128" spans="1:20" ht="15" thickBot="1" x14ac:dyDescent="0.35">
      <c r="A128" s="1" t="s">
        <v>65</v>
      </c>
      <c r="B128" s="1" t="s">
        <v>50</v>
      </c>
      <c r="C128" s="1" t="s">
        <v>18</v>
      </c>
      <c r="D128" s="1" t="s">
        <v>21</v>
      </c>
      <c r="E128" s="2">
        <v>1410.59</v>
      </c>
      <c r="F128" s="2">
        <v>15</v>
      </c>
      <c r="G128" s="2">
        <v>0</v>
      </c>
      <c r="H128" s="3">
        <v>45615</v>
      </c>
      <c r="I128" s="2">
        <v>352.65</v>
      </c>
      <c r="J128" t="str">
        <v>Nov-2024</v>
      </c>
      <c r="K128" s="9">
        <f t="shared" ca="1" si="4"/>
        <v>46066.577718749999</v>
      </c>
      <c r="L128">
        <f ca="1"/>
        <v>451.57771874999889</v>
      </c>
      <c r="M128" s="11" t="str">
        <f ca="1"/>
        <v>↓</v>
      </c>
      <c r="P128" s="11" t="str">
        <f t="shared" si="5"/>
        <v>Normal</v>
      </c>
      <c r="Q128" s="15">
        <f t="shared" si="6"/>
        <v>6.3000000000000007</v>
      </c>
      <c r="R128" s="16">
        <f t="shared" si="7"/>
        <v>1410.59</v>
      </c>
      <c r="S128" s="16"/>
      <c r="T128" s="15"/>
    </row>
    <row r="129" spans="1:20" ht="15" thickBot="1" x14ac:dyDescent="0.35">
      <c r="A129" s="1" t="s">
        <v>32</v>
      </c>
      <c r="B129" s="1" t="s">
        <v>61</v>
      </c>
      <c r="C129" s="1" t="s">
        <v>20</v>
      </c>
      <c r="D129" s="1" t="s">
        <v>27</v>
      </c>
      <c r="E129" s="2">
        <v>1350.33</v>
      </c>
      <c r="F129" s="2">
        <v>10</v>
      </c>
      <c r="G129" s="2">
        <v>0</v>
      </c>
      <c r="H129" s="3">
        <v>45615</v>
      </c>
      <c r="I129" s="2">
        <v>472.62</v>
      </c>
      <c r="J129" t="str">
        <v>Nov-2024</v>
      </c>
      <c r="K129" s="9">
        <f t="shared" ca="1" si="4"/>
        <v>46066.577718749999</v>
      </c>
      <c r="L129">
        <f ca="1"/>
        <v>451.57771874999889</v>
      </c>
      <c r="M129" s="11" t="str">
        <f ca="1"/>
        <v>↓</v>
      </c>
      <c r="P129" s="11" t="str">
        <f t="shared" si="5"/>
        <v>Normal</v>
      </c>
      <c r="Q129" s="15">
        <f t="shared" si="6"/>
        <v>6.3500000000000005</v>
      </c>
      <c r="R129" s="16">
        <f t="shared" si="7"/>
        <v>1350.33</v>
      </c>
      <c r="S129" s="16"/>
      <c r="T129" s="15"/>
    </row>
    <row r="130" spans="1:20" ht="15" thickBot="1" x14ac:dyDescent="0.35">
      <c r="A130" s="1" t="s">
        <v>41</v>
      </c>
      <c r="B130" s="1" t="s">
        <v>45</v>
      </c>
      <c r="C130" s="1" t="s">
        <v>18</v>
      </c>
      <c r="D130" s="1" t="s">
        <v>21</v>
      </c>
      <c r="E130" s="2">
        <v>919.18</v>
      </c>
      <c r="F130" s="2">
        <v>4</v>
      </c>
      <c r="G130" s="2">
        <v>0.15</v>
      </c>
      <c r="H130" s="3">
        <v>45615</v>
      </c>
      <c r="I130" s="2">
        <v>195.33</v>
      </c>
      <c r="J130" t="str">
        <v>Nov-2024</v>
      </c>
      <c r="K130" s="9">
        <f t="shared" ca="1" si="4"/>
        <v>46066.577718749999</v>
      </c>
      <c r="L130">
        <f ca="1"/>
        <v>451.57771874999889</v>
      </c>
      <c r="M130" s="11" t="str">
        <f ca="1"/>
        <v>↓</v>
      </c>
      <c r="P130" s="11" t="str">
        <f t="shared" si="5"/>
        <v>Normal</v>
      </c>
      <c r="Q130" s="15">
        <f t="shared" si="6"/>
        <v>6.4</v>
      </c>
      <c r="R130" s="16">
        <f t="shared" si="7"/>
        <v>919.18</v>
      </c>
      <c r="S130" s="16"/>
      <c r="T130" s="15"/>
    </row>
    <row r="131" spans="1:20" ht="15" thickBot="1" x14ac:dyDescent="0.35">
      <c r="A131" s="1" t="s">
        <v>74</v>
      </c>
      <c r="B131" s="1" t="s">
        <v>23</v>
      </c>
      <c r="C131" s="1" t="s">
        <v>11</v>
      </c>
      <c r="D131" s="1" t="s">
        <v>21</v>
      </c>
      <c r="E131" s="2">
        <v>258.51</v>
      </c>
      <c r="F131" s="2">
        <v>19</v>
      </c>
      <c r="G131" s="2">
        <v>0</v>
      </c>
      <c r="H131" s="3">
        <v>45616</v>
      </c>
      <c r="I131" s="2">
        <v>64.63</v>
      </c>
      <c r="J131" t="str">
        <v>Nov-2024</v>
      </c>
      <c r="K131" s="9">
        <f t="shared" ref="K131:K194" ca="1" si="8">NOW()</f>
        <v>46066.577718749999</v>
      </c>
      <c r="L131">
        <f ca="1"/>
        <v>450.57771874999889</v>
      </c>
      <c r="M131" s="11" t="str">
        <f ca="1"/>
        <v>↓</v>
      </c>
      <c r="P131" s="11" t="str">
        <f t="shared" ref="P131:P194" si="9">IF(SUMIF(B:B,H131,E:E)&gt;500,"High Value","Normal")</f>
        <v>Normal</v>
      </c>
      <c r="Q131" s="15">
        <f t="shared" ref="Q131:Q194" si="10">(ROW(A130)-1)*5%</f>
        <v>6.45</v>
      </c>
      <c r="R131" s="16">
        <f t="shared" ref="R131:R194" si="11">E131*(1-$Z$1)</f>
        <v>258.51</v>
      </c>
      <c r="S131" s="16"/>
      <c r="T131" s="15"/>
    </row>
    <row r="132" spans="1:20" ht="15" thickBot="1" x14ac:dyDescent="0.35">
      <c r="A132" s="1" t="s">
        <v>63</v>
      </c>
      <c r="B132" s="1" t="s">
        <v>61</v>
      </c>
      <c r="C132" s="1" t="s">
        <v>18</v>
      </c>
      <c r="D132" s="1" t="s">
        <v>12</v>
      </c>
      <c r="E132" s="2">
        <v>1213.48</v>
      </c>
      <c r="F132" s="2">
        <v>5</v>
      </c>
      <c r="G132" s="2">
        <v>0.05</v>
      </c>
      <c r="H132" s="3">
        <v>45616</v>
      </c>
      <c r="I132" s="2">
        <v>461.12</v>
      </c>
      <c r="J132" t="str">
        <v>Nov-2024</v>
      </c>
      <c r="K132" s="9">
        <f t="shared" ca="1" si="8"/>
        <v>46066.577718749999</v>
      </c>
      <c r="L132">
        <f ca="1"/>
        <v>450.57771874999889</v>
      </c>
      <c r="M132" s="11" t="str">
        <f ca="1"/>
        <v>↓</v>
      </c>
      <c r="P132" s="11" t="str">
        <f t="shared" si="9"/>
        <v>Normal</v>
      </c>
      <c r="Q132" s="15">
        <f t="shared" si="10"/>
        <v>6.5</v>
      </c>
      <c r="R132" s="16">
        <f t="shared" si="11"/>
        <v>1213.48</v>
      </c>
      <c r="S132" s="16"/>
      <c r="T132" s="15"/>
    </row>
    <row r="133" spans="1:20" ht="15" thickBot="1" x14ac:dyDescent="0.35">
      <c r="A133" s="1" t="s">
        <v>57</v>
      </c>
      <c r="B133" s="1" t="s">
        <v>38</v>
      </c>
      <c r="C133" s="1" t="s">
        <v>34</v>
      </c>
      <c r="D133" s="1" t="s">
        <v>12</v>
      </c>
      <c r="E133" s="2">
        <v>1150.28</v>
      </c>
      <c r="F133" s="2">
        <v>8</v>
      </c>
      <c r="G133" s="2">
        <v>0.05</v>
      </c>
      <c r="H133" s="3">
        <v>45622</v>
      </c>
      <c r="I133" s="2">
        <v>437.11</v>
      </c>
      <c r="J133" t="str">
        <v>Nov-2024</v>
      </c>
      <c r="K133" s="9">
        <f t="shared" ca="1" si="8"/>
        <v>46066.577718749999</v>
      </c>
      <c r="L133">
        <f ca="1"/>
        <v>444.57771874999889</v>
      </c>
      <c r="M133" s="11" t="str">
        <f ca="1"/>
        <v>↓</v>
      </c>
      <c r="P133" s="11" t="str">
        <f t="shared" si="9"/>
        <v>Normal</v>
      </c>
      <c r="Q133" s="15">
        <f t="shared" si="10"/>
        <v>6.5500000000000007</v>
      </c>
      <c r="R133" s="16">
        <f t="shared" si="11"/>
        <v>1150.28</v>
      </c>
      <c r="S133" s="16"/>
      <c r="T133" s="15"/>
    </row>
    <row r="134" spans="1:20" ht="15" thickBot="1" x14ac:dyDescent="0.35">
      <c r="A134" s="1" t="s">
        <v>37</v>
      </c>
      <c r="B134" s="1" t="s">
        <v>71</v>
      </c>
      <c r="C134" s="1" t="s">
        <v>20</v>
      </c>
      <c r="D134" s="1" t="s">
        <v>27</v>
      </c>
      <c r="E134" s="2">
        <v>853.86</v>
      </c>
      <c r="F134" s="2">
        <v>8</v>
      </c>
      <c r="G134" s="2">
        <v>0.1</v>
      </c>
      <c r="H134" s="3">
        <v>45622</v>
      </c>
      <c r="I134" s="2">
        <v>268.97000000000003</v>
      </c>
      <c r="J134" t="str">
        <v>Nov-2024</v>
      </c>
      <c r="K134" s="9">
        <f t="shared" ca="1" si="8"/>
        <v>46066.577718749999</v>
      </c>
      <c r="L134">
        <f ca="1"/>
        <v>444.57771874999889</v>
      </c>
      <c r="M134" s="11" t="str">
        <f ca="1"/>
        <v>↓</v>
      </c>
      <c r="P134" s="11" t="str">
        <f t="shared" si="9"/>
        <v>Normal</v>
      </c>
      <c r="Q134" s="15">
        <f t="shared" si="10"/>
        <v>6.6000000000000005</v>
      </c>
      <c r="R134" s="16">
        <f t="shared" si="11"/>
        <v>853.86</v>
      </c>
      <c r="S134" s="16"/>
      <c r="T134" s="15"/>
    </row>
    <row r="135" spans="1:20" ht="15" thickBot="1" x14ac:dyDescent="0.35">
      <c r="A135" s="1" t="s">
        <v>75</v>
      </c>
      <c r="B135" s="1" t="s">
        <v>45</v>
      </c>
      <c r="C135" s="1" t="s">
        <v>20</v>
      </c>
      <c r="D135" s="1" t="s">
        <v>21</v>
      </c>
      <c r="E135" s="2">
        <v>1061.04</v>
      </c>
      <c r="F135" s="2">
        <v>1</v>
      </c>
      <c r="G135" s="2">
        <v>0</v>
      </c>
      <c r="H135" s="3">
        <v>45624</v>
      </c>
      <c r="I135" s="2">
        <v>265.26</v>
      </c>
      <c r="J135" t="str">
        <v>Nov-2024</v>
      </c>
      <c r="K135" s="9">
        <f t="shared" ca="1" si="8"/>
        <v>46066.577718749999</v>
      </c>
      <c r="L135">
        <f ca="1"/>
        <v>442.57771874999889</v>
      </c>
      <c r="M135" s="11" t="str">
        <f ca="1"/>
        <v>↓</v>
      </c>
      <c r="P135" s="11" t="str">
        <f t="shared" si="9"/>
        <v>Normal</v>
      </c>
      <c r="Q135" s="15">
        <f t="shared" si="10"/>
        <v>6.65</v>
      </c>
      <c r="R135" s="16">
        <f t="shared" si="11"/>
        <v>1061.04</v>
      </c>
      <c r="S135" s="16"/>
      <c r="T135" s="15"/>
    </row>
    <row r="136" spans="1:20" ht="15" thickBot="1" x14ac:dyDescent="0.35">
      <c r="A136" s="1" t="s">
        <v>28</v>
      </c>
      <c r="B136" s="1" t="s">
        <v>43</v>
      </c>
      <c r="C136" s="1" t="s">
        <v>11</v>
      </c>
      <c r="D136" s="1" t="s">
        <v>21</v>
      </c>
      <c r="E136" s="2">
        <v>894.55</v>
      </c>
      <c r="F136" s="2">
        <v>19</v>
      </c>
      <c r="G136" s="2">
        <v>0.2</v>
      </c>
      <c r="H136" s="3">
        <v>45625</v>
      </c>
      <c r="I136" s="2">
        <v>178.91</v>
      </c>
      <c r="J136" t="str">
        <v>Nov-2024</v>
      </c>
      <c r="K136" s="9">
        <f t="shared" ca="1" si="8"/>
        <v>46066.577718749999</v>
      </c>
      <c r="L136">
        <f ca="1"/>
        <v>441.57771874999889</v>
      </c>
      <c r="M136" s="11" t="str">
        <f ca="1"/>
        <v>↓</v>
      </c>
      <c r="P136" s="11" t="str">
        <f t="shared" si="9"/>
        <v>Normal</v>
      </c>
      <c r="Q136" s="15">
        <f t="shared" si="10"/>
        <v>6.7</v>
      </c>
      <c r="R136" s="16">
        <f t="shared" si="11"/>
        <v>894.55</v>
      </c>
      <c r="S136" s="16"/>
      <c r="T136" s="15"/>
    </row>
    <row r="137" spans="1:20" ht="15" thickBot="1" x14ac:dyDescent="0.35">
      <c r="A137" s="1" t="s">
        <v>25</v>
      </c>
      <c r="B137" s="1" t="s">
        <v>38</v>
      </c>
      <c r="C137" s="1" t="s">
        <v>24</v>
      </c>
      <c r="D137" s="1" t="s">
        <v>39</v>
      </c>
      <c r="E137" s="2">
        <v>833.91</v>
      </c>
      <c r="F137" s="2">
        <v>3</v>
      </c>
      <c r="G137" s="2">
        <v>0.05</v>
      </c>
      <c r="H137" s="3">
        <v>45626</v>
      </c>
      <c r="I137" s="2">
        <v>356.5</v>
      </c>
      <c r="J137" t="str">
        <v>Nov-2024</v>
      </c>
      <c r="K137" s="9">
        <f t="shared" ca="1" si="8"/>
        <v>46066.577718749999</v>
      </c>
      <c r="L137">
        <f ca="1"/>
        <v>440.57771874999889</v>
      </c>
      <c r="M137" s="11" t="str">
        <f ca="1"/>
        <v>↓</v>
      </c>
      <c r="P137" s="11" t="str">
        <f t="shared" si="9"/>
        <v>Normal</v>
      </c>
      <c r="Q137" s="15">
        <f t="shared" si="10"/>
        <v>6.75</v>
      </c>
      <c r="R137" s="16">
        <f t="shared" si="11"/>
        <v>833.91</v>
      </c>
      <c r="S137" s="16"/>
      <c r="T137" s="15"/>
    </row>
    <row r="138" spans="1:20" ht="15" thickBot="1" x14ac:dyDescent="0.35">
      <c r="A138" s="1" t="s">
        <v>58</v>
      </c>
      <c r="B138" s="1" t="s">
        <v>71</v>
      </c>
      <c r="C138" s="1" t="s">
        <v>11</v>
      </c>
      <c r="D138" s="1" t="s">
        <v>27</v>
      </c>
      <c r="E138" s="2">
        <v>820.19</v>
      </c>
      <c r="F138" s="2">
        <v>4</v>
      </c>
      <c r="G138" s="2">
        <v>0.2</v>
      </c>
      <c r="H138" s="3">
        <v>45630</v>
      </c>
      <c r="I138" s="2">
        <v>229.65</v>
      </c>
      <c r="J138" t="str">
        <v>Dec-2024</v>
      </c>
      <c r="K138" s="9">
        <f t="shared" ca="1" si="8"/>
        <v>46066.577718749999</v>
      </c>
      <c r="L138">
        <f ca="1"/>
        <v>436.57771874999889</v>
      </c>
      <c r="M138" s="11" t="str">
        <f ca="1"/>
        <v>↓</v>
      </c>
      <c r="P138" s="11" t="str">
        <f t="shared" si="9"/>
        <v>Normal</v>
      </c>
      <c r="Q138" s="15">
        <f t="shared" si="10"/>
        <v>6.8000000000000007</v>
      </c>
      <c r="R138" s="16">
        <f t="shared" si="11"/>
        <v>820.19</v>
      </c>
      <c r="S138" s="16"/>
      <c r="T138" s="15"/>
    </row>
    <row r="139" spans="1:20" ht="15" thickBot="1" x14ac:dyDescent="0.35">
      <c r="A139" s="1" t="s">
        <v>58</v>
      </c>
      <c r="B139" s="1" t="s">
        <v>38</v>
      </c>
      <c r="C139" s="1" t="s">
        <v>34</v>
      </c>
      <c r="D139" s="1" t="s">
        <v>21</v>
      </c>
      <c r="E139" s="2">
        <v>511.74</v>
      </c>
      <c r="F139" s="2">
        <v>8</v>
      </c>
      <c r="G139" s="2">
        <v>0.05</v>
      </c>
      <c r="H139" s="3">
        <v>45631</v>
      </c>
      <c r="I139" s="2">
        <v>121.54</v>
      </c>
      <c r="J139" t="str">
        <v>Dec-2024</v>
      </c>
      <c r="K139" s="9">
        <f t="shared" ca="1" si="8"/>
        <v>46066.577718749999</v>
      </c>
      <c r="L139">
        <f ca="1"/>
        <v>435.57771874999889</v>
      </c>
      <c r="M139" s="11" t="str">
        <f ca="1"/>
        <v>↓</v>
      </c>
      <c r="P139" s="11" t="str">
        <f t="shared" si="9"/>
        <v>Normal</v>
      </c>
      <c r="Q139" s="15">
        <f t="shared" si="10"/>
        <v>6.8500000000000005</v>
      </c>
      <c r="R139" s="16">
        <f t="shared" si="11"/>
        <v>511.74</v>
      </c>
      <c r="S139" s="16"/>
      <c r="T139" s="15"/>
    </row>
    <row r="140" spans="1:20" ht="15" thickBot="1" x14ac:dyDescent="0.35">
      <c r="A140" s="1" t="s">
        <v>65</v>
      </c>
      <c r="B140" s="1" t="s">
        <v>61</v>
      </c>
      <c r="C140" s="1" t="s">
        <v>20</v>
      </c>
      <c r="D140" s="1" t="s">
        <v>27</v>
      </c>
      <c r="E140" s="2">
        <v>806.03</v>
      </c>
      <c r="F140" s="2">
        <v>19</v>
      </c>
      <c r="G140" s="2">
        <v>0.05</v>
      </c>
      <c r="H140" s="3">
        <v>45638</v>
      </c>
      <c r="I140" s="2">
        <v>268</v>
      </c>
      <c r="J140" t="str">
        <v>Dec-2024</v>
      </c>
      <c r="K140" s="9">
        <f t="shared" ca="1" si="8"/>
        <v>46066.577718749999</v>
      </c>
      <c r="L140">
        <f ca="1"/>
        <v>428.57771874999889</v>
      </c>
      <c r="M140" s="11" t="str">
        <f ca="1"/>
        <v>↓</v>
      </c>
      <c r="P140" s="11" t="str">
        <f t="shared" si="9"/>
        <v>Normal</v>
      </c>
      <c r="Q140" s="15">
        <f t="shared" si="10"/>
        <v>6.9</v>
      </c>
      <c r="R140" s="16">
        <f t="shared" si="11"/>
        <v>806.03</v>
      </c>
      <c r="S140" s="16"/>
      <c r="T140" s="15"/>
    </row>
    <row r="141" spans="1:20" ht="15" thickBot="1" x14ac:dyDescent="0.35">
      <c r="A141" s="1" t="s">
        <v>28</v>
      </c>
      <c r="B141" s="1" t="s">
        <v>26</v>
      </c>
      <c r="C141" s="1" t="s">
        <v>34</v>
      </c>
      <c r="D141" s="1" t="s">
        <v>27</v>
      </c>
      <c r="E141" s="2">
        <v>1432.47</v>
      </c>
      <c r="F141" s="2">
        <v>16</v>
      </c>
      <c r="G141" s="2">
        <v>0.15</v>
      </c>
      <c r="H141" s="3">
        <v>45640</v>
      </c>
      <c r="I141" s="2">
        <v>426.16</v>
      </c>
      <c r="J141" t="str">
        <v>Dec-2024</v>
      </c>
      <c r="K141" s="9">
        <f t="shared" ca="1" si="8"/>
        <v>46066.577718749999</v>
      </c>
      <c r="L141">
        <f ca="1"/>
        <v>426.57771874999889</v>
      </c>
      <c r="M141" s="11" t="str">
        <f ca="1"/>
        <v>↓</v>
      </c>
      <c r="P141" s="11" t="str">
        <f t="shared" si="9"/>
        <v>Normal</v>
      </c>
      <c r="Q141" s="15">
        <f t="shared" si="10"/>
        <v>6.95</v>
      </c>
      <c r="R141" s="16">
        <f t="shared" si="11"/>
        <v>1432.47</v>
      </c>
      <c r="S141" s="16"/>
      <c r="T141" s="15"/>
    </row>
    <row r="142" spans="1:20" ht="15" thickBot="1" x14ac:dyDescent="0.35">
      <c r="A142" s="1" t="s">
        <v>74</v>
      </c>
      <c r="B142" s="1" t="s">
        <v>29</v>
      </c>
      <c r="C142" s="1" t="s">
        <v>34</v>
      </c>
      <c r="D142" s="1" t="s">
        <v>21</v>
      </c>
      <c r="E142" s="2">
        <v>1488.58</v>
      </c>
      <c r="F142" s="2">
        <v>10</v>
      </c>
      <c r="G142" s="2">
        <v>0.15</v>
      </c>
      <c r="H142" s="3">
        <v>45640</v>
      </c>
      <c r="I142" s="2">
        <v>316.32</v>
      </c>
      <c r="J142" t="str">
        <v>Dec-2024</v>
      </c>
      <c r="K142" s="9">
        <f t="shared" ca="1" si="8"/>
        <v>46066.577718749999</v>
      </c>
      <c r="L142">
        <f ca="1"/>
        <v>426.57771874999889</v>
      </c>
      <c r="M142" s="11" t="str">
        <f ca="1"/>
        <v>↓</v>
      </c>
      <c r="P142" s="11" t="str">
        <f t="shared" si="9"/>
        <v>Normal</v>
      </c>
      <c r="Q142" s="15">
        <f t="shared" si="10"/>
        <v>7</v>
      </c>
      <c r="R142" s="16">
        <f t="shared" si="11"/>
        <v>1488.58</v>
      </c>
      <c r="S142" s="16"/>
      <c r="T142" s="15"/>
    </row>
    <row r="143" spans="1:20" ht="15" thickBot="1" x14ac:dyDescent="0.35">
      <c r="A143" s="1" t="s">
        <v>30</v>
      </c>
      <c r="B143" s="1" t="s">
        <v>66</v>
      </c>
      <c r="C143" s="1" t="s">
        <v>18</v>
      </c>
      <c r="D143" s="1" t="s">
        <v>12</v>
      </c>
      <c r="E143" s="2">
        <v>1231.26</v>
      </c>
      <c r="F143" s="2">
        <v>9</v>
      </c>
      <c r="G143" s="2">
        <v>0</v>
      </c>
      <c r="H143" s="3">
        <v>45646</v>
      </c>
      <c r="I143" s="2">
        <v>492.5</v>
      </c>
      <c r="J143" t="str">
        <v>Dec-2024</v>
      </c>
      <c r="K143" s="9">
        <f t="shared" ca="1" si="8"/>
        <v>46066.577718749999</v>
      </c>
      <c r="L143">
        <f ca="1"/>
        <v>420.57771874999889</v>
      </c>
      <c r="M143" s="11" t="str">
        <f ca="1"/>
        <v>↓</v>
      </c>
      <c r="P143" s="11" t="str">
        <f t="shared" si="9"/>
        <v>Normal</v>
      </c>
      <c r="Q143" s="15">
        <f t="shared" si="10"/>
        <v>7.0500000000000007</v>
      </c>
      <c r="R143" s="16">
        <f t="shared" si="11"/>
        <v>1231.26</v>
      </c>
      <c r="S143" s="16"/>
      <c r="T143" s="15"/>
    </row>
    <row r="144" spans="1:20" ht="15" thickBot="1" x14ac:dyDescent="0.35">
      <c r="A144" s="1" t="s">
        <v>30</v>
      </c>
      <c r="B144" s="1" t="s">
        <v>43</v>
      </c>
      <c r="C144" s="1" t="s">
        <v>11</v>
      </c>
      <c r="D144" s="1" t="s">
        <v>21</v>
      </c>
      <c r="E144" s="2">
        <v>1161.67</v>
      </c>
      <c r="F144" s="2">
        <v>19</v>
      </c>
      <c r="G144" s="2">
        <v>0.2</v>
      </c>
      <c r="H144" s="3">
        <v>45647</v>
      </c>
      <c r="I144" s="2">
        <v>232.33</v>
      </c>
      <c r="J144" t="str">
        <v>Dec-2024</v>
      </c>
      <c r="K144" s="9">
        <f t="shared" ca="1" si="8"/>
        <v>46066.577718749999</v>
      </c>
      <c r="L144">
        <f ca="1"/>
        <v>419.57771874999889</v>
      </c>
      <c r="M144" s="11" t="str">
        <f ca="1"/>
        <v>↓</v>
      </c>
      <c r="P144" s="11" t="str">
        <f t="shared" si="9"/>
        <v>Normal</v>
      </c>
      <c r="Q144" s="15">
        <f t="shared" si="10"/>
        <v>7.1000000000000005</v>
      </c>
      <c r="R144" s="16">
        <f t="shared" si="11"/>
        <v>1161.67</v>
      </c>
      <c r="S144" s="16"/>
      <c r="T144" s="15"/>
    </row>
    <row r="145" spans="1:20" ht="15" thickBot="1" x14ac:dyDescent="0.35">
      <c r="A145" s="1" t="s">
        <v>49</v>
      </c>
      <c r="B145" s="1" t="s">
        <v>45</v>
      </c>
      <c r="C145" s="1" t="s">
        <v>34</v>
      </c>
      <c r="D145" s="1" t="s">
        <v>39</v>
      </c>
      <c r="E145" s="2">
        <v>388.23</v>
      </c>
      <c r="F145" s="2">
        <v>16</v>
      </c>
      <c r="G145" s="2">
        <v>0.05</v>
      </c>
      <c r="H145" s="3">
        <v>45650</v>
      </c>
      <c r="I145" s="2">
        <v>165.97</v>
      </c>
      <c r="J145" t="str">
        <v>Dec-2024</v>
      </c>
      <c r="K145" s="9">
        <f t="shared" ca="1" si="8"/>
        <v>46066.577718749999</v>
      </c>
      <c r="L145">
        <f ca="1"/>
        <v>416.57771874999889</v>
      </c>
      <c r="M145" s="11" t="str">
        <f ca="1"/>
        <v>↓</v>
      </c>
      <c r="P145" s="11" t="str">
        <f t="shared" si="9"/>
        <v>Normal</v>
      </c>
      <c r="Q145" s="15">
        <f t="shared" si="10"/>
        <v>7.15</v>
      </c>
      <c r="R145" s="16">
        <f t="shared" si="11"/>
        <v>388.23</v>
      </c>
      <c r="S145" s="16"/>
      <c r="T145" s="15"/>
    </row>
    <row r="146" spans="1:20" ht="15" thickBot="1" x14ac:dyDescent="0.35">
      <c r="A146" s="1" t="s">
        <v>72</v>
      </c>
      <c r="B146" s="1" t="s">
        <v>31</v>
      </c>
      <c r="C146" s="1" t="s">
        <v>24</v>
      </c>
      <c r="D146" s="1" t="s">
        <v>15</v>
      </c>
      <c r="E146" s="2">
        <v>1589.42</v>
      </c>
      <c r="F146" s="2">
        <v>6</v>
      </c>
      <c r="G146" s="2">
        <v>0.15</v>
      </c>
      <c r="H146" s="3">
        <v>45651</v>
      </c>
      <c r="I146" s="2">
        <v>675.5</v>
      </c>
      <c r="J146" t="str">
        <v>Dec-2024</v>
      </c>
      <c r="K146" s="9">
        <f t="shared" ca="1" si="8"/>
        <v>46066.577718749999</v>
      </c>
      <c r="L146">
        <f ca="1"/>
        <v>415.57771874999889</v>
      </c>
      <c r="M146" s="11" t="str">
        <f ca="1"/>
        <v>↓</v>
      </c>
      <c r="P146" s="11" t="str">
        <f t="shared" si="9"/>
        <v>Normal</v>
      </c>
      <c r="Q146" s="15">
        <f t="shared" si="10"/>
        <v>7.2</v>
      </c>
      <c r="R146" s="16">
        <f t="shared" si="11"/>
        <v>1589.42</v>
      </c>
      <c r="S146" s="16"/>
      <c r="T146" s="15"/>
    </row>
    <row r="147" spans="1:20" ht="15" thickBot="1" x14ac:dyDescent="0.35">
      <c r="A147" s="1" t="s">
        <v>28</v>
      </c>
      <c r="B147" s="1" t="s">
        <v>71</v>
      </c>
      <c r="C147" s="1" t="s">
        <v>24</v>
      </c>
      <c r="D147" s="1" t="s">
        <v>15</v>
      </c>
      <c r="E147" s="2">
        <v>336.66</v>
      </c>
      <c r="F147" s="2">
        <v>13</v>
      </c>
      <c r="G147" s="2">
        <v>0.2</v>
      </c>
      <c r="H147" s="3">
        <v>45651</v>
      </c>
      <c r="I147" s="2">
        <v>134.66</v>
      </c>
      <c r="J147" t="str">
        <v>Dec-2024</v>
      </c>
      <c r="K147" s="9">
        <f t="shared" ca="1" si="8"/>
        <v>46066.577718749999</v>
      </c>
      <c r="L147">
        <f ca="1"/>
        <v>415.57771874999889</v>
      </c>
      <c r="M147" s="11" t="str">
        <f ca="1"/>
        <v>↓</v>
      </c>
      <c r="P147" s="11" t="str">
        <f t="shared" si="9"/>
        <v>Normal</v>
      </c>
      <c r="Q147" s="15">
        <f t="shared" si="10"/>
        <v>7.25</v>
      </c>
      <c r="R147" s="16">
        <f t="shared" si="11"/>
        <v>336.66</v>
      </c>
      <c r="S147" s="16"/>
      <c r="T147" s="15"/>
    </row>
    <row r="148" spans="1:20" ht="15" thickBot="1" x14ac:dyDescent="0.35">
      <c r="A148" s="1" t="s">
        <v>49</v>
      </c>
      <c r="B148" s="1" t="s">
        <v>23</v>
      </c>
      <c r="C148" s="1" t="s">
        <v>11</v>
      </c>
      <c r="D148" s="1" t="s">
        <v>12</v>
      </c>
      <c r="E148" s="2">
        <v>1353.79</v>
      </c>
      <c r="F148" s="2">
        <v>14</v>
      </c>
      <c r="G148" s="2">
        <v>0.1</v>
      </c>
      <c r="H148" s="3">
        <v>45656</v>
      </c>
      <c r="I148" s="2">
        <v>487.36</v>
      </c>
      <c r="J148" t="str">
        <v>Dec-2024</v>
      </c>
      <c r="K148" s="9">
        <f t="shared" ca="1" si="8"/>
        <v>46066.577718749999</v>
      </c>
      <c r="L148">
        <f ca="1"/>
        <v>410.57771874999889</v>
      </c>
      <c r="M148" s="11" t="str">
        <f ca="1"/>
        <v>↓</v>
      </c>
      <c r="P148" s="11" t="str">
        <f t="shared" si="9"/>
        <v>Normal</v>
      </c>
      <c r="Q148" s="15">
        <f t="shared" si="10"/>
        <v>7.3000000000000007</v>
      </c>
      <c r="R148" s="16">
        <f t="shared" si="11"/>
        <v>1353.79</v>
      </c>
      <c r="S148" s="16"/>
      <c r="T148" s="15"/>
    </row>
    <row r="149" spans="1:20" ht="15" thickBot="1" x14ac:dyDescent="0.35">
      <c r="A149" s="1" t="s">
        <v>63</v>
      </c>
      <c r="B149" s="1" t="s">
        <v>69</v>
      </c>
      <c r="C149" s="1" t="s">
        <v>34</v>
      </c>
      <c r="D149" s="1" t="s">
        <v>15</v>
      </c>
      <c r="E149" s="2">
        <v>662.61</v>
      </c>
      <c r="F149" s="2">
        <v>11</v>
      </c>
      <c r="G149" s="2">
        <v>0.05</v>
      </c>
      <c r="H149" s="3">
        <v>45658</v>
      </c>
      <c r="I149" s="2">
        <v>314.74</v>
      </c>
      <c r="J149" t="str">
        <v>Jan-2025</v>
      </c>
      <c r="K149" s="9">
        <f t="shared" ca="1" si="8"/>
        <v>46066.577718749999</v>
      </c>
      <c r="L149">
        <f ca="1"/>
        <v>408.57771874999889</v>
      </c>
      <c r="M149" s="11" t="str">
        <f ca="1"/>
        <v>↓</v>
      </c>
      <c r="P149" s="11" t="str">
        <f t="shared" si="9"/>
        <v>Normal</v>
      </c>
      <c r="Q149" s="15">
        <f t="shared" si="10"/>
        <v>7.3500000000000005</v>
      </c>
      <c r="R149" s="16">
        <f t="shared" si="11"/>
        <v>662.61</v>
      </c>
      <c r="S149" s="16"/>
      <c r="T149" s="15"/>
    </row>
    <row r="150" spans="1:20" ht="15" thickBot="1" x14ac:dyDescent="0.35">
      <c r="A150" s="1" t="s">
        <v>52</v>
      </c>
      <c r="B150" s="1" t="s">
        <v>48</v>
      </c>
      <c r="C150" s="1" t="s">
        <v>24</v>
      </c>
      <c r="D150" s="1" t="s">
        <v>39</v>
      </c>
      <c r="E150" s="2">
        <v>309.42</v>
      </c>
      <c r="F150" s="2">
        <v>1</v>
      </c>
      <c r="G150" s="2">
        <v>0.2</v>
      </c>
      <c r="H150" s="3">
        <v>45658</v>
      </c>
      <c r="I150" s="2">
        <v>111.39</v>
      </c>
      <c r="J150" t="str">
        <v>Jan-2025</v>
      </c>
      <c r="K150" s="9">
        <f t="shared" ca="1" si="8"/>
        <v>46066.577718749999</v>
      </c>
      <c r="L150">
        <f ca="1"/>
        <v>408.57771874999889</v>
      </c>
      <c r="M150" s="11" t="str">
        <f ca="1"/>
        <v>↓</v>
      </c>
      <c r="P150" s="11" t="str">
        <f t="shared" si="9"/>
        <v>Normal</v>
      </c>
      <c r="Q150" s="15">
        <f t="shared" si="10"/>
        <v>7.4</v>
      </c>
      <c r="R150" s="16">
        <f t="shared" si="11"/>
        <v>309.42</v>
      </c>
      <c r="S150" s="16"/>
      <c r="T150" s="15"/>
    </row>
    <row r="151" spans="1:20" ht="15" thickBot="1" x14ac:dyDescent="0.35">
      <c r="A151" s="1" t="s">
        <v>63</v>
      </c>
      <c r="B151" s="1" t="s">
        <v>29</v>
      </c>
      <c r="C151" s="1" t="s">
        <v>24</v>
      </c>
      <c r="D151" s="1" t="s">
        <v>12</v>
      </c>
      <c r="E151" s="2">
        <v>884.63</v>
      </c>
      <c r="F151" s="2">
        <v>18</v>
      </c>
      <c r="G151" s="2">
        <v>0.1</v>
      </c>
      <c r="H151" s="3">
        <v>45659</v>
      </c>
      <c r="I151" s="2">
        <v>318.47000000000003</v>
      </c>
      <c r="J151" t="str">
        <v>Jan-2025</v>
      </c>
      <c r="K151" s="9">
        <f t="shared" ca="1" si="8"/>
        <v>46066.577718749999</v>
      </c>
      <c r="L151">
        <f ca="1"/>
        <v>407.57771874999889</v>
      </c>
      <c r="M151" s="11" t="str">
        <f ca="1"/>
        <v>↓</v>
      </c>
      <c r="P151" s="11" t="str">
        <f t="shared" si="9"/>
        <v>Normal</v>
      </c>
      <c r="Q151" s="15">
        <f t="shared" si="10"/>
        <v>7.45</v>
      </c>
      <c r="R151" s="16">
        <f t="shared" si="11"/>
        <v>884.63</v>
      </c>
      <c r="S151" s="16"/>
      <c r="T151" s="15"/>
    </row>
    <row r="152" spans="1:20" ht="15" thickBot="1" x14ac:dyDescent="0.35">
      <c r="A152" s="1" t="s">
        <v>52</v>
      </c>
      <c r="B152" s="1" t="s">
        <v>23</v>
      </c>
      <c r="C152" s="1" t="s">
        <v>34</v>
      </c>
      <c r="D152" s="1" t="s">
        <v>39</v>
      </c>
      <c r="E152" s="2">
        <v>745.05</v>
      </c>
      <c r="F152" s="2">
        <v>10</v>
      </c>
      <c r="G152" s="2">
        <v>0.1</v>
      </c>
      <c r="H152" s="3">
        <v>45660</v>
      </c>
      <c r="I152" s="2">
        <v>301.75</v>
      </c>
      <c r="J152" t="str">
        <v>Jan-2025</v>
      </c>
      <c r="K152" s="9">
        <f t="shared" ca="1" si="8"/>
        <v>46066.577718749999</v>
      </c>
      <c r="L152">
        <f ca="1"/>
        <v>406.57771874999889</v>
      </c>
      <c r="M152" s="11" t="str">
        <f ca="1"/>
        <v>↓</v>
      </c>
      <c r="P152" s="11" t="str">
        <f t="shared" si="9"/>
        <v>Normal</v>
      </c>
      <c r="Q152" s="15">
        <f t="shared" si="10"/>
        <v>7.5</v>
      </c>
      <c r="R152" s="16">
        <f t="shared" si="11"/>
        <v>745.05</v>
      </c>
      <c r="S152" s="16"/>
      <c r="T152" s="15"/>
    </row>
    <row r="153" spans="1:20" ht="15" thickBot="1" x14ac:dyDescent="0.35">
      <c r="A153" s="1" t="s">
        <v>60</v>
      </c>
      <c r="B153" s="1" t="s">
        <v>17</v>
      </c>
      <c r="C153" s="1" t="s">
        <v>20</v>
      </c>
      <c r="D153" s="1" t="s">
        <v>15</v>
      </c>
      <c r="E153" s="2">
        <v>870.23</v>
      </c>
      <c r="F153" s="2">
        <v>5</v>
      </c>
      <c r="G153" s="2">
        <v>0.05</v>
      </c>
      <c r="H153" s="3">
        <v>45660</v>
      </c>
      <c r="I153" s="2">
        <v>413.36</v>
      </c>
      <c r="J153" t="str">
        <v>Jan-2025</v>
      </c>
      <c r="K153" s="9">
        <f t="shared" ca="1" si="8"/>
        <v>46066.577718749999</v>
      </c>
      <c r="L153">
        <f ca="1"/>
        <v>406.57771874999889</v>
      </c>
      <c r="M153" s="11" t="str">
        <f ca="1"/>
        <v>↓</v>
      </c>
      <c r="P153" s="11" t="str">
        <f t="shared" si="9"/>
        <v>Normal</v>
      </c>
      <c r="Q153" s="15">
        <f t="shared" si="10"/>
        <v>7.5500000000000007</v>
      </c>
      <c r="R153" s="16">
        <f t="shared" si="11"/>
        <v>870.23</v>
      </c>
      <c r="S153" s="16"/>
      <c r="T153" s="15"/>
    </row>
    <row r="154" spans="1:20" ht="15" thickBot="1" x14ac:dyDescent="0.35">
      <c r="A154" s="1" t="s">
        <v>35</v>
      </c>
      <c r="B154" s="1" t="s">
        <v>29</v>
      </c>
      <c r="C154" s="1" t="s">
        <v>11</v>
      </c>
      <c r="D154" s="1" t="s">
        <v>27</v>
      </c>
      <c r="E154" s="2">
        <v>862.19</v>
      </c>
      <c r="F154" s="2">
        <v>18</v>
      </c>
      <c r="G154" s="2">
        <v>0.05</v>
      </c>
      <c r="H154" s="3">
        <v>45663</v>
      </c>
      <c r="I154" s="2">
        <v>286.68</v>
      </c>
      <c r="J154" t="str">
        <v>Jan-2025</v>
      </c>
      <c r="K154" s="9">
        <f t="shared" ca="1" si="8"/>
        <v>46066.577718749999</v>
      </c>
      <c r="L154">
        <f ca="1"/>
        <v>403.57771874999889</v>
      </c>
      <c r="M154" s="11" t="str">
        <f ca="1"/>
        <v>↓</v>
      </c>
      <c r="P154" s="11" t="str">
        <f t="shared" si="9"/>
        <v>Normal</v>
      </c>
      <c r="Q154" s="15">
        <f t="shared" si="10"/>
        <v>7.6000000000000005</v>
      </c>
      <c r="R154" s="16">
        <f t="shared" si="11"/>
        <v>862.19</v>
      </c>
      <c r="S154" s="16"/>
      <c r="T154" s="15"/>
    </row>
    <row r="155" spans="1:20" ht="15" thickBot="1" x14ac:dyDescent="0.35">
      <c r="A155" s="1" t="s">
        <v>73</v>
      </c>
      <c r="B155" s="1" t="s">
        <v>59</v>
      </c>
      <c r="C155" s="1" t="s">
        <v>24</v>
      </c>
      <c r="D155" s="1" t="s">
        <v>15</v>
      </c>
      <c r="E155" s="2">
        <v>1171.18</v>
      </c>
      <c r="F155" s="2">
        <v>19</v>
      </c>
      <c r="G155" s="2">
        <v>0.05</v>
      </c>
      <c r="H155" s="3">
        <v>45667</v>
      </c>
      <c r="I155" s="2">
        <v>556.30999999999995</v>
      </c>
      <c r="J155" t="str">
        <v>Jan-2025</v>
      </c>
      <c r="K155" s="9">
        <f t="shared" ca="1" si="8"/>
        <v>46066.577718749999</v>
      </c>
      <c r="L155">
        <f ca="1"/>
        <v>399.57771874999889</v>
      </c>
      <c r="M155" s="11" t="str">
        <f ca="1"/>
        <v>↓</v>
      </c>
      <c r="P155" s="11" t="str">
        <f t="shared" si="9"/>
        <v>Normal</v>
      </c>
      <c r="Q155" s="15">
        <f t="shared" si="10"/>
        <v>7.65</v>
      </c>
      <c r="R155" s="16">
        <f t="shared" si="11"/>
        <v>1171.18</v>
      </c>
      <c r="S155" s="16"/>
      <c r="T155" s="15"/>
    </row>
    <row r="156" spans="1:20" ht="15" thickBot="1" x14ac:dyDescent="0.35">
      <c r="A156" s="1" t="s">
        <v>58</v>
      </c>
      <c r="B156" s="1" t="s">
        <v>14</v>
      </c>
      <c r="C156" s="1" t="s">
        <v>20</v>
      </c>
      <c r="D156" s="1" t="s">
        <v>27</v>
      </c>
      <c r="E156" s="2">
        <v>1054.56</v>
      </c>
      <c r="F156" s="2">
        <v>11</v>
      </c>
      <c r="G156" s="2">
        <v>0.1</v>
      </c>
      <c r="H156" s="3">
        <v>45669</v>
      </c>
      <c r="I156" s="2">
        <v>332.19</v>
      </c>
      <c r="J156" t="str">
        <v>Jan-2025</v>
      </c>
      <c r="K156" s="9">
        <f t="shared" ca="1" si="8"/>
        <v>46066.577718749999</v>
      </c>
      <c r="L156">
        <f ca="1"/>
        <v>397.57771874999889</v>
      </c>
      <c r="M156" s="11" t="str">
        <f ca="1"/>
        <v>↓</v>
      </c>
      <c r="P156" s="11" t="str">
        <f t="shared" si="9"/>
        <v>Normal</v>
      </c>
      <c r="Q156" s="15">
        <f t="shared" si="10"/>
        <v>7.7</v>
      </c>
      <c r="R156" s="16">
        <f t="shared" si="11"/>
        <v>1054.56</v>
      </c>
      <c r="S156" s="16"/>
      <c r="T156" s="15"/>
    </row>
    <row r="157" spans="1:20" ht="15" thickBot="1" x14ac:dyDescent="0.35">
      <c r="A157" s="1" t="s">
        <v>58</v>
      </c>
      <c r="B157" s="1" t="s">
        <v>23</v>
      </c>
      <c r="C157" s="1" t="s">
        <v>24</v>
      </c>
      <c r="D157" s="1" t="s">
        <v>21</v>
      </c>
      <c r="E157" s="2">
        <v>1681.21</v>
      </c>
      <c r="F157" s="2">
        <v>5</v>
      </c>
      <c r="G157" s="2">
        <v>0.2</v>
      </c>
      <c r="H157" s="3">
        <v>45670</v>
      </c>
      <c r="I157" s="2">
        <v>336.24</v>
      </c>
      <c r="J157" t="str">
        <v>Jan-2025</v>
      </c>
      <c r="K157" s="9">
        <f t="shared" ca="1" si="8"/>
        <v>46066.577718749999</v>
      </c>
      <c r="L157">
        <f ca="1"/>
        <v>396.57771874999889</v>
      </c>
      <c r="M157" s="11" t="str">
        <f ca="1"/>
        <v>↓</v>
      </c>
      <c r="P157" s="11" t="str">
        <f t="shared" si="9"/>
        <v>Normal</v>
      </c>
      <c r="Q157" s="15">
        <f t="shared" si="10"/>
        <v>7.75</v>
      </c>
      <c r="R157" s="16">
        <f t="shared" si="11"/>
        <v>1681.21</v>
      </c>
      <c r="S157" s="16"/>
      <c r="T157" s="15"/>
    </row>
    <row r="158" spans="1:20" ht="15" thickBot="1" x14ac:dyDescent="0.35">
      <c r="A158" s="1" t="s">
        <v>58</v>
      </c>
      <c r="B158" s="1" t="s">
        <v>36</v>
      </c>
      <c r="C158" s="1" t="s">
        <v>11</v>
      </c>
      <c r="D158" s="1" t="s">
        <v>15</v>
      </c>
      <c r="E158" s="2">
        <v>379.77</v>
      </c>
      <c r="F158" s="2">
        <v>9</v>
      </c>
      <c r="G158" s="2">
        <v>0.05</v>
      </c>
      <c r="H158" s="3">
        <v>45673</v>
      </c>
      <c r="I158" s="2">
        <v>180.39</v>
      </c>
      <c r="J158" t="str">
        <v>Jan-2025</v>
      </c>
      <c r="K158" s="9">
        <f t="shared" ca="1" si="8"/>
        <v>46066.577718749999</v>
      </c>
      <c r="L158">
        <f ca="1"/>
        <v>393.57771874999889</v>
      </c>
      <c r="M158" s="11" t="str">
        <f ca="1"/>
        <v>↓</v>
      </c>
      <c r="P158" s="11" t="str">
        <f t="shared" si="9"/>
        <v>Normal</v>
      </c>
      <c r="Q158" s="15">
        <f t="shared" si="10"/>
        <v>7.8000000000000007</v>
      </c>
      <c r="R158" s="16">
        <f t="shared" si="11"/>
        <v>379.77</v>
      </c>
      <c r="S158" s="16"/>
      <c r="T158" s="15"/>
    </row>
    <row r="159" spans="1:20" ht="15" thickBot="1" x14ac:dyDescent="0.35">
      <c r="A159" s="1" t="s">
        <v>44</v>
      </c>
      <c r="B159" s="1" t="s">
        <v>45</v>
      </c>
      <c r="C159" s="1" t="s">
        <v>34</v>
      </c>
      <c r="D159" s="1" t="s">
        <v>15</v>
      </c>
      <c r="E159" s="2">
        <v>1076.33</v>
      </c>
      <c r="F159" s="2">
        <v>2</v>
      </c>
      <c r="G159" s="2">
        <v>0.1</v>
      </c>
      <c r="H159" s="3">
        <v>45674</v>
      </c>
      <c r="I159" s="2">
        <v>484.35</v>
      </c>
      <c r="J159" t="str">
        <v>Jan-2025</v>
      </c>
      <c r="K159" s="9">
        <f t="shared" ca="1" si="8"/>
        <v>46066.577718749999</v>
      </c>
      <c r="L159">
        <f ca="1"/>
        <v>392.57771874999889</v>
      </c>
      <c r="M159" s="11" t="str">
        <f ca="1"/>
        <v>↓</v>
      </c>
      <c r="P159" s="11" t="str">
        <f t="shared" si="9"/>
        <v>Normal</v>
      </c>
      <c r="Q159" s="15">
        <f t="shared" si="10"/>
        <v>7.8500000000000005</v>
      </c>
      <c r="R159" s="16">
        <f t="shared" si="11"/>
        <v>1076.33</v>
      </c>
      <c r="S159" s="16"/>
      <c r="T159" s="15"/>
    </row>
    <row r="160" spans="1:20" ht="15" thickBot="1" x14ac:dyDescent="0.35">
      <c r="A160" s="1" t="s">
        <v>44</v>
      </c>
      <c r="B160" s="1" t="s">
        <v>31</v>
      </c>
      <c r="C160" s="1" t="s">
        <v>34</v>
      </c>
      <c r="D160" s="1" t="s">
        <v>39</v>
      </c>
      <c r="E160" s="2">
        <v>1250.71</v>
      </c>
      <c r="F160" s="2">
        <v>7</v>
      </c>
      <c r="G160" s="2">
        <v>0</v>
      </c>
      <c r="H160" s="3">
        <v>45674</v>
      </c>
      <c r="I160" s="2">
        <v>562.82000000000005</v>
      </c>
      <c r="J160" t="str">
        <v>Jan-2025</v>
      </c>
      <c r="K160" s="9">
        <f t="shared" ca="1" si="8"/>
        <v>46066.577718749999</v>
      </c>
      <c r="L160">
        <f ca="1"/>
        <v>392.57771874999889</v>
      </c>
      <c r="M160" s="11" t="str">
        <f ca="1"/>
        <v>↓</v>
      </c>
      <c r="P160" s="11" t="str">
        <f t="shared" si="9"/>
        <v>Normal</v>
      </c>
      <c r="Q160" s="15">
        <f t="shared" si="10"/>
        <v>7.9</v>
      </c>
      <c r="R160" s="16">
        <f t="shared" si="11"/>
        <v>1250.71</v>
      </c>
      <c r="S160" s="16"/>
      <c r="T160" s="15"/>
    </row>
    <row r="161" spans="1:20" ht="15" thickBot="1" x14ac:dyDescent="0.35">
      <c r="A161" s="1" t="s">
        <v>40</v>
      </c>
      <c r="B161" s="1" t="s">
        <v>17</v>
      </c>
      <c r="C161" s="1" t="s">
        <v>20</v>
      </c>
      <c r="D161" s="1" t="s">
        <v>15</v>
      </c>
      <c r="E161" s="2">
        <v>1118.3399999999999</v>
      </c>
      <c r="F161" s="2">
        <v>6</v>
      </c>
      <c r="G161" s="2">
        <v>0.2</v>
      </c>
      <c r="H161" s="3">
        <v>45674</v>
      </c>
      <c r="I161" s="2">
        <v>447.34</v>
      </c>
      <c r="J161" t="str">
        <v>Jan-2025</v>
      </c>
      <c r="K161" s="9">
        <f t="shared" ca="1" si="8"/>
        <v>46066.577718749999</v>
      </c>
      <c r="L161">
        <f ca="1"/>
        <v>392.57771874999889</v>
      </c>
      <c r="M161" s="11" t="str">
        <f ca="1"/>
        <v>↓</v>
      </c>
      <c r="P161" s="11" t="str">
        <f t="shared" si="9"/>
        <v>Normal</v>
      </c>
      <c r="Q161" s="15">
        <f t="shared" si="10"/>
        <v>7.95</v>
      </c>
      <c r="R161" s="16">
        <f t="shared" si="11"/>
        <v>1118.3399999999999</v>
      </c>
      <c r="S161" s="16"/>
      <c r="T161" s="15"/>
    </row>
    <row r="162" spans="1:20" ht="15" thickBot="1" x14ac:dyDescent="0.35">
      <c r="A162" s="1" t="s">
        <v>70</v>
      </c>
      <c r="B162" s="1" t="s">
        <v>53</v>
      </c>
      <c r="C162" s="1" t="s">
        <v>24</v>
      </c>
      <c r="D162" s="1" t="s">
        <v>15</v>
      </c>
      <c r="E162" s="2">
        <v>1622.62</v>
      </c>
      <c r="F162" s="2">
        <v>12</v>
      </c>
      <c r="G162" s="2">
        <v>0.2</v>
      </c>
      <c r="H162" s="3">
        <v>45677</v>
      </c>
      <c r="I162" s="2">
        <v>649.04999999999995</v>
      </c>
      <c r="J162" t="str">
        <v>Jan-2025</v>
      </c>
      <c r="K162" s="9">
        <f t="shared" ca="1" si="8"/>
        <v>46066.577718749999</v>
      </c>
      <c r="L162">
        <f ca="1"/>
        <v>389.57771874999889</v>
      </c>
      <c r="M162" s="11" t="str">
        <f ca="1"/>
        <v>↓</v>
      </c>
      <c r="P162" s="11" t="str">
        <f t="shared" si="9"/>
        <v>Normal</v>
      </c>
      <c r="Q162" s="15">
        <f t="shared" si="10"/>
        <v>8</v>
      </c>
      <c r="R162" s="16">
        <f t="shared" si="11"/>
        <v>1622.62</v>
      </c>
      <c r="S162" s="16"/>
      <c r="T162" s="15"/>
    </row>
    <row r="163" spans="1:20" ht="15" thickBot="1" x14ac:dyDescent="0.35">
      <c r="A163" s="1" t="s">
        <v>75</v>
      </c>
      <c r="B163" s="1" t="s">
        <v>48</v>
      </c>
      <c r="C163" s="1" t="s">
        <v>24</v>
      </c>
      <c r="D163" s="1" t="s">
        <v>12</v>
      </c>
      <c r="E163" s="2">
        <v>640.64</v>
      </c>
      <c r="F163" s="2">
        <v>11</v>
      </c>
      <c r="G163" s="2">
        <v>0.2</v>
      </c>
      <c r="H163" s="3">
        <v>45678</v>
      </c>
      <c r="I163" s="2">
        <v>205</v>
      </c>
      <c r="J163" t="str">
        <v>Jan-2025</v>
      </c>
      <c r="K163" s="9">
        <f t="shared" ca="1" si="8"/>
        <v>46066.577718749999</v>
      </c>
      <c r="L163">
        <f ca="1"/>
        <v>388.57771874999889</v>
      </c>
      <c r="M163" s="11" t="str">
        <f ca="1"/>
        <v>↓</v>
      </c>
      <c r="P163" s="11" t="str">
        <f t="shared" si="9"/>
        <v>Normal</v>
      </c>
      <c r="Q163" s="15">
        <f t="shared" si="10"/>
        <v>8.0500000000000007</v>
      </c>
      <c r="R163" s="16">
        <f t="shared" si="11"/>
        <v>640.64</v>
      </c>
      <c r="S163" s="16"/>
      <c r="T163" s="15"/>
    </row>
    <row r="164" spans="1:20" ht="15" thickBot="1" x14ac:dyDescent="0.35">
      <c r="A164" s="1" t="s">
        <v>22</v>
      </c>
      <c r="B164" s="1" t="s">
        <v>43</v>
      </c>
      <c r="C164" s="1" t="s">
        <v>11</v>
      </c>
      <c r="D164" s="1" t="s">
        <v>15</v>
      </c>
      <c r="E164" s="2">
        <v>585.16</v>
      </c>
      <c r="F164" s="2">
        <v>17</v>
      </c>
      <c r="G164" s="2">
        <v>0.1</v>
      </c>
      <c r="H164" s="3">
        <v>45684</v>
      </c>
      <c r="I164" s="2">
        <v>263.32</v>
      </c>
      <c r="J164" t="str">
        <v>Jan-2025</v>
      </c>
      <c r="K164" s="9">
        <f t="shared" ca="1" si="8"/>
        <v>46066.577718749999</v>
      </c>
      <c r="L164">
        <f ca="1"/>
        <v>382.57771874999889</v>
      </c>
      <c r="M164" s="11" t="str">
        <f ca="1"/>
        <v>↓</v>
      </c>
      <c r="P164" s="11" t="str">
        <f t="shared" si="9"/>
        <v>Normal</v>
      </c>
      <c r="Q164" s="15">
        <f t="shared" si="10"/>
        <v>8.1</v>
      </c>
      <c r="R164" s="16">
        <f t="shared" si="11"/>
        <v>585.16</v>
      </c>
      <c r="S164" s="16"/>
      <c r="T164" s="15"/>
    </row>
    <row r="165" spans="1:20" ht="15" thickBot="1" x14ac:dyDescent="0.35">
      <c r="A165" s="1" t="s">
        <v>22</v>
      </c>
      <c r="B165" s="1" t="s">
        <v>31</v>
      </c>
      <c r="C165" s="1" t="s">
        <v>18</v>
      </c>
      <c r="D165" s="1" t="s">
        <v>15</v>
      </c>
      <c r="E165" s="2">
        <v>1109.98</v>
      </c>
      <c r="F165" s="2">
        <v>5</v>
      </c>
      <c r="G165" s="2">
        <v>0.2</v>
      </c>
      <c r="H165" s="3">
        <v>45690</v>
      </c>
      <c r="I165" s="2">
        <v>443.99</v>
      </c>
      <c r="J165" t="str">
        <v>Feb-2025</v>
      </c>
      <c r="K165" s="9">
        <f t="shared" ca="1" si="8"/>
        <v>46066.577718749999</v>
      </c>
      <c r="L165">
        <f ca="1"/>
        <v>376.57771874999889</v>
      </c>
      <c r="M165" s="11" t="str">
        <f ca="1"/>
        <v>↓</v>
      </c>
      <c r="P165" s="11" t="str">
        <f t="shared" si="9"/>
        <v>Normal</v>
      </c>
      <c r="Q165" s="15">
        <f t="shared" si="10"/>
        <v>8.15</v>
      </c>
      <c r="R165" s="16">
        <f t="shared" si="11"/>
        <v>1109.98</v>
      </c>
      <c r="S165" s="16"/>
      <c r="T165" s="15"/>
    </row>
    <row r="166" spans="1:20" ht="15" thickBot="1" x14ac:dyDescent="0.35">
      <c r="A166" s="1" t="s">
        <v>58</v>
      </c>
      <c r="B166" s="1" t="s">
        <v>45</v>
      </c>
      <c r="C166" s="1" t="s">
        <v>18</v>
      </c>
      <c r="D166" s="1" t="s">
        <v>12</v>
      </c>
      <c r="E166" s="2">
        <v>1098.08</v>
      </c>
      <c r="F166" s="2">
        <v>9</v>
      </c>
      <c r="G166" s="2">
        <v>0.1</v>
      </c>
      <c r="H166" s="3">
        <v>45692</v>
      </c>
      <c r="I166" s="2">
        <v>395.31</v>
      </c>
      <c r="J166" t="str">
        <v>Feb-2025</v>
      </c>
      <c r="K166" s="9">
        <f t="shared" ca="1" si="8"/>
        <v>46066.577718749999</v>
      </c>
      <c r="L166">
        <f ca="1"/>
        <v>374.57771874999889</v>
      </c>
      <c r="M166" s="11" t="str">
        <f ca="1"/>
        <v>↓</v>
      </c>
      <c r="P166" s="11" t="str">
        <f t="shared" si="9"/>
        <v>Normal</v>
      </c>
      <c r="Q166" s="15">
        <f t="shared" si="10"/>
        <v>8.2000000000000011</v>
      </c>
      <c r="R166" s="16">
        <f t="shared" si="11"/>
        <v>1098.08</v>
      </c>
      <c r="S166" s="16"/>
      <c r="T166" s="15"/>
    </row>
    <row r="167" spans="1:20" ht="15" thickBot="1" x14ac:dyDescent="0.35">
      <c r="A167" s="1" t="s">
        <v>65</v>
      </c>
      <c r="B167" s="1" t="s">
        <v>48</v>
      </c>
      <c r="C167" s="1" t="s">
        <v>11</v>
      </c>
      <c r="D167" s="1" t="s">
        <v>39</v>
      </c>
      <c r="E167" s="2">
        <v>827.25</v>
      </c>
      <c r="F167" s="2">
        <v>7</v>
      </c>
      <c r="G167" s="2">
        <v>0.1</v>
      </c>
      <c r="H167" s="3">
        <v>45693</v>
      </c>
      <c r="I167" s="2">
        <v>335.04</v>
      </c>
      <c r="J167" t="str">
        <v>Feb-2025</v>
      </c>
      <c r="K167" s="9">
        <f t="shared" ca="1" si="8"/>
        <v>46066.577718749999</v>
      </c>
      <c r="L167">
        <f ca="1"/>
        <v>373.57771874999889</v>
      </c>
      <c r="M167" s="11" t="str">
        <f ca="1"/>
        <v>↓</v>
      </c>
      <c r="P167" s="11" t="str">
        <f t="shared" si="9"/>
        <v>Normal</v>
      </c>
      <c r="Q167" s="15">
        <f t="shared" si="10"/>
        <v>8.25</v>
      </c>
      <c r="R167" s="16">
        <f t="shared" si="11"/>
        <v>827.25</v>
      </c>
      <c r="S167" s="16"/>
      <c r="T167" s="15"/>
    </row>
    <row r="168" spans="1:20" ht="15" thickBot="1" x14ac:dyDescent="0.35">
      <c r="A168" s="1" t="s">
        <v>70</v>
      </c>
      <c r="B168" s="1" t="s">
        <v>29</v>
      </c>
      <c r="C168" s="1" t="s">
        <v>34</v>
      </c>
      <c r="D168" s="1" t="s">
        <v>15</v>
      </c>
      <c r="E168" s="2">
        <v>741.88</v>
      </c>
      <c r="F168" s="2">
        <v>16</v>
      </c>
      <c r="G168" s="2">
        <v>0.1</v>
      </c>
      <c r="H168" s="3">
        <v>45695</v>
      </c>
      <c r="I168" s="2">
        <v>333.85</v>
      </c>
      <c r="J168" t="str">
        <v>Feb-2025</v>
      </c>
      <c r="K168" s="9">
        <f t="shared" ca="1" si="8"/>
        <v>46066.577718749999</v>
      </c>
      <c r="L168">
        <f ca="1"/>
        <v>371.57771874999889</v>
      </c>
      <c r="M168" s="11" t="str">
        <f ca="1"/>
        <v>↓</v>
      </c>
      <c r="P168" s="11" t="str">
        <f t="shared" si="9"/>
        <v>Normal</v>
      </c>
      <c r="Q168" s="15">
        <f t="shared" si="10"/>
        <v>8.3000000000000007</v>
      </c>
      <c r="R168" s="16">
        <f t="shared" si="11"/>
        <v>741.88</v>
      </c>
      <c r="S168" s="16"/>
      <c r="T168" s="15"/>
    </row>
    <row r="169" spans="1:20" ht="15" thickBot="1" x14ac:dyDescent="0.35">
      <c r="A169" s="1" t="s">
        <v>72</v>
      </c>
      <c r="B169" s="1" t="s">
        <v>10</v>
      </c>
      <c r="C169" s="1" t="s">
        <v>18</v>
      </c>
      <c r="D169" s="1" t="s">
        <v>39</v>
      </c>
      <c r="E169" s="2">
        <v>1311.26</v>
      </c>
      <c r="F169" s="2">
        <v>6</v>
      </c>
      <c r="G169" s="2">
        <v>0.1</v>
      </c>
      <c r="H169" s="3">
        <v>45698</v>
      </c>
      <c r="I169" s="2">
        <v>531.05999999999995</v>
      </c>
      <c r="J169" t="str">
        <v>Feb-2025</v>
      </c>
      <c r="K169" s="9">
        <f t="shared" ca="1" si="8"/>
        <v>46066.577718749999</v>
      </c>
      <c r="L169">
        <f ca="1"/>
        <v>368.57771874999889</v>
      </c>
      <c r="M169" s="11" t="str">
        <f ca="1"/>
        <v>↓</v>
      </c>
      <c r="P169" s="11" t="str">
        <f t="shared" si="9"/>
        <v>Normal</v>
      </c>
      <c r="Q169" s="15">
        <f t="shared" si="10"/>
        <v>8.35</v>
      </c>
      <c r="R169" s="16">
        <f t="shared" si="11"/>
        <v>1311.26</v>
      </c>
      <c r="S169" s="16"/>
      <c r="T169" s="15"/>
    </row>
    <row r="170" spans="1:20" ht="15" thickBot="1" x14ac:dyDescent="0.35">
      <c r="A170" s="1" t="s">
        <v>72</v>
      </c>
      <c r="B170" s="1" t="s">
        <v>31</v>
      </c>
      <c r="C170" s="1" t="s">
        <v>20</v>
      </c>
      <c r="D170" s="1" t="s">
        <v>39</v>
      </c>
      <c r="E170" s="2">
        <v>573.32000000000005</v>
      </c>
      <c r="F170" s="2">
        <v>19</v>
      </c>
      <c r="G170" s="2">
        <v>0.1</v>
      </c>
      <c r="H170" s="3">
        <v>45703</v>
      </c>
      <c r="I170" s="2">
        <v>232.19</v>
      </c>
      <c r="J170" t="str">
        <v>Feb-2025</v>
      </c>
      <c r="K170" s="9">
        <f t="shared" ca="1" si="8"/>
        <v>46066.577718749999</v>
      </c>
      <c r="L170">
        <f ca="1"/>
        <v>363.57771874999889</v>
      </c>
      <c r="M170" s="11" t="str">
        <f ca="1"/>
        <v>↓</v>
      </c>
      <c r="P170" s="11" t="str">
        <f t="shared" si="9"/>
        <v>Normal</v>
      </c>
      <c r="Q170" s="15">
        <f t="shared" si="10"/>
        <v>8.4</v>
      </c>
      <c r="R170" s="16">
        <f t="shared" si="11"/>
        <v>573.32000000000005</v>
      </c>
      <c r="S170" s="16"/>
      <c r="T170" s="15"/>
    </row>
    <row r="171" spans="1:20" ht="15" thickBot="1" x14ac:dyDescent="0.35">
      <c r="A171" s="1" t="s">
        <v>52</v>
      </c>
      <c r="B171" s="1" t="s">
        <v>23</v>
      </c>
      <c r="C171" s="1" t="s">
        <v>11</v>
      </c>
      <c r="D171" s="1" t="s">
        <v>21</v>
      </c>
      <c r="E171" s="2">
        <v>1115.22</v>
      </c>
      <c r="F171" s="2">
        <v>14</v>
      </c>
      <c r="G171" s="2">
        <v>0.2</v>
      </c>
      <c r="H171" s="3">
        <v>45705</v>
      </c>
      <c r="I171" s="2">
        <v>223.04</v>
      </c>
      <c r="J171" t="str">
        <v>Feb-2025</v>
      </c>
      <c r="K171" s="9">
        <f t="shared" ca="1" si="8"/>
        <v>46066.577718749999</v>
      </c>
      <c r="L171">
        <f ca="1"/>
        <v>361.57771874999889</v>
      </c>
      <c r="M171" s="11" t="str">
        <f ca="1"/>
        <v>↓</v>
      </c>
      <c r="P171" s="11" t="str">
        <f t="shared" si="9"/>
        <v>Normal</v>
      </c>
      <c r="Q171" s="15">
        <f t="shared" si="10"/>
        <v>8.4500000000000011</v>
      </c>
      <c r="R171" s="16">
        <f t="shared" si="11"/>
        <v>1115.22</v>
      </c>
      <c r="S171" s="16"/>
      <c r="T171" s="15"/>
    </row>
    <row r="172" spans="1:20" ht="15" thickBot="1" x14ac:dyDescent="0.35">
      <c r="A172" s="1" t="s">
        <v>13</v>
      </c>
      <c r="B172" s="1" t="s">
        <v>45</v>
      </c>
      <c r="C172" s="1" t="s">
        <v>24</v>
      </c>
      <c r="D172" s="1" t="s">
        <v>15</v>
      </c>
      <c r="E172" s="2">
        <v>845.84</v>
      </c>
      <c r="F172" s="2">
        <v>4</v>
      </c>
      <c r="G172" s="2">
        <v>0</v>
      </c>
      <c r="H172" s="3">
        <v>45707</v>
      </c>
      <c r="I172" s="2">
        <v>422.92</v>
      </c>
      <c r="J172" t="str">
        <v>Feb-2025</v>
      </c>
      <c r="K172" s="9">
        <f t="shared" ca="1" si="8"/>
        <v>46066.577718749999</v>
      </c>
      <c r="L172">
        <f ca="1"/>
        <v>359.57771874999889</v>
      </c>
      <c r="M172" s="11" t="str">
        <f ca="1"/>
        <v>↓</v>
      </c>
      <c r="P172" s="11" t="str">
        <f t="shared" si="9"/>
        <v>Normal</v>
      </c>
      <c r="Q172" s="15">
        <f t="shared" si="10"/>
        <v>8.5</v>
      </c>
      <c r="R172" s="16">
        <f t="shared" si="11"/>
        <v>845.84</v>
      </c>
      <c r="S172" s="16"/>
      <c r="T172" s="15"/>
    </row>
    <row r="173" spans="1:20" ht="15" thickBot="1" x14ac:dyDescent="0.35">
      <c r="A173" s="1" t="s">
        <v>30</v>
      </c>
      <c r="B173" s="1" t="s">
        <v>55</v>
      </c>
      <c r="C173" s="1" t="s">
        <v>11</v>
      </c>
      <c r="D173" s="1" t="s">
        <v>21</v>
      </c>
      <c r="E173" s="2">
        <v>1029.8</v>
      </c>
      <c r="F173" s="2">
        <v>3</v>
      </c>
      <c r="G173" s="2">
        <v>0</v>
      </c>
      <c r="H173" s="3">
        <v>45708</v>
      </c>
      <c r="I173" s="2">
        <v>257.45</v>
      </c>
      <c r="J173" t="str">
        <v>Feb-2025</v>
      </c>
      <c r="K173" s="9">
        <f t="shared" ca="1" si="8"/>
        <v>46066.577718749999</v>
      </c>
      <c r="L173">
        <f ca="1"/>
        <v>358.57771874999889</v>
      </c>
      <c r="M173" s="11" t="str">
        <f ca="1"/>
        <v>↓</v>
      </c>
      <c r="P173" s="11" t="str">
        <f t="shared" si="9"/>
        <v>Normal</v>
      </c>
      <c r="Q173" s="15">
        <f t="shared" si="10"/>
        <v>8.5500000000000007</v>
      </c>
      <c r="R173" s="16">
        <f t="shared" si="11"/>
        <v>1029.8</v>
      </c>
      <c r="S173" s="16"/>
      <c r="T173" s="15"/>
    </row>
    <row r="174" spans="1:20" ht="15" thickBot="1" x14ac:dyDescent="0.35">
      <c r="A174" s="1" t="s">
        <v>32</v>
      </c>
      <c r="B174" s="1" t="s">
        <v>31</v>
      </c>
      <c r="C174" s="1" t="s">
        <v>24</v>
      </c>
      <c r="D174" s="1" t="s">
        <v>12</v>
      </c>
      <c r="E174" s="2">
        <v>1189.83</v>
      </c>
      <c r="F174" s="2">
        <v>2</v>
      </c>
      <c r="G174" s="2">
        <v>0.2</v>
      </c>
      <c r="H174" s="3">
        <v>45709</v>
      </c>
      <c r="I174" s="2">
        <v>380.75</v>
      </c>
      <c r="J174" t="str">
        <v>Feb-2025</v>
      </c>
      <c r="K174" s="9">
        <f t="shared" ca="1" si="8"/>
        <v>46066.577718749999</v>
      </c>
      <c r="L174">
        <f ca="1"/>
        <v>357.57771874999889</v>
      </c>
      <c r="M174" s="11" t="str">
        <f ca="1"/>
        <v>↓</v>
      </c>
      <c r="P174" s="11" t="str">
        <f t="shared" si="9"/>
        <v>Normal</v>
      </c>
      <c r="Q174" s="15">
        <f t="shared" si="10"/>
        <v>8.6</v>
      </c>
      <c r="R174" s="16">
        <f t="shared" si="11"/>
        <v>1189.83</v>
      </c>
      <c r="S174" s="16"/>
      <c r="T174" s="15"/>
    </row>
    <row r="175" spans="1:20" ht="15" thickBot="1" x14ac:dyDescent="0.35">
      <c r="A175" s="1" t="s">
        <v>67</v>
      </c>
      <c r="B175" s="1" t="s">
        <v>43</v>
      </c>
      <c r="C175" s="1" t="s">
        <v>20</v>
      </c>
      <c r="D175" s="1" t="s">
        <v>12</v>
      </c>
      <c r="E175" s="2">
        <v>704.28</v>
      </c>
      <c r="F175" s="2">
        <v>15</v>
      </c>
      <c r="G175" s="2">
        <v>0.2</v>
      </c>
      <c r="H175" s="3">
        <v>45712</v>
      </c>
      <c r="I175" s="2">
        <v>225.37</v>
      </c>
      <c r="J175" t="str">
        <v>Feb-2025</v>
      </c>
      <c r="K175" s="9">
        <f t="shared" ca="1" si="8"/>
        <v>46066.577718749999</v>
      </c>
      <c r="L175">
        <f ca="1"/>
        <v>354.57771874999889</v>
      </c>
      <c r="M175" s="11" t="str">
        <f ca="1"/>
        <v>↓</v>
      </c>
      <c r="P175" s="11" t="str">
        <f t="shared" si="9"/>
        <v>Normal</v>
      </c>
      <c r="Q175" s="15">
        <f t="shared" si="10"/>
        <v>8.65</v>
      </c>
      <c r="R175" s="16">
        <f t="shared" si="11"/>
        <v>704.28</v>
      </c>
      <c r="S175" s="16"/>
      <c r="T175" s="15"/>
    </row>
    <row r="176" spans="1:20" ht="15" thickBot="1" x14ac:dyDescent="0.35">
      <c r="A176" s="1" t="s">
        <v>65</v>
      </c>
      <c r="B176" s="1" t="s">
        <v>47</v>
      </c>
      <c r="C176" s="1" t="s">
        <v>34</v>
      </c>
      <c r="D176" s="1" t="s">
        <v>39</v>
      </c>
      <c r="E176" s="2">
        <v>1618.22</v>
      </c>
      <c r="F176" s="2">
        <v>12</v>
      </c>
      <c r="G176" s="2">
        <v>0.2</v>
      </c>
      <c r="H176" s="3">
        <v>45712</v>
      </c>
      <c r="I176" s="2">
        <v>582.55999999999995</v>
      </c>
      <c r="J176" t="str">
        <v>Feb-2025</v>
      </c>
      <c r="K176" s="9">
        <f t="shared" ca="1" si="8"/>
        <v>46066.577718749999</v>
      </c>
      <c r="L176">
        <f ca="1"/>
        <v>354.57771874999889</v>
      </c>
      <c r="M176" s="11" t="str">
        <f ca="1"/>
        <v>↓</v>
      </c>
      <c r="P176" s="11" t="str">
        <f t="shared" si="9"/>
        <v>Normal</v>
      </c>
      <c r="Q176" s="15">
        <f t="shared" si="10"/>
        <v>8.7000000000000011</v>
      </c>
      <c r="R176" s="16">
        <f t="shared" si="11"/>
        <v>1618.22</v>
      </c>
      <c r="S176" s="16"/>
      <c r="T176" s="15"/>
    </row>
    <row r="177" spans="1:20" ht="15" thickBot="1" x14ac:dyDescent="0.35">
      <c r="A177" s="1" t="s">
        <v>73</v>
      </c>
      <c r="B177" s="1" t="s">
        <v>53</v>
      </c>
      <c r="C177" s="1" t="s">
        <v>34</v>
      </c>
      <c r="D177" s="1" t="s">
        <v>12</v>
      </c>
      <c r="E177" s="2">
        <v>1014.43</v>
      </c>
      <c r="F177" s="2">
        <v>2</v>
      </c>
      <c r="G177" s="2">
        <v>0.15</v>
      </c>
      <c r="H177" s="3">
        <v>45713</v>
      </c>
      <c r="I177" s="2">
        <v>344.91</v>
      </c>
      <c r="J177" t="str">
        <v>Feb-2025</v>
      </c>
      <c r="K177" s="9">
        <f t="shared" ca="1" si="8"/>
        <v>46066.577718749999</v>
      </c>
      <c r="L177">
        <f ca="1"/>
        <v>353.57771874999889</v>
      </c>
      <c r="M177" s="11" t="str">
        <f ca="1"/>
        <v>↓</v>
      </c>
      <c r="P177" s="11" t="str">
        <f t="shared" si="9"/>
        <v>Normal</v>
      </c>
      <c r="Q177" s="15">
        <f t="shared" si="10"/>
        <v>8.75</v>
      </c>
      <c r="R177" s="16">
        <f t="shared" si="11"/>
        <v>1014.43</v>
      </c>
      <c r="S177" s="16"/>
      <c r="T177" s="15"/>
    </row>
    <row r="178" spans="1:20" ht="15" thickBot="1" x14ac:dyDescent="0.35">
      <c r="A178" s="1" t="s">
        <v>75</v>
      </c>
      <c r="B178" s="1" t="s">
        <v>31</v>
      </c>
      <c r="C178" s="1" t="s">
        <v>34</v>
      </c>
      <c r="D178" s="1" t="s">
        <v>15</v>
      </c>
      <c r="E178" s="2">
        <v>826.97</v>
      </c>
      <c r="F178" s="2">
        <v>18</v>
      </c>
      <c r="G178" s="2">
        <v>0.2</v>
      </c>
      <c r="H178" s="3">
        <v>45715</v>
      </c>
      <c r="I178" s="2">
        <v>330.79</v>
      </c>
      <c r="J178" t="str">
        <v>Feb-2025</v>
      </c>
      <c r="K178" s="9">
        <f t="shared" ca="1" si="8"/>
        <v>46066.577718749999</v>
      </c>
      <c r="L178">
        <f ca="1"/>
        <v>351.57771874999889</v>
      </c>
      <c r="M178" s="11" t="str">
        <f ca="1"/>
        <v>↓</v>
      </c>
      <c r="P178" s="11" t="str">
        <f t="shared" si="9"/>
        <v>Normal</v>
      </c>
      <c r="Q178" s="15">
        <f t="shared" si="10"/>
        <v>8.8000000000000007</v>
      </c>
      <c r="R178" s="16">
        <f t="shared" si="11"/>
        <v>826.97</v>
      </c>
      <c r="S178" s="16"/>
      <c r="T178" s="15"/>
    </row>
    <row r="179" spans="1:20" ht="15" thickBot="1" x14ac:dyDescent="0.35">
      <c r="A179" s="1" t="s">
        <v>16</v>
      </c>
      <c r="B179" s="1" t="s">
        <v>31</v>
      </c>
      <c r="C179" s="1" t="s">
        <v>34</v>
      </c>
      <c r="D179" s="1" t="s">
        <v>15</v>
      </c>
      <c r="E179" s="2">
        <v>1022.23</v>
      </c>
      <c r="F179" s="2">
        <v>8</v>
      </c>
      <c r="G179" s="2">
        <v>0.1</v>
      </c>
      <c r="H179" s="3">
        <v>45717</v>
      </c>
      <c r="I179" s="2">
        <v>460</v>
      </c>
      <c r="J179" t="str">
        <v>Mar-2025</v>
      </c>
      <c r="K179" s="9">
        <f t="shared" ca="1" si="8"/>
        <v>46066.577718749999</v>
      </c>
      <c r="L179">
        <f ca="1"/>
        <v>349.57771874999889</v>
      </c>
      <c r="M179" s="11" t="str">
        <f ca="1"/>
        <v>↓</v>
      </c>
      <c r="P179" s="11" t="str">
        <f t="shared" si="9"/>
        <v>Normal</v>
      </c>
      <c r="Q179" s="15">
        <f t="shared" si="10"/>
        <v>8.85</v>
      </c>
      <c r="R179" s="16">
        <f t="shared" si="11"/>
        <v>1022.23</v>
      </c>
      <c r="S179" s="16"/>
      <c r="T179" s="15"/>
    </row>
    <row r="180" spans="1:20" ht="15" thickBot="1" x14ac:dyDescent="0.35">
      <c r="A180" s="1" t="s">
        <v>72</v>
      </c>
      <c r="B180" s="1" t="s">
        <v>29</v>
      </c>
      <c r="C180" s="1" t="s">
        <v>18</v>
      </c>
      <c r="D180" s="1" t="s">
        <v>12</v>
      </c>
      <c r="E180" s="2">
        <v>1099.69</v>
      </c>
      <c r="F180" s="2">
        <v>6</v>
      </c>
      <c r="G180" s="2">
        <v>0</v>
      </c>
      <c r="H180" s="3">
        <v>45718</v>
      </c>
      <c r="I180" s="2">
        <v>439.88</v>
      </c>
      <c r="J180" t="str">
        <v>Mar-2025</v>
      </c>
      <c r="K180" s="9">
        <f t="shared" ca="1" si="8"/>
        <v>46066.577718749999</v>
      </c>
      <c r="L180">
        <f ca="1"/>
        <v>348.57771874999889</v>
      </c>
      <c r="M180" s="11" t="str">
        <f ca="1"/>
        <v>↓</v>
      </c>
      <c r="P180" s="11" t="str">
        <f t="shared" si="9"/>
        <v>Normal</v>
      </c>
      <c r="Q180" s="15">
        <f t="shared" si="10"/>
        <v>8.9</v>
      </c>
      <c r="R180" s="16">
        <f t="shared" si="11"/>
        <v>1099.69</v>
      </c>
      <c r="S180" s="16"/>
      <c r="T180" s="15"/>
    </row>
    <row r="181" spans="1:20" ht="15" thickBot="1" x14ac:dyDescent="0.35">
      <c r="A181" s="1" t="s">
        <v>52</v>
      </c>
      <c r="B181" s="1" t="s">
        <v>64</v>
      </c>
      <c r="C181" s="1" t="s">
        <v>24</v>
      </c>
      <c r="D181" s="1" t="s">
        <v>12</v>
      </c>
      <c r="E181" s="2">
        <v>710.52</v>
      </c>
      <c r="F181" s="2">
        <v>8</v>
      </c>
      <c r="G181" s="2">
        <v>0.1</v>
      </c>
      <c r="H181" s="3">
        <v>45721</v>
      </c>
      <c r="I181" s="2">
        <v>255.79</v>
      </c>
      <c r="J181" t="str">
        <v>Mar-2025</v>
      </c>
      <c r="K181" s="9">
        <f t="shared" ca="1" si="8"/>
        <v>46066.577718749999</v>
      </c>
      <c r="L181">
        <f ca="1"/>
        <v>345.57771874999889</v>
      </c>
      <c r="M181" s="11" t="str">
        <f ca="1"/>
        <v>↓</v>
      </c>
      <c r="P181" s="11" t="str">
        <f t="shared" si="9"/>
        <v>Normal</v>
      </c>
      <c r="Q181" s="15">
        <f t="shared" si="10"/>
        <v>8.9500000000000011</v>
      </c>
      <c r="R181" s="16">
        <f t="shared" si="11"/>
        <v>710.52</v>
      </c>
      <c r="S181" s="16"/>
      <c r="T181" s="15"/>
    </row>
    <row r="182" spans="1:20" ht="15" thickBot="1" x14ac:dyDescent="0.35">
      <c r="A182" s="1" t="s">
        <v>52</v>
      </c>
      <c r="B182" s="1" t="s">
        <v>59</v>
      </c>
      <c r="C182" s="1" t="s">
        <v>24</v>
      </c>
      <c r="D182" s="1" t="s">
        <v>12</v>
      </c>
      <c r="E182" s="2">
        <v>499.18</v>
      </c>
      <c r="F182" s="2">
        <v>15</v>
      </c>
      <c r="G182" s="2">
        <v>0.2</v>
      </c>
      <c r="H182" s="3">
        <v>45724</v>
      </c>
      <c r="I182" s="2">
        <v>159.74</v>
      </c>
      <c r="J182" t="str">
        <v>Mar-2025</v>
      </c>
      <c r="K182" s="9">
        <f t="shared" ca="1" si="8"/>
        <v>46066.577718749999</v>
      </c>
      <c r="L182">
        <f ca="1"/>
        <v>342.57771874999889</v>
      </c>
      <c r="M182" s="11" t="str">
        <f ca="1"/>
        <v>↓</v>
      </c>
      <c r="P182" s="11" t="str">
        <f t="shared" si="9"/>
        <v>Normal</v>
      </c>
      <c r="Q182" s="15">
        <f t="shared" si="10"/>
        <v>9</v>
      </c>
      <c r="R182" s="16">
        <f t="shared" si="11"/>
        <v>499.18</v>
      </c>
      <c r="S182" s="16"/>
      <c r="T182" s="15"/>
    </row>
    <row r="183" spans="1:20" ht="15" thickBot="1" x14ac:dyDescent="0.35">
      <c r="A183" s="1" t="s">
        <v>37</v>
      </c>
      <c r="B183" s="1" t="s">
        <v>38</v>
      </c>
      <c r="C183" s="1" t="s">
        <v>20</v>
      </c>
      <c r="D183" s="1" t="s">
        <v>12</v>
      </c>
      <c r="E183" s="2">
        <v>1064.19</v>
      </c>
      <c r="F183" s="2">
        <v>18</v>
      </c>
      <c r="G183" s="2">
        <v>0.05</v>
      </c>
      <c r="H183" s="3">
        <v>45725</v>
      </c>
      <c r="I183" s="2">
        <v>404.39</v>
      </c>
      <c r="J183" t="str">
        <v>Mar-2025</v>
      </c>
      <c r="K183" s="9">
        <f t="shared" ca="1" si="8"/>
        <v>46066.577718749999</v>
      </c>
      <c r="L183">
        <f ca="1"/>
        <v>341.57771874999889</v>
      </c>
      <c r="M183" s="11" t="str">
        <f ca="1"/>
        <v>↓</v>
      </c>
      <c r="P183" s="11" t="str">
        <f t="shared" si="9"/>
        <v>Normal</v>
      </c>
      <c r="Q183" s="15">
        <f t="shared" si="10"/>
        <v>9.0500000000000007</v>
      </c>
      <c r="R183" s="16">
        <f t="shared" si="11"/>
        <v>1064.19</v>
      </c>
      <c r="S183" s="16"/>
      <c r="T183" s="15"/>
    </row>
    <row r="184" spans="1:20" ht="15" thickBot="1" x14ac:dyDescent="0.35">
      <c r="A184" s="1" t="s">
        <v>67</v>
      </c>
      <c r="B184" s="1" t="s">
        <v>38</v>
      </c>
      <c r="C184" s="1" t="s">
        <v>18</v>
      </c>
      <c r="D184" s="1" t="s">
        <v>39</v>
      </c>
      <c r="E184" s="2">
        <v>438.76</v>
      </c>
      <c r="F184" s="2">
        <v>18</v>
      </c>
      <c r="G184" s="2">
        <v>0.05</v>
      </c>
      <c r="H184" s="3">
        <v>45726</v>
      </c>
      <c r="I184" s="2">
        <v>187.57</v>
      </c>
      <c r="J184" t="str">
        <v>Mar-2025</v>
      </c>
      <c r="K184" s="9">
        <f t="shared" ca="1" si="8"/>
        <v>46066.577718749999</v>
      </c>
      <c r="L184">
        <f ca="1"/>
        <v>340.57771874999889</v>
      </c>
      <c r="M184" s="11" t="str">
        <f ca="1"/>
        <v>↓</v>
      </c>
      <c r="P184" s="11" t="str">
        <f t="shared" si="9"/>
        <v>Normal</v>
      </c>
      <c r="Q184" s="15">
        <f t="shared" si="10"/>
        <v>9.1</v>
      </c>
      <c r="R184" s="16">
        <f t="shared" si="11"/>
        <v>438.76</v>
      </c>
      <c r="S184" s="16"/>
      <c r="T184" s="15"/>
    </row>
    <row r="185" spans="1:20" ht="15" thickBot="1" x14ac:dyDescent="0.35">
      <c r="A185" s="1" t="s">
        <v>41</v>
      </c>
      <c r="B185" s="1" t="s">
        <v>55</v>
      </c>
      <c r="C185" s="1" t="s">
        <v>11</v>
      </c>
      <c r="D185" s="1" t="s">
        <v>15</v>
      </c>
      <c r="E185" s="2">
        <v>864.98</v>
      </c>
      <c r="F185" s="2">
        <v>2</v>
      </c>
      <c r="G185" s="2">
        <v>0.05</v>
      </c>
      <c r="H185" s="3">
        <v>45727</v>
      </c>
      <c r="I185" s="2">
        <v>410.87</v>
      </c>
      <c r="J185" t="str">
        <v>Mar-2025</v>
      </c>
      <c r="K185" s="9">
        <f t="shared" ca="1" si="8"/>
        <v>46066.577718749999</v>
      </c>
      <c r="L185">
        <f ca="1"/>
        <v>339.57771874999889</v>
      </c>
      <c r="M185" s="11" t="str">
        <f ca="1"/>
        <v>↓</v>
      </c>
      <c r="P185" s="11" t="str">
        <f t="shared" si="9"/>
        <v>Normal</v>
      </c>
      <c r="Q185" s="15">
        <f t="shared" si="10"/>
        <v>9.15</v>
      </c>
      <c r="R185" s="16">
        <f t="shared" si="11"/>
        <v>864.98</v>
      </c>
      <c r="S185" s="16"/>
      <c r="T185" s="15"/>
    </row>
    <row r="186" spans="1:20" ht="15" thickBot="1" x14ac:dyDescent="0.35">
      <c r="A186" s="1" t="s">
        <v>57</v>
      </c>
      <c r="B186" s="1" t="s">
        <v>55</v>
      </c>
      <c r="C186" s="1" t="s">
        <v>11</v>
      </c>
      <c r="D186" s="1" t="s">
        <v>27</v>
      </c>
      <c r="E186" s="2">
        <v>984.93</v>
      </c>
      <c r="F186" s="2">
        <v>14</v>
      </c>
      <c r="G186" s="2">
        <v>0.2</v>
      </c>
      <c r="H186" s="3">
        <v>45733</v>
      </c>
      <c r="I186" s="2">
        <v>275.77999999999997</v>
      </c>
      <c r="J186" t="str">
        <v>Mar-2025</v>
      </c>
      <c r="K186" s="9">
        <f t="shared" ca="1" si="8"/>
        <v>46066.577718749999</v>
      </c>
      <c r="L186">
        <f ca="1"/>
        <v>333.57771874999889</v>
      </c>
      <c r="M186" s="11" t="str">
        <f ca="1"/>
        <v>↓</v>
      </c>
      <c r="P186" s="11" t="str">
        <f t="shared" si="9"/>
        <v>Normal</v>
      </c>
      <c r="Q186" s="15">
        <f t="shared" si="10"/>
        <v>9.2000000000000011</v>
      </c>
      <c r="R186" s="16">
        <f t="shared" si="11"/>
        <v>984.93</v>
      </c>
      <c r="S186" s="16"/>
      <c r="T186" s="15"/>
    </row>
    <row r="187" spans="1:20" ht="15" thickBot="1" x14ac:dyDescent="0.35">
      <c r="A187" s="1" t="s">
        <v>25</v>
      </c>
      <c r="B187" s="1" t="s">
        <v>55</v>
      </c>
      <c r="C187" s="1" t="s">
        <v>11</v>
      </c>
      <c r="D187" s="1" t="s">
        <v>15</v>
      </c>
      <c r="E187" s="2">
        <v>1493.49</v>
      </c>
      <c r="F187" s="2">
        <v>18</v>
      </c>
      <c r="G187" s="2">
        <v>0</v>
      </c>
      <c r="H187" s="3">
        <v>45734</v>
      </c>
      <c r="I187" s="2">
        <v>746.74</v>
      </c>
      <c r="J187" t="str">
        <v>Mar-2025</v>
      </c>
      <c r="K187" s="9">
        <f t="shared" ca="1" si="8"/>
        <v>46066.577718749999</v>
      </c>
      <c r="L187">
        <f ca="1"/>
        <v>332.57771874999889</v>
      </c>
      <c r="M187" s="11" t="str">
        <f ca="1"/>
        <v>↓</v>
      </c>
      <c r="P187" s="11" t="str">
        <f t="shared" si="9"/>
        <v>Normal</v>
      </c>
      <c r="Q187" s="15">
        <f t="shared" si="10"/>
        <v>9.25</v>
      </c>
      <c r="R187" s="16">
        <f t="shared" si="11"/>
        <v>1493.49</v>
      </c>
      <c r="S187" s="16"/>
      <c r="T187" s="15"/>
    </row>
    <row r="188" spans="1:20" ht="15" thickBot="1" x14ac:dyDescent="0.35">
      <c r="A188" s="1" t="s">
        <v>32</v>
      </c>
      <c r="B188" s="1" t="s">
        <v>53</v>
      </c>
      <c r="C188" s="1" t="s">
        <v>20</v>
      </c>
      <c r="D188" s="1" t="s">
        <v>15</v>
      </c>
      <c r="E188" s="2">
        <v>689.43</v>
      </c>
      <c r="F188" s="2">
        <v>9</v>
      </c>
      <c r="G188" s="2">
        <v>0.1</v>
      </c>
      <c r="H188" s="3">
        <v>45736</v>
      </c>
      <c r="I188" s="2">
        <v>310.24</v>
      </c>
      <c r="J188" t="str">
        <v>Mar-2025</v>
      </c>
      <c r="K188" s="9">
        <f t="shared" ca="1" si="8"/>
        <v>46066.577718749999</v>
      </c>
      <c r="L188">
        <f ca="1"/>
        <v>330.57771874999889</v>
      </c>
      <c r="M188" s="11" t="str">
        <f ca="1"/>
        <v>↓</v>
      </c>
      <c r="P188" s="11" t="str">
        <f t="shared" si="9"/>
        <v>Normal</v>
      </c>
      <c r="Q188" s="15">
        <f t="shared" si="10"/>
        <v>9.3000000000000007</v>
      </c>
      <c r="R188" s="16">
        <f t="shared" si="11"/>
        <v>689.43</v>
      </c>
      <c r="S188" s="16"/>
      <c r="T188" s="15"/>
    </row>
    <row r="189" spans="1:20" ht="15" thickBot="1" x14ac:dyDescent="0.35">
      <c r="A189" s="1" t="s">
        <v>40</v>
      </c>
      <c r="B189" s="1" t="s">
        <v>59</v>
      </c>
      <c r="C189" s="1" t="s">
        <v>20</v>
      </c>
      <c r="D189" s="1" t="s">
        <v>15</v>
      </c>
      <c r="E189" s="2">
        <v>682.24</v>
      </c>
      <c r="F189" s="2">
        <v>1</v>
      </c>
      <c r="G189" s="2">
        <v>0</v>
      </c>
      <c r="H189" s="3">
        <v>45738</v>
      </c>
      <c r="I189" s="2">
        <v>341.12</v>
      </c>
      <c r="J189" t="str">
        <v>Mar-2025</v>
      </c>
      <c r="K189" s="9">
        <f t="shared" ca="1" si="8"/>
        <v>46066.577718749999</v>
      </c>
      <c r="L189">
        <f ca="1"/>
        <v>328.57771874999889</v>
      </c>
      <c r="M189" s="11" t="str">
        <f ca="1"/>
        <v>↓</v>
      </c>
      <c r="P189" s="11" t="str">
        <f t="shared" si="9"/>
        <v>Normal</v>
      </c>
      <c r="Q189" s="15">
        <f t="shared" si="10"/>
        <v>9.35</v>
      </c>
      <c r="R189" s="16">
        <f t="shared" si="11"/>
        <v>682.24</v>
      </c>
      <c r="S189" s="16"/>
      <c r="T189" s="15"/>
    </row>
    <row r="190" spans="1:20" ht="15" thickBot="1" x14ac:dyDescent="0.35">
      <c r="A190" s="1" t="s">
        <v>41</v>
      </c>
      <c r="B190" s="1" t="s">
        <v>26</v>
      </c>
      <c r="C190" s="1" t="s">
        <v>24</v>
      </c>
      <c r="D190" s="1" t="s">
        <v>21</v>
      </c>
      <c r="E190" s="2">
        <v>458.54</v>
      </c>
      <c r="F190" s="2">
        <v>15</v>
      </c>
      <c r="G190" s="2">
        <v>0.2</v>
      </c>
      <c r="H190" s="3">
        <v>45741</v>
      </c>
      <c r="I190" s="2">
        <v>91.71</v>
      </c>
      <c r="J190" t="str">
        <v>Mar-2025</v>
      </c>
      <c r="K190" s="9">
        <f t="shared" ca="1" si="8"/>
        <v>46066.577718749999</v>
      </c>
      <c r="L190">
        <f ca="1"/>
        <v>325.57771874999889</v>
      </c>
      <c r="M190" s="11" t="str">
        <f ca="1"/>
        <v>↓</v>
      </c>
      <c r="P190" s="11" t="str">
        <f t="shared" si="9"/>
        <v>Normal</v>
      </c>
      <c r="Q190" s="15">
        <f t="shared" si="10"/>
        <v>9.4</v>
      </c>
      <c r="R190" s="16">
        <f t="shared" si="11"/>
        <v>458.54</v>
      </c>
      <c r="S190" s="16"/>
      <c r="T190" s="15"/>
    </row>
    <row r="191" spans="1:20" ht="15" thickBot="1" x14ac:dyDescent="0.35">
      <c r="A191" s="1" t="s">
        <v>32</v>
      </c>
      <c r="B191" s="1" t="s">
        <v>26</v>
      </c>
      <c r="C191" s="1" t="s">
        <v>20</v>
      </c>
      <c r="D191" s="1" t="s">
        <v>27</v>
      </c>
      <c r="E191" s="2">
        <v>1184.25</v>
      </c>
      <c r="F191" s="2">
        <v>11</v>
      </c>
      <c r="G191" s="2">
        <v>0.2</v>
      </c>
      <c r="H191" s="3">
        <v>45742</v>
      </c>
      <c r="I191" s="2">
        <v>331.59</v>
      </c>
      <c r="J191" t="str">
        <v>Mar-2025</v>
      </c>
      <c r="K191" s="9">
        <f t="shared" ca="1" si="8"/>
        <v>46066.577718749999</v>
      </c>
      <c r="L191">
        <f ca="1"/>
        <v>324.57771874999889</v>
      </c>
      <c r="M191" s="11" t="str">
        <f ca="1"/>
        <v>↓</v>
      </c>
      <c r="P191" s="11" t="str">
        <f t="shared" si="9"/>
        <v>Normal</v>
      </c>
      <c r="Q191" s="15">
        <f t="shared" si="10"/>
        <v>9.4500000000000011</v>
      </c>
      <c r="R191" s="16">
        <f t="shared" si="11"/>
        <v>1184.25</v>
      </c>
      <c r="S191" s="16"/>
      <c r="T191" s="15"/>
    </row>
    <row r="192" spans="1:20" ht="15" thickBot="1" x14ac:dyDescent="0.35">
      <c r="A192" s="1" t="s">
        <v>25</v>
      </c>
      <c r="B192" s="1" t="s">
        <v>10</v>
      </c>
      <c r="C192" s="1" t="s">
        <v>20</v>
      </c>
      <c r="D192" s="1" t="s">
        <v>15</v>
      </c>
      <c r="E192" s="2">
        <v>762.14</v>
      </c>
      <c r="F192" s="2">
        <v>9</v>
      </c>
      <c r="G192" s="2">
        <v>0</v>
      </c>
      <c r="H192" s="3">
        <v>45743</v>
      </c>
      <c r="I192" s="2">
        <v>381.07</v>
      </c>
      <c r="J192" t="str">
        <v>Mar-2025</v>
      </c>
      <c r="K192" s="9">
        <f t="shared" ca="1" si="8"/>
        <v>46066.577718749999</v>
      </c>
      <c r="L192">
        <f ca="1"/>
        <v>323.57771874999889</v>
      </c>
      <c r="M192" s="11" t="str">
        <f ca="1"/>
        <v>↓</v>
      </c>
      <c r="P192" s="11" t="str">
        <f t="shared" si="9"/>
        <v>Normal</v>
      </c>
      <c r="Q192" s="15">
        <f t="shared" si="10"/>
        <v>9.5</v>
      </c>
      <c r="R192" s="16">
        <f t="shared" si="11"/>
        <v>762.14</v>
      </c>
      <c r="S192" s="16"/>
      <c r="T192" s="15"/>
    </row>
    <row r="193" spans="1:20" ht="15" thickBot="1" x14ac:dyDescent="0.35">
      <c r="A193" s="1" t="s">
        <v>22</v>
      </c>
      <c r="B193" s="1" t="s">
        <v>53</v>
      </c>
      <c r="C193" s="1" t="s">
        <v>24</v>
      </c>
      <c r="D193" s="1" t="s">
        <v>12</v>
      </c>
      <c r="E193" s="2">
        <v>750.71</v>
      </c>
      <c r="F193" s="2">
        <v>10</v>
      </c>
      <c r="G193" s="2">
        <v>0.15</v>
      </c>
      <c r="H193" s="3">
        <v>45743</v>
      </c>
      <c r="I193" s="2">
        <v>255.24</v>
      </c>
      <c r="J193" t="str">
        <v>Mar-2025</v>
      </c>
      <c r="K193" s="9">
        <f t="shared" ca="1" si="8"/>
        <v>46066.577718749999</v>
      </c>
      <c r="L193">
        <f ca="1"/>
        <v>323.57771874999889</v>
      </c>
      <c r="M193" s="11" t="str">
        <f ca="1"/>
        <v>↓</v>
      </c>
      <c r="P193" s="11" t="str">
        <f t="shared" si="9"/>
        <v>Normal</v>
      </c>
      <c r="Q193" s="15">
        <f t="shared" si="10"/>
        <v>9.5500000000000007</v>
      </c>
      <c r="R193" s="16">
        <f t="shared" si="11"/>
        <v>750.71</v>
      </c>
      <c r="S193" s="16"/>
      <c r="T193" s="15"/>
    </row>
    <row r="194" spans="1:20" ht="15" thickBot="1" x14ac:dyDescent="0.35">
      <c r="A194" s="1" t="s">
        <v>75</v>
      </c>
      <c r="B194" s="1" t="s">
        <v>71</v>
      </c>
      <c r="C194" s="1" t="s">
        <v>34</v>
      </c>
      <c r="D194" s="1" t="s">
        <v>15</v>
      </c>
      <c r="E194" s="2">
        <v>1456.94</v>
      </c>
      <c r="F194" s="2">
        <v>14</v>
      </c>
      <c r="G194" s="2">
        <v>0.05</v>
      </c>
      <c r="H194" s="3">
        <v>45745</v>
      </c>
      <c r="I194" s="2">
        <v>692.05</v>
      </c>
      <c r="J194" t="str">
        <v>Mar-2025</v>
      </c>
      <c r="K194" s="9">
        <f t="shared" ca="1" si="8"/>
        <v>46066.577718749999</v>
      </c>
      <c r="L194">
        <f ca="1"/>
        <v>321.57771874999889</v>
      </c>
      <c r="M194" s="11" t="str">
        <f ca="1"/>
        <v>↓</v>
      </c>
      <c r="P194" s="11" t="str">
        <f t="shared" si="9"/>
        <v>Normal</v>
      </c>
      <c r="Q194" s="15">
        <f t="shared" si="10"/>
        <v>9.6000000000000014</v>
      </c>
      <c r="R194" s="16">
        <f t="shared" si="11"/>
        <v>1456.94</v>
      </c>
      <c r="S194" s="16"/>
      <c r="T194" s="15"/>
    </row>
    <row r="195" spans="1:20" ht="15" thickBot="1" x14ac:dyDescent="0.35">
      <c r="A195" s="1" t="s">
        <v>44</v>
      </c>
      <c r="B195" s="1" t="s">
        <v>61</v>
      </c>
      <c r="C195" s="1" t="s">
        <v>18</v>
      </c>
      <c r="D195" s="1" t="s">
        <v>27</v>
      </c>
      <c r="E195" s="2">
        <v>1093.3800000000001</v>
      </c>
      <c r="F195" s="2">
        <v>17</v>
      </c>
      <c r="G195" s="2">
        <v>0.1</v>
      </c>
      <c r="H195" s="3">
        <v>45745</v>
      </c>
      <c r="I195" s="2">
        <v>344.41</v>
      </c>
      <c r="J195" t="str">
        <v>Mar-2025</v>
      </c>
      <c r="K195" s="9">
        <f t="shared" ref="K195:K201" ca="1" si="12">NOW()</f>
        <v>46066.577718749999</v>
      </c>
      <c r="L195">
        <f ca="1"/>
        <v>321.57771874999889</v>
      </c>
      <c r="M195" s="11" t="str">
        <f ca="1"/>
        <v>↓</v>
      </c>
      <c r="P195" s="11" t="str">
        <f t="shared" ref="P195:P201" si="13">IF(SUMIF(B:B,H195,E:E)&gt;500,"High Value","Normal")</f>
        <v>Normal</v>
      </c>
      <c r="Q195" s="15">
        <f t="shared" ref="Q195:Q201" si="14">(ROW(A194)-1)*5%</f>
        <v>9.65</v>
      </c>
      <c r="R195" s="16">
        <f t="shared" ref="R195:R201" si="15">E195*(1-$Z$1)</f>
        <v>1093.3800000000001</v>
      </c>
      <c r="S195" s="16"/>
      <c r="T195" s="15"/>
    </row>
    <row r="196" spans="1:20" ht="15" thickBot="1" x14ac:dyDescent="0.35">
      <c r="A196" s="1" t="s">
        <v>37</v>
      </c>
      <c r="B196" s="1" t="s">
        <v>43</v>
      </c>
      <c r="C196" s="1" t="s">
        <v>11</v>
      </c>
      <c r="D196" s="1" t="s">
        <v>15</v>
      </c>
      <c r="E196" s="2">
        <v>934.27</v>
      </c>
      <c r="F196" s="2">
        <v>8</v>
      </c>
      <c r="G196" s="2">
        <v>0.15</v>
      </c>
      <c r="H196" s="3">
        <v>45746</v>
      </c>
      <c r="I196" s="2">
        <v>397.06</v>
      </c>
      <c r="J196" t="str">
        <v>Mar-2025</v>
      </c>
      <c r="K196" s="9">
        <f t="shared" ca="1" si="12"/>
        <v>46066.577718749999</v>
      </c>
      <c r="L196">
        <f ca="1"/>
        <v>320.57771874999889</v>
      </c>
      <c r="M196" s="11" t="str">
        <f ca="1"/>
        <v>↓</v>
      </c>
      <c r="P196" s="11" t="str">
        <f t="shared" si="13"/>
        <v>Normal</v>
      </c>
      <c r="Q196" s="15">
        <f t="shared" si="14"/>
        <v>9.7000000000000011</v>
      </c>
      <c r="R196" s="16">
        <f t="shared" si="15"/>
        <v>934.27</v>
      </c>
      <c r="S196" s="16"/>
      <c r="T196" s="15"/>
    </row>
    <row r="197" spans="1:20" ht="15" thickBot="1" x14ac:dyDescent="0.35">
      <c r="A197" s="1" t="s">
        <v>70</v>
      </c>
      <c r="B197" s="1" t="s">
        <v>36</v>
      </c>
      <c r="C197" s="1" t="s">
        <v>34</v>
      </c>
      <c r="D197" s="1" t="s">
        <v>15</v>
      </c>
      <c r="E197" s="2">
        <v>1465.35</v>
      </c>
      <c r="F197" s="2">
        <v>8</v>
      </c>
      <c r="G197" s="2">
        <v>0.2</v>
      </c>
      <c r="H197" s="3">
        <v>45746</v>
      </c>
      <c r="I197" s="2">
        <v>586.14</v>
      </c>
      <c r="J197" t="str">
        <v>Mar-2025</v>
      </c>
      <c r="K197" s="9">
        <f t="shared" ca="1" si="12"/>
        <v>46066.577718749999</v>
      </c>
      <c r="L197">
        <f ca="1"/>
        <v>320.57771874999889</v>
      </c>
      <c r="M197" s="11" t="str">
        <f ca="1"/>
        <v>↓</v>
      </c>
      <c r="P197" s="11" t="str">
        <f t="shared" si="13"/>
        <v>Normal</v>
      </c>
      <c r="Q197" s="15">
        <f t="shared" si="14"/>
        <v>9.75</v>
      </c>
      <c r="R197" s="16">
        <f t="shared" si="15"/>
        <v>1465.35</v>
      </c>
      <c r="S197" s="16"/>
      <c r="T197" s="15"/>
    </row>
    <row r="198" spans="1:20" ht="15" thickBot="1" x14ac:dyDescent="0.35">
      <c r="A198" s="1" t="s">
        <v>52</v>
      </c>
      <c r="B198" s="1" t="s">
        <v>14</v>
      </c>
      <c r="C198" s="1" t="s">
        <v>20</v>
      </c>
      <c r="D198" s="1" t="s">
        <v>39</v>
      </c>
      <c r="E198" s="2">
        <v>740.8</v>
      </c>
      <c r="F198" s="2">
        <v>3</v>
      </c>
      <c r="G198" s="2">
        <v>0</v>
      </c>
      <c r="H198" s="3">
        <v>45749</v>
      </c>
      <c r="I198" s="2">
        <v>333.36</v>
      </c>
      <c r="J198" t="str">
        <v>Apr-2025</v>
      </c>
      <c r="K198" s="9">
        <f t="shared" ca="1" si="12"/>
        <v>46066.577718749999</v>
      </c>
      <c r="L198">
        <f ca="1"/>
        <v>317.57771874999889</v>
      </c>
      <c r="M198" s="11" t="str">
        <f ca="1"/>
        <v>↓</v>
      </c>
      <c r="P198" s="11" t="str">
        <f t="shared" si="13"/>
        <v>Normal</v>
      </c>
      <c r="Q198" s="15">
        <f t="shared" si="14"/>
        <v>9.8000000000000007</v>
      </c>
      <c r="R198" s="16">
        <f t="shared" si="15"/>
        <v>740.8</v>
      </c>
      <c r="S198" s="16"/>
      <c r="T198" s="15"/>
    </row>
    <row r="199" spans="1:20" ht="15" thickBot="1" x14ac:dyDescent="0.35">
      <c r="A199" s="1" t="s">
        <v>58</v>
      </c>
      <c r="B199" s="1" t="s">
        <v>43</v>
      </c>
      <c r="C199" s="1" t="s">
        <v>11</v>
      </c>
      <c r="D199" s="1" t="s">
        <v>39</v>
      </c>
      <c r="E199" s="2">
        <v>545.44000000000005</v>
      </c>
      <c r="F199" s="2">
        <v>17</v>
      </c>
      <c r="G199" s="2">
        <v>0</v>
      </c>
      <c r="H199" s="3">
        <v>45752</v>
      </c>
      <c r="I199" s="2">
        <v>245.45</v>
      </c>
      <c r="J199" t="str">
        <v>Apr-2025</v>
      </c>
      <c r="K199" s="9">
        <f t="shared" ca="1" si="12"/>
        <v>46066.577718749999</v>
      </c>
      <c r="L199">
        <f ca="1"/>
        <v>314.57771874999889</v>
      </c>
      <c r="M199" s="11" t="str">
        <f ca="1"/>
        <v>↓</v>
      </c>
      <c r="P199" s="11" t="str">
        <f t="shared" si="13"/>
        <v>Normal</v>
      </c>
      <c r="Q199" s="15">
        <f t="shared" si="14"/>
        <v>9.8500000000000014</v>
      </c>
      <c r="R199" s="16">
        <f t="shared" si="15"/>
        <v>545.44000000000005</v>
      </c>
      <c r="S199" s="16"/>
      <c r="T199" s="15"/>
    </row>
    <row r="200" spans="1:20" ht="15" thickBot="1" x14ac:dyDescent="0.35">
      <c r="A200" s="1" t="s">
        <v>35</v>
      </c>
      <c r="B200" s="1" t="s">
        <v>36</v>
      </c>
      <c r="C200" s="1" t="s">
        <v>18</v>
      </c>
      <c r="D200" s="1" t="s">
        <v>12</v>
      </c>
      <c r="E200" s="2">
        <v>997.61</v>
      </c>
      <c r="F200" s="2">
        <v>8</v>
      </c>
      <c r="G200" s="2">
        <v>0.05</v>
      </c>
      <c r="H200" s="3">
        <v>45752</v>
      </c>
      <c r="I200" s="2">
        <v>379.09</v>
      </c>
      <c r="J200" t="str">
        <v>Apr-2025</v>
      </c>
      <c r="K200" s="9">
        <f t="shared" ca="1" si="12"/>
        <v>46066.577718749999</v>
      </c>
      <c r="L200">
        <f ca="1"/>
        <v>314.57771874999889</v>
      </c>
      <c r="M200" s="11" t="str">
        <f ca="1"/>
        <v>↓</v>
      </c>
      <c r="P200" s="11" t="str">
        <f t="shared" si="13"/>
        <v>Normal</v>
      </c>
      <c r="Q200" s="15">
        <f t="shared" si="14"/>
        <v>9.9</v>
      </c>
      <c r="R200" s="16">
        <f t="shared" si="15"/>
        <v>997.61</v>
      </c>
      <c r="S200" s="16"/>
      <c r="T200" s="15"/>
    </row>
    <row r="201" spans="1:20" ht="15" thickBot="1" x14ac:dyDescent="0.35">
      <c r="A201" s="1" t="s">
        <v>60</v>
      </c>
      <c r="B201" s="1" t="s">
        <v>36</v>
      </c>
      <c r="C201" s="1" t="s">
        <v>20</v>
      </c>
      <c r="D201" s="1" t="s">
        <v>15</v>
      </c>
      <c r="E201" s="2">
        <v>928.32</v>
      </c>
      <c r="F201" s="2">
        <v>2</v>
      </c>
      <c r="G201" s="2">
        <v>0.05</v>
      </c>
      <c r="H201" s="3">
        <v>45754</v>
      </c>
      <c r="I201" s="2">
        <v>440.95</v>
      </c>
      <c r="K201" s="9">
        <f t="shared" ca="1" si="12"/>
        <v>46066.577718749999</v>
      </c>
      <c r="L201">
        <f ca="1"/>
        <v>312.57771874999889</v>
      </c>
      <c r="M201" s="11" t="str">
        <f ca="1"/>
        <v>↓</v>
      </c>
      <c r="P201" s="11" t="str">
        <f t="shared" si="13"/>
        <v>Normal</v>
      </c>
      <c r="Q201" s="15">
        <f t="shared" si="14"/>
        <v>9.9500000000000011</v>
      </c>
      <c r="R201" s="16">
        <f t="shared" si="15"/>
        <v>928.32</v>
      </c>
      <c r="S201" s="16"/>
      <c r="T201" s="15"/>
    </row>
  </sheetData>
  <phoneticPr fontId="4" type="noConversion"/>
  <conditionalFormatting sqref="E1">
    <cfRule type="top10" dxfId="1" priority="2" rank="10"/>
  </conditionalFormatting>
  <conditionalFormatting sqref="E1:E1048576">
    <cfRule type="top10" dxfId="0" priority="1" rank="10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110ABF-C491-4E8B-8F44-9CC830520431}">
  <dimension ref="A1:I18"/>
  <sheetViews>
    <sheetView workbookViewId="0">
      <selection activeCell="F27" sqref="F27"/>
    </sheetView>
  </sheetViews>
  <sheetFormatPr defaultRowHeight="14.4" x14ac:dyDescent="0.3"/>
  <cols>
    <col min="1" max="1" width="16.44140625" bestFit="1" customWidth="1"/>
    <col min="2" max="2" width="12.6640625" bestFit="1" customWidth="1"/>
    <col min="3" max="3" width="13.21875" bestFit="1" customWidth="1"/>
    <col min="4" max="4" width="12.6640625" bestFit="1" customWidth="1"/>
    <col min="5" max="5" width="12" bestFit="1" customWidth="1"/>
    <col min="6" max="6" width="12.77734375" bestFit="1" customWidth="1"/>
    <col min="7" max="7" width="12" bestFit="1" customWidth="1"/>
    <col min="8" max="8" width="12.6640625" bestFit="1" customWidth="1"/>
    <col min="9" max="9" width="12" bestFit="1" customWidth="1"/>
  </cols>
  <sheetData>
    <row r="1" spans="1:9" x14ac:dyDescent="0.3">
      <c r="A1" t="s">
        <v>76</v>
      </c>
    </row>
    <row r="2" spans="1:9" ht="15" thickBot="1" x14ac:dyDescent="0.35"/>
    <row r="3" spans="1:9" x14ac:dyDescent="0.3">
      <c r="A3" s="6" t="s">
        <v>77</v>
      </c>
      <c r="B3" s="6"/>
    </row>
    <row r="4" spans="1:9" x14ac:dyDescent="0.3">
      <c r="A4" t="s">
        <v>78</v>
      </c>
      <c r="B4">
        <v>0.77525330606544063</v>
      </c>
    </row>
    <row r="5" spans="1:9" x14ac:dyDescent="0.3">
      <c r="A5" t="s">
        <v>79</v>
      </c>
      <c r="B5">
        <v>0.60101768856539572</v>
      </c>
    </row>
    <row r="6" spans="1:9" x14ac:dyDescent="0.3">
      <c r="A6" t="s">
        <v>80</v>
      </c>
      <c r="B6">
        <v>0.59898206452746405</v>
      </c>
    </row>
    <row r="7" spans="1:9" x14ac:dyDescent="0.3">
      <c r="A7" t="s">
        <v>81</v>
      </c>
      <c r="B7">
        <v>86.292231422140503</v>
      </c>
    </row>
    <row r="8" spans="1:9" ht="15" thickBot="1" x14ac:dyDescent="0.35">
      <c r="A8" s="4" t="s">
        <v>82</v>
      </c>
      <c r="B8" s="4">
        <v>198</v>
      </c>
    </row>
    <row r="10" spans="1:9" ht="15" thickBot="1" x14ac:dyDescent="0.35">
      <c r="A10" t="s">
        <v>83</v>
      </c>
    </row>
    <row r="11" spans="1:9" x14ac:dyDescent="0.3">
      <c r="A11" s="5"/>
      <c r="B11" s="5" t="s">
        <v>88</v>
      </c>
      <c r="C11" s="5" t="s">
        <v>89</v>
      </c>
      <c r="D11" s="5" t="s">
        <v>90</v>
      </c>
      <c r="E11" s="5" t="s">
        <v>91</v>
      </c>
      <c r="F11" s="5" t="s">
        <v>92</v>
      </c>
    </row>
    <row r="12" spans="1:9" x14ac:dyDescent="0.3">
      <c r="A12" t="s">
        <v>84</v>
      </c>
      <c r="B12">
        <v>1</v>
      </c>
      <c r="C12">
        <v>2198533.4734371388</v>
      </c>
      <c r="D12">
        <v>2198533.4734371388</v>
      </c>
      <c r="E12">
        <v>295.24984838363093</v>
      </c>
      <c r="F12">
        <v>5.7256811291163517E-41</v>
      </c>
    </row>
    <row r="13" spans="1:9" x14ac:dyDescent="0.3">
      <c r="A13" t="s">
        <v>85</v>
      </c>
      <c r="B13">
        <v>196</v>
      </c>
      <c r="C13">
        <v>1459484.4439472016</v>
      </c>
      <c r="D13">
        <v>7446.3492038122531</v>
      </c>
    </row>
    <row r="14" spans="1:9" ht="15" thickBot="1" x14ac:dyDescent="0.35">
      <c r="A14" s="4" t="s">
        <v>86</v>
      </c>
      <c r="B14" s="4">
        <v>197</v>
      </c>
      <c r="C14" s="4">
        <v>3658017.9173843404</v>
      </c>
      <c r="D14" s="4"/>
      <c r="E14" s="4"/>
      <c r="F14" s="4"/>
    </row>
    <row r="15" spans="1:9" ht="15" thickBot="1" x14ac:dyDescent="0.35"/>
    <row r="16" spans="1:9" x14ac:dyDescent="0.3">
      <c r="A16" s="5"/>
      <c r="B16" s="5" t="s">
        <v>93</v>
      </c>
      <c r="C16" s="5" t="s">
        <v>81</v>
      </c>
      <c r="D16" s="5" t="s">
        <v>94</v>
      </c>
      <c r="E16" s="5" t="s">
        <v>95</v>
      </c>
      <c r="F16" s="5" t="s">
        <v>96</v>
      </c>
      <c r="G16" s="5" t="s">
        <v>97</v>
      </c>
      <c r="H16" s="5" t="s">
        <v>98</v>
      </c>
      <c r="I16" s="5" t="s">
        <v>99</v>
      </c>
    </row>
    <row r="17" spans="1:9" x14ac:dyDescent="0.3">
      <c r="A17" t="s">
        <v>87</v>
      </c>
      <c r="B17">
        <v>-1.8682059238054194</v>
      </c>
      <c r="C17">
        <v>20.874228462035674</v>
      </c>
      <c r="D17">
        <v>-8.9498202398386045E-2</v>
      </c>
      <c r="E17">
        <v>0.92877736892871832</v>
      </c>
      <c r="F17">
        <v>-43.035132344177001</v>
      </c>
      <c r="G17">
        <v>39.298720496566162</v>
      </c>
      <c r="H17">
        <v>-43.035132344177001</v>
      </c>
      <c r="I17">
        <v>39.298720496566162</v>
      </c>
    </row>
    <row r="18" spans="1:9" ht="15" thickBot="1" x14ac:dyDescent="0.35">
      <c r="A18" s="4">
        <v>1036.0899999999999</v>
      </c>
      <c r="B18" s="4">
        <v>0.35127160679446701</v>
      </c>
      <c r="C18" s="4">
        <v>2.0443168376997656E-2</v>
      </c>
      <c r="D18" s="4">
        <v>17.182835865584931</v>
      </c>
      <c r="E18" s="4">
        <v>5.7256811291152913E-41</v>
      </c>
      <c r="F18" s="4">
        <v>0.31095479173681206</v>
      </c>
      <c r="G18" s="4">
        <v>0.39158842185212195</v>
      </c>
      <c r="H18" s="4">
        <v>0.31095479173681206</v>
      </c>
      <c r="I18" s="4">
        <v>0.39158842185212195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98619B-2A1C-425C-A524-C1618416E3A8}">
  <dimension ref="A1:B15"/>
  <sheetViews>
    <sheetView topLeftCell="A2" workbookViewId="0">
      <selection activeCell="B27" sqref="B27"/>
    </sheetView>
  </sheetViews>
  <sheetFormatPr defaultRowHeight="14.4" x14ac:dyDescent="0.3"/>
  <cols>
    <col min="1" max="1" width="16.109375" bestFit="1" customWidth="1"/>
    <col min="2" max="2" width="12.6640625" bestFit="1" customWidth="1"/>
  </cols>
  <sheetData>
    <row r="1" spans="1:2" x14ac:dyDescent="0.3">
      <c r="A1" s="6" t="s">
        <v>100</v>
      </c>
      <c r="B1" s="6"/>
    </row>
    <row r="3" spans="1:2" x14ac:dyDescent="0.3">
      <c r="A3" t="s">
        <v>101</v>
      </c>
      <c r="B3">
        <v>976.3288442211051</v>
      </c>
    </row>
    <row r="4" spans="1:2" x14ac:dyDescent="0.3">
      <c r="A4" t="s">
        <v>81</v>
      </c>
      <c r="B4">
        <v>21.267091598225537</v>
      </c>
    </row>
    <row r="5" spans="1:2" x14ac:dyDescent="0.3">
      <c r="A5" t="s">
        <v>102</v>
      </c>
      <c r="B5">
        <v>980.18</v>
      </c>
    </row>
    <row r="6" spans="1:2" x14ac:dyDescent="0.3">
      <c r="A6" t="s">
        <v>103</v>
      </c>
      <c r="B6" t="e">
        <v>#N/A</v>
      </c>
    </row>
    <row r="7" spans="1:2" x14ac:dyDescent="0.3">
      <c r="A7" t="s">
        <v>104</v>
      </c>
      <c r="B7">
        <v>300.00924623153821</v>
      </c>
    </row>
    <row r="8" spans="1:2" x14ac:dyDescent="0.3">
      <c r="A8" t="s">
        <v>105</v>
      </c>
      <c r="B8">
        <v>90005.547824415742</v>
      </c>
    </row>
    <row r="9" spans="1:2" x14ac:dyDescent="0.3">
      <c r="A9" t="s">
        <v>106</v>
      </c>
      <c r="B9">
        <v>-0.10296167052772454</v>
      </c>
    </row>
    <row r="10" spans="1:2" x14ac:dyDescent="0.3">
      <c r="A10" t="s">
        <v>107</v>
      </c>
      <c r="B10">
        <v>0.14412008238856419</v>
      </c>
    </row>
    <row r="11" spans="1:2" x14ac:dyDescent="0.3">
      <c r="A11" t="s">
        <v>108</v>
      </c>
      <c r="B11">
        <v>1665.15</v>
      </c>
    </row>
    <row r="12" spans="1:2" x14ac:dyDescent="0.3">
      <c r="A12" t="s">
        <v>109</v>
      </c>
      <c r="B12">
        <v>258.51</v>
      </c>
    </row>
    <row r="13" spans="1:2" x14ac:dyDescent="0.3">
      <c r="A13" t="s">
        <v>110</v>
      </c>
      <c r="B13">
        <v>1923.66</v>
      </c>
    </row>
    <row r="14" spans="1:2" x14ac:dyDescent="0.3">
      <c r="A14" t="s">
        <v>111</v>
      </c>
      <c r="B14">
        <v>194289.43999999992</v>
      </c>
    </row>
    <row r="15" spans="1:2" ht="15" thickBot="1" x14ac:dyDescent="0.35">
      <c r="A15" s="4" t="s">
        <v>112</v>
      </c>
      <c r="B15" s="4">
        <v>199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684388-9934-4AB7-A6B3-4E1DA867F67B}">
  <dimension ref="A1:Q37"/>
  <sheetViews>
    <sheetView topLeftCell="A14" workbookViewId="0">
      <selection activeCell="P43" sqref="P43"/>
    </sheetView>
  </sheetViews>
  <sheetFormatPr defaultRowHeight="14.4" x14ac:dyDescent="0.3"/>
  <cols>
    <col min="1" max="1" width="19.44140625" customWidth="1"/>
    <col min="2" max="2" width="21.21875" customWidth="1"/>
    <col min="3" max="3" width="9" bestFit="1" customWidth="1"/>
    <col min="4" max="4" width="10.33203125" bestFit="1" customWidth="1"/>
    <col min="5" max="5" width="9" bestFit="1" customWidth="1"/>
    <col min="6" max="6" width="13.77734375" bestFit="1" customWidth="1"/>
    <col min="7" max="7" width="10.5546875" bestFit="1" customWidth="1"/>
  </cols>
  <sheetData>
    <row r="1" spans="1:17" x14ac:dyDescent="0.3">
      <c r="J1" s="17" t="s">
        <v>124</v>
      </c>
      <c r="K1" s="17"/>
      <c r="L1" s="17"/>
      <c r="M1" s="17"/>
      <c r="N1" s="17"/>
      <c r="O1" s="17"/>
      <c r="P1" s="17"/>
      <c r="Q1" s="17"/>
    </row>
    <row r="2" spans="1:17" ht="14.4" customHeight="1" x14ac:dyDescent="0.3">
      <c r="J2" s="17"/>
      <c r="K2" s="17"/>
      <c r="L2" s="17"/>
      <c r="M2" s="17"/>
      <c r="N2" s="17"/>
      <c r="O2" s="17"/>
      <c r="P2" s="17"/>
      <c r="Q2" s="17"/>
    </row>
    <row r="3" spans="1:17" x14ac:dyDescent="0.3">
      <c r="A3" s="7" t="s">
        <v>117</v>
      </c>
      <c r="B3" s="7" t="s">
        <v>116</v>
      </c>
      <c r="J3" s="17"/>
      <c r="K3" s="17"/>
      <c r="L3" s="17"/>
      <c r="M3" s="17"/>
      <c r="N3" s="17"/>
      <c r="O3" s="17"/>
      <c r="P3" s="17"/>
      <c r="Q3" s="17"/>
    </row>
    <row r="4" spans="1:17" x14ac:dyDescent="0.3">
      <c r="A4" s="7" t="s">
        <v>113</v>
      </c>
      <c r="B4" t="s">
        <v>12</v>
      </c>
      <c r="C4" t="s">
        <v>15</v>
      </c>
      <c r="D4" t="s">
        <v>21</v>
      </c>
      <c r="E4" t="s">
        <v>27</v>
      </c>
      <c r="F4" t="s">
        <v>39</v>
      </c>
      <c r="G4" t="s">
        <v>114</v>
      </c>
    </row>
    <row r="5" spans="1:17" x14ac:dyDescent="0.3">
      <c r="A5" s="8" t="s">
        <v>34</v>
      </c>
      <c r="B5">
        <v>11297.150000000001</v>
      </c>
      <c r="C5">
        <v>12200.26</v>
      </c>
      <c r="D5">
        <v>6621.24</v>
      </c>
      <c r="E5">
        <v>4876.96</v>
      </c>
      <c r="F5">
        <v>8472.7199999999993</v>
      </c>
      <c r="G5">
        <v>43468.33</v>
      </c>
    </row>
    <row r="6" spans="1:17" x14ac:dyDescent="0.3">
      <c r="A6" s="8" t="s">
        <v>18</v>
      </c>
      <c r="B6">
        <v>11389.090000000002</v>
      </c>
      <c r="C6">
        <v>2401.4499999999998</v>
      </c>
      <c r="D6">
        <v>2869.54</v>
      </c>
      <c r="E6">
        <v>7592.3399999999992</v>
      </c>
      <c r="F6">
        <v>8189.2200000000012</v>
      </c>
      <c r="G6">
        <v>32441.640000000003</v>
      </c>
    </row>
    <row r="7" spans="1:17" x14ac:dyDescent="0.3">
      <c r="A7" s="8" t="s">
        <v>24</v>
      </c>
      <c r="B7">
        <v>8037.0100000000011</v>
      </c>
      <c r="C7">
        <v>8422.82</v>
      </c>
      <c r="D7">
        <v>8191.7099999999991</v>
      </c>
      <c r="E7">
        <v>6978.08</v>
      </c>
      <c r="F7">
        <v>3345.8</v>
      </c>
      <c r="G7">
        <v>34975.420000000006</v>
      </c>
    </row>
    <row r="8" spans="1:17" x14ac:dyDescent="0.3">
      <c r="A8" s="8" t="s">
        <v>20</v>
      </c>
      <c r="B8">
        <v>9588.0400000000009</v>
      </c>
      <c r="C8">
        <v>8393.630000000001</v>
      </c>
      <c r="D8">
        <v>11989.070000000003</v>
      </c>
      <c r="E8">
        <v>7982.73</v>
      </c>
      <c r="F8">
        <v>2295.3199999999997</v>
      </c>
      <c r="G8">
        <v>40248.79</v>
      </c>
    </row>
    <row r="9" spans="1:17" x14ac:dyDescent="0.3">
      <c r="A9" s="8" t="s">
        <v>11</v>
      </c>
      <c r="B9">
        <v>6691.17</v>
      </c>
      <c r="C9">
        <v>10509.429999999998</v>
      </c>
      <c r="D9">
        <v>11372.44</v>
      </c>
      <c r="E9">
        <v>9182.7800000000007</v>
      </c>
      <c r="F9">
        <v>6327.76</v>
      </c>
      <c r="G9">
        <v>44083.58</v>
      </c>
    </row>
    <row r="10" spans="1:17" x14ac:dyDescent="0.3">
      <c r="A10" s="8" t="s">
        <v>114</v>
      </c>
      <c r="B10">
        <v>47002.460000000006</v>
      </c>
      <c r="C10">
        <v>41927.589999999997</v>
      </c>
      <c r="D10">
        <v>41044</v>
      </c>
      <c r="E10">
        <v>36612.89</v>
      </c>
      <c r="F10">
        <v>28630.82</v>
      </c>
      <c r="G10">
        <v>195217.76</v>
      </c>
    </row>
    <row r="12" spans="1:17" ht="25.8" x14ac:dyDescent="0.5">
      <c r="K12" s="14"/>
    </row>
    <row r="13" spans="1:17" ht="25.8" x14ac:dyDescent="0.5">
      <c r="C13" s="14"/>
      <c r="K13" s="17"/>
      <c r="L13" s="18"/>
    </row>
    <row r="22" spans="1:16" x14ac:dyDescent="0.3">
      <c r="K22" s="19" t="s">
        <v>125</v>
      </c>
      <c r="L22" s="20"/>
      <c r="M22" s="20"/>
      <c r="N22" s="20"/>
      <c r="O22" s="20"/>
      <c r="P22" s="20"/>
    </row>
    <row r="23" spans="1:16" x14ac:dyDescent="0.3">
      <c r="K23" s="20"/>
      <c r="L23" s="20"/>
      <c r="M23" s="20"/>
      <c r="N23" s="20"/>
      <c r="O23" s="20"/>
      <c r="P23" s="20"/>
    </row>
    <row r="24" spans="1:16" x14ac:dyDescent="0.3">
      <c r="K24" s="20"/>
      <c r="L24" s="20"/>
      <c r="M24" s="20"/>
      <c r="N24" s="20"/>
      <c r="O24" s="20"/>
      <c r="P24" s="20"/>
    </row>
    <row r="31" spans="1:16" x14ac:dyDescent="0.3">
      <c r="A31" s="7" t="s">
        <v>113</v>
      </c>
      <c r="B31" t="s">
        <v>117</v>
      </c>
    </row>
    <row r="32" spans="1:16" x14ac:dyDescent="0.3">
      <c r="A32" s="8" t="s">
        <v>34</v>
      </c>
      <c r="B32">
        <v>43468.33</v>
      </c>
    </row>
    <row r="33" spans="1:2" x14ac:dyDescent="0.3">
      <c r="A33" s="8" t="s">
        <v>18</v>
      </c>
      <c r="B33">
        <v>32441.64</v>
      </c>
    </row>
    <row r="34" spans="1:2" x14ac:dyDescent="0.3">
      <c r="A34" s="8" t="s">
        <v>24</v>
      </c>
      <c r="B34">
        <v>34975.42</v>
      </c>
    </row>
    <row r="35" spans="1:2" x14ac:dyDescent="0.3">
      <c r="A35" s="8" t="s">
        <v>20</v>
      </c>
      <c r="B35">
        <v>40248.79</v>
      </c>
    </row>
    <row r="36" spans="1:2" x14ac:dyDescent="0.3">
      <c r="A36" s="8" t="s">
        <v>11</v>
      </c>
      <c r="B36">
        <v>44083.58</v>
      </c>
    </row>
    <row r="37" spans="1:2" x14ac:dyDescent="0.3">
      <c r="A37" s="8" t="s">
        <v>114</v>
      </c>
      <c r="B37">
        <v>195217.76</v>
      </c>
    </row>
  </sheetData>
  <mergeCells count="3">
    <mergeCell ref="K13:L13"/>
    <mergeCell ref="J1:Q3"/>
    <mergeCell ref="K22:P24"/>
  </mergeCell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Dataset</vt:lpstr>
      <vt:lpstr>Linear Regression</vt:lpstr>
      <vt:lpstr>Descriptive Statistics</vt:lpstr>
      <vt:lpstr>Pivot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shivani marakana</dc:creator>
  <cp:lastModifiedBy>shivani marakana</cp:lastModifiedBy>
  <dcterms:created xsi:type="dcterms:W3CDTF">2026-02-11T08:11:20Z</dcterms:created>
  <dcterms:modified xsi:type="dcterms:W3CDTF">2026-02-13T08:21:54Z</dcterms:modified>
</cp:coreProperties>
</file>